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1" autoFilterDateGrouping="1"/>
  </bookViews>
  <sheets>
    <sheet xmlns:r="http://schemas.openxmlformats.org/officeDocument/2006/relationships" name="_TEMPLATE_META" sheetId="1" state="hidden" r:id="rId1"/>
    <sheet xmlns:r="http://schemas.openxmlformats.org/officeDocument/2006/relationships" name="Assumption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Renovation Budget" sheetId="4" state="visible" r:id="rId4"/>
    <sheet xmlns:r="http://schemas.openxmlformats.org/officeDocument/2006/relationships" name="Monthly CF" sheetId="5" state="visible" r:id="rId5"/>
    <sheet xmlns:r="http://schemas.openxmlformats.org/officeDocument/2006/relationships" name="Annual CF" sheetId="6" state="visible" r:id="rId6"/>
    <sheet xmlns:r="http://schemas.openxmlformats.org/officeDocument/2006/relationships" name="Investment Summary" sheetId="7" state="visible" r:id="rId7"/>
    <sheet xmlns:r="http://schemas.openxmlformats.org/officeDocument/2006/relationships" name="Error Check" sheetId="8" state="visible" r:id="rId8"/>
    <sheet xmlns:r="http://schemas.openxmlformats.org/officeDocument/2006/relationships" name="Returns Summary" sheetId="9" state="visible" r:id="rId9"/>
    <sheet xmlns:r="http://schemas.openxmlformats.org/officeDocument/2006/relationships" name="Model Outputs" sheetId="10" state="visible" r:id="rId10"/>
  </sheets>
  <definedNames>
    <definedName name="deal_project_name">Assumptions!$F$7</definedName>
    <definedName name="deal_city_state">Assumptions!$F$8</definedName>
    <definedName name="deal_analysis_start_date">Assumptions!$F$11</definedName>
    <definedName name="deal_hold_period_months">Assumptions!$E$28</definedName>
    <definedName name="deal_gross_sf">Assumptions!$F$12</definedName>
    <definedName name="deal_net_sf">Assumptions!$F$13</definedName>
    <definedName name="acq_purchase_price">Assumptions!$F$17</definedName>
    <definedName name="acq_closing_cost_pct">Assumptions!$E$18</definedName>
    <definedName name="acq_fee_pct">Assumptions!$F$19</definedName>
    <definedName name="acq_legal_costs">Assumptions!$F$21</definedName>
    <definedName name="acq_other_financing_fees">Assumptions!$F$23</definedName>
    <definedName name="ops_vacancy_pct">Assumptions!$P$7</definedName>
    <definedName name="ops_credit_loss_pct">Assumptions!$P$8</definedName>
    <definedName name="infl_other_revenue">Assumptions!$P$37</definedName>
    <definedName name="infl_expenses">Assumptions!$P$38</definedName>
    <definedName name="infl_taxes">Assumptions!$P$39</definedName>
    <definedName name="ops_mgmt_fee_pct_egi">Assumptions!$N$19</definedName>
    <definedName name="ops_insurance_annual">Assumptions!$N$20</definedName>
    <definedName name="ops_utilities_annual">Assumptions!$N$22</definedName>
    <definedName name="ops_rm_annual">Assumptions!$N$23</definedName>
    <definedName name="ops_security_annual">Assumptions!$N$25</definedName>
    <definedName name="ops_property_taxes_annual">Assumptions!$N$27</definedName>
    <definedName name="ops_other_expense1_annual">Assumptions!$N$28</definedName>
    <definedName name="ops_capex_reserves_psf_yr">Assumptions!$N$33</definedName>
    <definedName name="debt_acq_ltv_max">Assumptions!$AA$9</definedName>
    <definedName name="debt_acq_fund_reno_pct">Assumptions!$AA$10</definedName>
    <definedName name="debt_acq_fund_ti_lc_pct">Assumptions!$AA$11</definedName>
    <definedName name="debt_acq_fund_capex_pct">Assumptions!$AA$12</definedName>
    <definedName name="debt_acq_orig_fee_pct">Assumptions!$Z$21</definedName>
    <definedName name="debt_acq_fixed_interest_flag">Assumptions!$Z$17</definedName>
    <definedName name="debt_acq_fixed_rate_or_spread">Assumptions!$AA$18</definedName>
    <definedName name="debt_acq_sofr_cap">Assumptions!$AA$19</definedName>
    <definedName name="debt_acq_sofr_floor">Assumptions!$AA$20</definedName>
    <definedName name="debt_acq_io_months">Assumptions!$AA$23</definedName>
    <definedName name="debt_acq_amort_years">Assumptions!$AA$24</definedName>
    <definedName name="exit_cap_rate">Assumptions!$F$29</definedName>
    <definedName name="exit_sale_cost_pct">Assumptions!$F$33</definedName>
    <definedName name="exit_date">Assumptions!$F$28</definedName>
    <definedName name="wf_lp_pct">Assumptions!$P$43</definedName>
    <definedName name="wf_gp_pct">Assumptions!$P$44</definedName>
    <definedName name="wf_h1_irr">Assumptions!$P$45</definedName>
    <definedName name="wf_h1_promote">Assumptions!$P$46</definedName>
    <definedName name="reno_prelim_hard_amount">'Renovation Budget'!$B$22</definedName>
    <definedName name="reno_prelim_soft_amount">'Renovation Budget'!$B$30</definedName>
    <definedName name="reno_hard_cont_pct">'Renovation Budget'!$B$21</definedName>
    <definedName name="reno_soft_cont_pct">'Renovation Budget'!$B$29</definedName>
    <definedName name="out_template_id">'_TEMPLATE_META'!$B$1</definedName>
    <definedName name="out_template_version">'_TEMPLATE_META'!$B$2</definedName>
    <definedName name="out_contract_version">'_TEMPLATE_META'!$B$3</definedName>
    <definedName name="out_check_status">'Error Check'!$B$110</definedName>
    <definedName name="out_check_error_count">'Error Check'!$B$111</definedName>
    <definedName name="out_check_sources_equal_uses">'Error Check'!$B$112</definedName>
    <definedName name="out_check_waterfall_ties">'Error Check'!$B$113</definedName>
    <definedName name="out_check_cf_ties">'Error Check'!$B$114</definedName>
    <definedName name="out_unlevered_irr">'Returns Summary'!$B$8</definedName>
    <definedName name="out_unlevered_peak_capital">'Returns Summary'!$B$9</definedName>
    <definedName name="out_unlevered_net_profit">'Returns Summary'!$B$10</definedName>
    <definedName name="out_unlevered_multiple">'Returns Summary'!$B$11</definedName>
    <definedName name="out_levered_irr">'Returns Summary'!$B$12</definedName>
    <definedName name="out_levered_peak_equity">'Returns Summary'!$B$13</definedName>
    <definedName name="out_levered_net_profit">'Returns Summary'!$B$14</definedName>
    <definedName name="out_levered_multiple">'Returns Summary'!$B$15</definedName>
    <definedName name="out_investor_irr">'Returns Summary'!$B$16</definedName>
    <definedName name="out_investor_peak_capital">'Returns Summary'!$B$17</definedName>
    <definedName name="out_investor_net_profit">'Returns Summary'!$B$18</definedName>
    <definedName name="out_investor_multiple">'Returns Summary'!$B$19</definedName>
    <definedName name="out_egi_year1">'Annual CF'!$E$35</definedName>
    <definedName name="out_opex_year1">'Annual CF'!$E$54</definedName>
    <definedName name="out_noi_year1">'Annual CF'!$E$56</definedName>
    <definedName name="out_gross_sale_proceeds">Assumptions!$F$31</definedName>
    <definedName name="out_net_sale_proceeds">Assumptions!$F$34</definedName>
    <definedName name="out_gross_price_per_sf">Assumptions!$F$32</definedName>
    <definedName name="out_total_sources">'Model Outputs'!$E$13</definedName>
    <definedName name="out_total_uses">'Model Outputs'!$E$20</definedName>
    <definedName name="out_sources_acq_debt">'Model Outputs'!$E$8</definedName>
    <definedName name="out_sources_lp_equity">'Model Outputs'!$E$9</definedName>
    <definedName name="out_sources_gp_equity">'Model Outputs'!$E$10</definedName>
    <definedName name="out_debt_acq_total_proceeds">Assumptions!$AA$16</definedName>
    <definedName name="out_debt_acq_loan_amount">Assumptions!$AA$13</definedName>
    <definedName name="out_purchase_price">'Investment Summary'!$I$12</definedName>
    <definedName name="out_renovation_costs">'Investment Summary'!$I$13</definedName>
    <definedName name="out_all_in_cost">'Investment Summary'!$I$14</definedName>
    <definedName name="out_all_in_cost_per_sf">'Investment Summary'!$I$15</definedName>
    <definedName name="_xlnm.Print_Area" localSheetId="1">'Assumptions'!$A$1:$AA$71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\$#,##0"/>
    <numFmt numFmtId="165" formatCode="0.0%"/>
    <numFmt numFmtId="166" formatCode="\$#,##0;[Red]&quot;($&quot;#,##0\);\-"/>
    <numFmt numFmtId="167" formatCode="\$#,##0.00"/>
    <numFmt numFmtId="168" formatCode="\$0.00"/>
    <numFmt numFmtId="169" formatCode="m/d/yyyy"/>
    <numFmt numFmtId="170" formatCode="0.0"/>
    <numFmt numFmtId="171" formatCode="0.0\x"/>
    <numFmt numFmtId="172" formatCode="\$#,##0_);[Red]&quot;($&quot;#,##0\)"/>
    <numFmt numFmtId="173" formatCode="\$#,##0;[Red]&quot;($&quot;#,##0\);0"/>
    <numFmt numFmtId="174" formatCode="#,##0;[Red]\(#,##0\);0"/>
    <numFmt numFmtId="175" formatCode="\$#,##0;[Red]&quot;($&quot;#,##0\);\$0"/>
    <numFmt numFmtId="176" formatCode="\$#,##0&quot;/SF&quot;"/>
    <numFmt numFmtId="177" formatCode="&quot;$&quot;#,##0"/>
  </numFmts>
  <fonts count="25">
    <font>
      <name val="Arial"/>
      <family val="2"/>
      <sz val="10"/>
    </font>
    <font>
      <name val="Arial"/>
      <family val="2"/>
      <sz val="10"/>
    </font>
    <font>
      <name val="Calibri"/>
      <family val="2"/>
      <color theme="1"/>
      <sz val="11"/>
    </font>
    <font>
      <name val="Calibri"/>
      <family val="2"/>
      <b val="1"/>
      <color rgb="FF000000"/>
      <sz val="10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family val="2"/>
      <color rgb="FF0000FF"/>
      <sz val="10"/>
    </font>
    <font>
      <name val="Calibri"/>
      <family val="2"/>
      <i val="1"/>
      <sz val="10"/>
    </font>
    <font>
      <name val="Calibri"/>
      <family val="2"/>
      <color rgb="FF008000"/>
      <sz val="10"/>
    </font>
    <font>
      <name val="Calibri"/>
      <family val="2"/>
      <b val="1"/>
      <sz val="10"/>
    </font>
    <font>
      <name val="Calibri"/>
      <family val="2"/>
      <b val="1"/>
      <color rgb="FFFFFFFF"/>
      <sz val="10"/>
    </font>
    <font>
      <name val="Calibri"/>
      <family val="2"/>
      <b val="1"/>
      <sz val="11"/>
    </font>
    <font>
      <name val="Calibri"/>
      <family val="2"/>
      <sz val="11"/>
    </font>
    <font>
      <name val="Cambria"/>
      <family val="1"/>
      <b val="1"/>
      <color rgb="FF000000"/>
      <sz val="11"/>
    </font>
    <font>
      <name val="Cambria"/>
      <family val="1"/>
      <color rgb="FF008000"/>
      <sz val="11"/>
    </font>
    <font>
      <name val="Cambria"/>
      <family val="1"/>
      <color rgb="FF0000FF"/>
      <sz val="11"/>
    </font>
    <font>
      <name val="Cambria"/>
      <family val="1"/>
      <b val="1"/>
      <color rgb="FFFFFFFF"/>
      <sz val="11"/>
    </font>
    <font>
      <name val="Cambria"/>
      <family val="1"/>
      <color rgb="FF000000"/>
      <sz val="11"/>
    </font>
    <font>
      <name val="Cambria"/>
      <family val="1"/>
      <i val="1"/>
      <color rgb="FF000000"/>
      <sz val="11"/>
    </font>
    <font>
      <name val="Cambria"/>
      <family val="1"/>
      <b val="1"/>
      <sz val="11"/>
    </font>
    <font>
      <name val="Cambria"/>
      <family val="1"/>
      <sz val="10"/>
    </font>
    <font>
      <name val="Calibri"/>
      <family val="2"/>
      <i val="1"/>
      <color rgb="FF666666"/>
      <sz val="10"/>
    </font>
    <font>
      <name val="Calibri"/>
      <family val="2"/>
      <b val="1"/>
      <i val="1"/>
      <sz val="10"/>
    </font>
    <font>
      <name val="Arial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0B2F6A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1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40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164" fontId="2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49" fontId="7" fillId="0" borderId="3" applyAlignment="1" pivotButton="0" quotePrefix="0" xfId="0">
      <alignment horizontal="right" vertical="center"/>
    </xf>
    <xf numFmtId="0" fontId="2" fillId="0" borderId="0" pivotButton="0" quotePrefix="0" xfId="0"/>
    <xf numFmtId="165" fontId="7" fillId="0" borderId="0" applyAlignment="1" pivotButton="0" quotePrefix="0" xfId="0">
      <alignment horizontal="right" vertical="center"/>
    </xf>
    <xf numFmtId="0" fontId="2" fillId="0" borderId="3" pivotButton="0" quotePrefix="0" xfId="0"/>
    <xf numFmtId="0" fontId="7" fillId="0" borderId="4" applyAlignment="1" pivotButton="0" quotePrefix="0" xfId="0">
      <alignment horizontal="center" vertical="center"/>
    </xf>
    <xf numFmtId="0" fontId="2" fillId="0" borderId="2" pivotButton="0" quotePrefix="0" xfId="0"/>
    <xf numFmtId="165" fontId="7" fillId="0" borderId="3" applyAlignment="1" pivotButton="0" quotePrefix="0" xfId="0">
      <alignment horizontal="right" vertical="center"/>
    </xf>
    <xf numFmtId="0" fontId="7" fillId="0" borderId="0" pivotButton="0" quotePrefix="0" xfId="0"/>
    <xf numFmtId="1" fontId="7" fillId="0" borderId="0" applyAlignment="1" pivotButton="0" quotePrefix="0" xfId="0">
      <alignment horizontal="right" vertical="center"/>
    </xf>
    <xf numFmtId="17" fontId="7" fillId="0" borderId="3" applyAlignment="1" pivotButton="0" quotePrefix="0" xfId="0">
      <alignment horizontal="right" vertical="center"/>
    </xf>
    <xf numFmtId="3" fontId="7" fillId="0" borderId="3" applyAlignment="1" pivotButton="0" quotePrefix="0" xfId="0">
      <alignment horizontal="right" vertical="center"/>
    </xf>
    <xf numFmtId="164" fontId="6" fillId="0" borderId="3" applyAlignment="1" pivotButton="0" quotePrefix="0" xfId="0">
      <alignment horizontal="right" vertical="center"/>
    </xf>
    <xf numFmtId="0" fontId="6" fillId="0" borderId="7" applyAlignment="1" pivotButton="0" quotePrefix="0" xfId="0">
      <alignment horizontal="right" vertical="center"/>
    </xf>
    <xf numFmtId="49" fontId="7" fillId="0" borderId="8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10" fontId="7" fillId="0" borderId="3" applyAlignment="1" pivotButton="0" quotePrefix="0" xfId="0">
      <alignment horizontal="right" vertical="center"/>
    </xf>
    <xf numFmtId="166" fontId="7" fillId="0" borderId="3" applyAlignment="1" pivotButton="0" quotePrefix="0" xfId="0">
      <alignment horizontal="right" vertical="center"/>
    </xf>
    <xf numFmtId="0" fontId="7" fillId="0" borderId="3" applyAlignment="1" pivotButton="0" quotePrefix="0" xfId="0">
      <alignment horizontal="center" vertical="center"/>
    </xf>
    <xf numFmtId="1" fontId="7" fillId="0" borderId="3" applyAlignment="1" pivotButton="0" quotePrefix="0" xfId="0">
      <alignment horizontal="right" vertical="center"/>
    </xf>
    <xf numFmtId="0" fontId="2" fillId="0" borderId="7" applyAlignment="1" pivotButton="0" quotePrefix="0" xfId="0">
      <alignment horizontal="right" vertical="center"/>
    </xf>
    <xf numFmtId="10" fontId="6" fillId="0" borderId="8" applyAlignment="1" pivotButton="0" quotePrefix="0" xfId="0">
      <alignment horizontal="right" vertical="center"/>
    </xf>
    <xf numFmtId="17" fontId="6" fillId="0" borderId="0" applyAlignment="1" pivotButton="0" quotePrefix="0" xfId="0">
      <alignment horizontal="left" vertical="center"/>
    </xf>
    <xf numFmtId="0" fontId="7" fillId="0" borderId="3" applyAlignment="1" pivotButton="0" quotePrefix="0" xfId="0">
      <alignment horizontal="right" vertical="center"/>
    </xf>
    <xf numFmtId="0" fontId="2" fillId="0" borderId="7" pivotButton="0" quotePrefix="0" xfId="0"/>
    <xf numFmtId="165" fontId="7" fillId="0" borderId="8" applyAlignment="1" pivotButton="0" quotePrefix="0" xfId="0">
      <alignment horizontal="right" vertical="center"/>
    </xf>
    <xf numFmtId="17" fontId="6" fillId="0" borderId="3" applyAlignment="1" pivotButton="0" quotePrefix="0" xfId="0">
      <alignment horizontal="right" vertical="center"/>
    </xf>
    <xf numFmtId="167" fontId="6" fillId="0" borderId="3" applyAlignment="1" pivotButton="0" quotePrefix="0" xfId="0">
      <alignment horizontal="right" vertical="center"/>
    </xf>
    <xf numFmtId="167" fontId="6" fillId="0" borderId="8" applyAlignment="1" pivotButton="0" quotePrefix="0" xfId="0">
      <alignment horizontal="right" vertical="center"/>
    </xf>
    <xf numFmtId="165" fontId="7" fillId="0" borderId="7" applyAlignment="1" pivotButton="0" quotePrefix="0" xfId="0">
      <alignment horizontal="right" vertical="center"/>
    </xf>
    <xf numFmtId="0" fontId="2" fillId="0" borderId="8" pivotButton="0" quotePrefix="0" xfId="0"/>
    <xf numFmtId="10" fontId="7" fillId="0" borderId="8" applyAlignment="1" pivotButton="0" quotePrefix="0" xfId="0">
      <alignment horizontal="right" vertical="center"/>
    </xf>
    <xf numFmtId="0" fontId="2" fillId="0" borderId="9" pivotButton="0" quotePrefix="0" xfId="0"/>
    <xf numFmtId="0" fontId="3" fillId="0" borderId="12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2" fillId="0" borderId="10" pivotButton="0" quotePrefix="0" xfId="0"/>
    <xf numFmtId="0" fontId="6" fillId="0" borderId="4" applyAlignment="1" pivotButton="0" quotePrefix="0" xfId="0">
      <alignment horizontal="left" vertical="center"/>
    </xf>
    <xf numFmtId="1" fontId="9" fillId="0" borderId="4" applyAlignment="1" pivotButton="0" quotePrefix="0" xfId="0">
      <alignment horizontal="right" vertical="center"/>
    </xf>
    <xf numFmtId="1" fontId="6" fillId="0" borderId="4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3" fontId="7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10" fontId="7" fillId="0" borderId="0" applyAlignment="1" pivotButton="0" quotePrefix="0" xfId="0">
      <alignment horizontal="center" vertical="center" wrapText="1"/>
    </xf>
    <xf numFmtId="169" fontId="7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3" fillId="0" borderId="9" pivotButton="0" quotePrefix="0" xfId="0"/>
    <xf numFmtId="3" fontId="6" fillId="0" borderId="10" applyAlignment="1" pivotButton="0" quotePrefix="0" xfId="0">
      <alignment horizontal="center" vertical="center" wrapText="1"/>
    </xf>
    <xf numFmtId="10" fontId="6" fillId="0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3" fillId="0" borderId="12" pivotButton="0" quotePrefix="0" xfId="0"/>
    <xf numFmtId="1" fontId="6" fillId="0" borderId="13" applyAlignment="1" pivotButton="0" quotePrefix="0" xfId="0">
      <alignment horizontal="center" vertical="center" wrapText="1"/>
    </xf>
    <xf numFmtId="0" fontId="2" fillId="0" borderId="13" pivotButton="0" quotePrefix="0" xfId="0"/>
    <xf numFmtId="168" fontId="6" fillId="0" borderId="13" applyAlignment="1" pivotButton="0" quotePrefix="0" xfId="0">
      <alignment horizontal="center" vertical="center" wrapText="1"/>
    </xf>
    <xf numFmtId="17" fontId="6" fillId="0" borderId="13" applyAlignment="1" pivotButton="0" quotePrefix="0" xfId="0">
      <alignment horizontal="center" vertical="center" wrapText="1"/>
    </xf>
    <xf numFmtId="170" fontId="6" fillId="0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2" fillId="3" borderId="0" pivotButton="0" quotePrefix="0" xfId="0"/>
    <xf numFmtId="0" fontId="3" fillId="0" borderId="1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right" vertical="center"/>
    </xf>
    <xf numFmtId="168" fontId="6" fillId="0" borderId="4" applyAlignment="1" pivotButton="0" quotePrefix="0" xfId="0">
      <alignment horizontal="right" vertical="center"/>
    </xf>
    <xf numFmtId="169" fontId="7" fillId="0" borderId="4" applyAlignment="1" pivotButton="0" quotePrefix="0" xfId="0">
      <alignment horizontal="center" vertical="center"/>
    </xf>
    <xf numFmtId="1" fontId="7" fillId="0" borderId="4" applyAlignment="1" pivotButton="0" quotePrefix="0" xfId="0">
      <alignment horizontal="center" vertical="center"/>
    </xf>
    <xf numFmtId="169" fontId="6" fillId="0" borderId="4" applyAlignment="1" pivotButton="0" quotePrefix="0" xfId="0">
      <alignment horizontal="center" vertical="center"/>
    </xf>
    <xf numFmtId="2" fontId="6" fillId="0" borderId="4" applyAlignment="1" pivotButton="0" quotePrefix="0" xfId="0">
      <alignment horizontal="center" vertical="center"/>
    </xf>
    <xf numFmtId="164" fontId="6" fillId="0" borderId="4" applyAlignment="1" pivotButton="0" quotePrefix="0" xfId="0">
      <alignment horizontal="right" vertical="center"/>
    </xf>
    <xf numFmtId="10" fontId="7" fillId="0" borderId="4" applyAlignment="1" pivotButton="0" quotePrefix="0" xfId="0">
      <alignment horizontal="right" vertical="center"/>
    </xf>
    <xf numFmtId="168" fontId="7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horizontal="left" vertical="center" wrapText="1"/>
    </xf>
    <xf numFmtId="0" fontId="2" fillId="0" borderId="4" pivotButton="0" quotePrefix="0" xfId="0"/>
    <xf numFmtId="164" fontId="12" fillId="0" borderId="4" applyAlignment="1" pivotButton="0" quotePrefix="0" xfId="0">
      <alignment horizontal="right" vertical="center"/>
    </xf>
    <xf numFmtId="168" fontId="12" fillId="0" borderId="4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13" fillId="0" borderId="4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2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17" fontId="17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49" fontId="18" fillId="0" borderId="0" applyAlignment="1" pivotButton="0" quotePrefix="0" xfId="0">
      <alignment horizontal="right" vertical="center"/>
    </xf>
    <xf numFmtId="171" fontId="18" fillId="0" borderId="0" applyAlignment="1" pivotButton="0" quotePrefix="0" xfId="0">
      <alignment horizontal="right" vertical="center"/>
    </xf>
    <xf numFmtId="0" fontId="14" fillId="4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left" vertical="center"/>
    </xf>
    <xf numFmtId="1" fontId="2" fillId="0" borderId="4" applyAlignment="1" pivotButton="0" quotePrefix="0" xfId="0">
      <alignment horizontal="right" vertical="center"/>
    </xf>
    <xf numFmtId="166" fontId="2" fillId="0" borderId="4" applyAlignment="1" pivotButton="0" quotePrefix="0" xfId="0">
      <alignment horizontal="right" vertical="center"/>
    </xf>
    <xf numFmtId="165" fontId="2" fillId="0" borderId="4" applyAlignment="1" pivotButton="0" quotePrefix="0" xfId="0">
      <alignment horizontal="right" vertical="center"/>
    </xf>
    <xf numFmtId="169" fontId="2" fillId="0" borderId="4" applyAlignment="1" pivotButton="0" quotePrefix="0" xfId="0">
      <alignment horizontal="right" vertical="center"/>
    </xf>
    <xf numFmtId="49" fontId="2" fillId="0" borderId="4" applyAlignment="1" pivotButton="0" quotePrefix="0" xfId="0">
      <alignment horizontal="right" vertical="center"/>
    </xf>
    <xf numFmtId="1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0" fontId="20" fillId="0" borderId="4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right" vertical="center" wrapText="1"/>
    </xf>
    <xf numFmtId="165" fontId="2" fillId="0" borderId="4" applyAlignment="1" pivotButton="0" quotePrefix="0" xfId="0">
      <alignment horizontal="right" vertical="center" wrapText="1"/>
    </xf>
    <xf numFmtId="0" fontId="20" fillId="0" borderId="4" applyAlignment="1" pivotButton="0" quotePrefix="0" xfId="0">
      <alignment horizontal="center" vertical="center" wrapText="1"/>
    </xf>
    <xf numFmtId="172" fontId="2" fillId="0" borderId="4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right" vertical="center"/>
    </xf>
    <xf numFmtId="171" fontId="6" fillId="0" borderId="4" applyAlignment="1" pivotButton="0" quotePrefix="0" xfId="0">
      <alignment horizontal="right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165" fontId="18" fillId="0" borderId="4" applyAlignment="1" pivotButton="0" quotePrefix="0" xfId="0">
      <alignment horizontal="right" vertical="center"/>
    </xf>
    <xf numFmtId="171" fontId="18" fillId="0" borderId="4" applyAlignment="1" pivotButton="0" quotePrefix="0" xfId="0">
      <alignment horizontal="right" vertical="center"/>
    </xf>
    <xf numFmtId="0" fontId="9" fillId="0" borderId="4" applyAlignment="1" pivotButton="0" quotePrefix="0" xfId="0">
      <alignment horizontal="left" vertical="center"/>
    </xf>
    <xf numFmtId="3" fontId="9" fillId="0" borderId="4" applyAlignment="1" pivotButton="0" quotePrefix="0" xfId="0">
      <alignment horizontal="right" vertical="center"/>
    </xf>
    <xf numFmtId="165" fontId="9" fillId="0" borderId="4" applyAlignment="1" pivotButton="0" quotePrefix="0" xfId="0">
      <alignment horizontal="right" vertical="center"/>
    </xf>
    <xf numFmtId="17" fontId="9" fillId="0" borderId="4" applyAlignment="1" pivotButton="0" quotePrefix="0" xfId="0">
      <alignment horizontal="right" vertical="center"/>
    </xf>
    <xf numFmtId="168" fontId="9" fillId="0" borderId="4" applyAlignment="1" pivotButton="0" quotePrefix="0" xfId="0">
      <alignment horizontal="right" vertical="center"/>
    </xf>
    <xf numFmtId="3" fontId="6" fillId="0" borderId="4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4" applyAlignment="1" pivotButton="0" quotePrefix="0" xfId="0">
      <alignment horizontal="center" vertical="center"/>
    </xf>
    <xf numFmtId="0" fontId="0" fillId="0" borderId="14" pivotButton="0" quotePrefix="0" xfId="0"/>
    <xf numFmtId="166" fontId="7" fillId="0" borderId="4" applyAlignment="1" pivotButton="0" quotePrefix="0" xfId="0">
      <alignment horizontal="right" vertical="center"/>
    </xf>
    <xf numFmtId="0" fontId="6" fillId="4" borderId="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0" applyAlignment="1" pivotButton="0" quotePrefix="0" xfId="0">
      <alignment horizontal="center" vertical="center"/>
    </xf>
    <xf numFmtId="0" fontId="0" fillId="0" borderId="10" pivotButton="0" quotePrefix="0" xfId="0"/>
    <xf numFmtId="173" fontId="3" fillId="0" borderId="14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0" fillId="0" borderId="11" pivotButton="0" quotePrefix="0" xfId="0"/>
    <xf numFmtId="167" fontId="7" fillId="0" borderId="4" applyAlignment="1" pivotButton="0" quotePrefix="0" xfId="0">
      <alignment horizontal="right" vertical="center"/>
    </xf>
    <xf numFmtId="173" fontId="3" fillId="0" borderId="13" applyAlignment="1" pivotButton="0" quotePrefix="0" xfId="0">
      <alignment horizontal="right" vertical="center"/>
    </xf>
    <xf numFmtId="174" fontId="7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6" applyAlignment="1" pivotButton="0" quotePrefix="0" xfId="0">
      <alignment horizontal="left" vertical="center"/>
    </xf>
    <xf numFmtId="0" fontId="0" fillId="0" borderId="7" pivotButton="0" quotePrefix="0" xfId="0"/>
    <xf numFmtId="174" fontId="6" fillId="0" borderId="0" applyAlignment="1" pivotButton="0" quotePrefix="0" xfId="0">
      <alignment horizontal="right" vertical="center"/>
    </xf>
    <xf numFmtId="0" fontId="6" fillId="0" borderId="4" applyAlignment="1" pivotButton="0" quotePrefix="0" xfId="0">
      <alignment horizontal="left" vertical="center"/>
    </xf>
    <xf numFmtId="10" fontId="7" fillId="4" borderId="4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73" fontId="6" fillId="0" borderId="0" applyAlignment="1" pivotButton="0" quotePrefix="0" xfId="0">
      <alignment horizontal="right" vertical="center"/>
    </xf>
    <xf numFmtId="0" fontId="6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165" fontId="7" fillId="0" borderId="4" applyAlignment="1" pivotButton="0" quotePrefix="0" xfId="0">
      <alignment horizontal="right" vertical="center"/>
    </xf>
    <xf numFmtId="0" fontId="6" fillId="0" borderId="11" applyAlignment="1" pivotButton="0" quotePrefix="0" xfId="0">
      <alignment horizontal="center" vertical="center"/>
    </xf>
    <xf numFmtId="175" fontId="3" fillId="0" borderId="13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173" fontId="6" fillId="0" borderId="3" applyAlignment="1" pivotButton="0" quotePrefix="0" xfId="0">
      <alignment horizontal="right" vertical="center"/>
    </xf>
    <xf numFmtId="175" fontId="7" fillId="0" borderId="0" applyAlignment="1" pivotButton="0" quotePrefix="0" xfId="0">
      <alignment horizontal="right" vertical="center"/>
    </xf>
    <xf numFmtId="0" fontId="2" fillId="3" borderId="4" pivotButton="0" quotePrefix="0" xfId="0"/>
    <xf numFmtId="0" fontId="5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 wrapText="1"/>
    </xf>
    <xf numFmtId="0" fontId="17" fillId="2" borderId="4" applyAlignment="1" pivotButton="0" quotePrefix="0" xfId="0">
      <alignment horizontal="center" vertical="center" wrapText="1"/>
    </xf>
    <xf numFmtId="164" fontId="2" fillId="0" borderId="4" applyAlignment="1" pivotButton="0" quotePrefix="0" xfId="0">
      <alignment horizontal="right" vertical="center" wrapText="1"/>
    </xf>
    <xf numFmtId="165" fontId="2" fillId="0" borderId="4" applyAlignment="1" pivotButton="0" quotePrefix="0" xfId="0">
      <alignment horizontal="right" vertical="center" wrapText="1"/>
    </xf>
    <xf numFmtId="0" fontId="21" fillId="0" borderId="4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right" vertical="center" wrapText="1"/>
    </xf>
    <xf numFmtId="17" fontId="2" fillId="0" borderId="4" applyAlignment="1" pivotButton="0" quotePrefix="0" xfId="0">
      <alignment horizontal="right" vertical="center" wrapText="1"/>
    </xf>
    <xf numFmtId="176" fontId="2" fillId="0" borderId="4" applyAlignment="1" pivotButton="0" quotePrefix="0" xfId="0">
      <alignment horizontal="right" vertical="center" wrapText="1"/>
    </xf>
    <xf numFmtId="3" fontId="2" fillId="0" borderId="4" applyAlignment="1" pivotButton="0" quotePrefix="0" xfId="0">
      <alignment horizontal="right" vertical="center" wrapText="1"/>
    </xf>
    <xf numFmtId="171" fontId="2" fillId="0" borderId="4" applyAlignment="1" pivotButton="0" quotePrefix="0" xfId="0">
      <alignment horizontal="right" vertical="center" wrapText="1"/>
    </xf>
    <xf numFmtId="0" fontId="22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/>
    </xf>
    <xf numFmtId="0" fontId="23" fillId="0" borderId="4" applyAlignment="1" pivotButton="0" quotePrefix="0" xfId="0">
      <alignment horizontal="left" vertical="center" wrapText="1"/>
    </xf>
    <xf numFmtId="177" fontId="0" fillId="0" borderId="0" pivotButton="0" quotePrefix="0" xfId="0"/>
    <xf numFmtId="177" fontId="6" fillId="0" borderId="4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7" fontId="7" fillId="0" borderId="4" applyAlignment="1" pivotButton="0" quotePrefix="0" xfId="0">
      <alignment horizontal="right" vertical="center"/>
    </xf>
    <xf numFmtId="166" fontId="7" fillId="0" borderId="3" applyAlignment="1" pivotButton="0" quotePrefix="0" xfId="0">
      <alignment horizontal="right" vertical="center"/>
    </xf>
    <xf numFmtId="166" fontId="7" fillId="0" borderId="4" applyAlignment="1" pivotButton="0" quotePrefix="0" xfId="0">
      <alignment horizontal="right" vertical="center"/>
    </xf>
    <xf numFmtId="167" fontId="6" fillId="0" borderId="3" applyAlignment="1" pivotButton="0" quotePrefix="0" xfId="0">
      <alignment horizontal="right" vertical="center"/>
    </xf>
    <xf numFmtId="167" fontId="6" fillId="0" borderId="8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5" fontId="7" fillId="0" borderId="0" applyAlignment="1" pivotButton="0" quotePrefix="0" xfId="0">
      <alignment horizontal="right" vertical="center"/>
    </xf>
    <xf numFmtId="173" fontId="6" fillId="0" borderId="3" applyAlignment="1" pivotButton="0" quotePrefix="0" xfId="0">
      <alignment horizontal="right" vertical="center"/>
    </xf>
    <xf numFmtId="174" fontId="6" fillId="0" borderId="0" applyAlignment="1" pivotButton="0" quotePrefix="0" xfId="0">
      <alignment horizontal="right" vertical="center"/>
    </xf>
    <xf numFmtId="174" fontId="7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173" fontId="3" fillId="0" borderId="13" applyAlignment="1" pivotButton="0" quotePrefix="0" xfId="0">
      <alignment horizontal="right" vertical="center"/>
    </xf>
    <xf numFmtId="175" fontId="3" fillId="0" borderId="13" applyAlignment="1" pivotButton="0" quotePrefix="0" xfId="0">
      <alignment horizontal="right" vertical="center"/>
    </xf>
    <xf numFmtId="173" fontId="3" fillId="0" borderId="14" applyAlignment="1" pivotButton="0" quotePrefix="0" xfId="0">
      <alignment horizontal="right" vertical="center"/>
    </xf>
    <xf numFmtId="168" fontId="7" fillId="0" borderId="0" applyAlignment="1" pivotButton="0" quotePrefix="0" xfId="0">
      <alignment horizontal="center" vertical="center" wrapText="1"/>
    </xf>
    <xf numFmtId="169" fontId="7" fillId="0" borderId="0" applyAlignment="1" pivotButton="0" quotePrefix="0" xfId="0">
      <alignment horizontal="center" vertical="center" wrapText="1"/>
    </xf>
    <xf numFmtId="168" fontId="6" fillId="0" borderId="13" applyAlignment="1" pivotButton="0" quotePrefix="0" xfId="0">
      <alignment horizontal="center" vertical="center" wrapText="1"/>
    </xf>
    <xf numFmtId="170" fontId="6" fillId="0" borderId="13" applyAlignment="1" pivotButton="0" quotePrefix="0" xfId="0">
      <alignment horizontal="center" vertical="center" wrapText="1"/>
    </xf>
    <xf numFmtId="168" fontId="6" fillId="0" borderId="4" applyAlignment="1" pivotButton="0" quotePrefix="0" xfId="0">
      <alignment horizontal="right" vertical="center"/>
    </xf>
    <xf numFmtId="169" fontId="7" fillId="0" borderId="4" applyAlignment="1" pivotButton="0" quotePrefix="0" xfId="0">
      <alignment horizontal="center" vertical="center"/>
    </xf>
    <xf numFmtId="169" fontId="6" fillId="0" borderId="4" applyAlignment="1" pivotButton="0" quotePrefix="0" xfId="0">
      <alignment horizontal="center" vertical="center"/>
    </xf>
    <xf numFmtId="168" fontId="7" fillId="0" borderId="4" applyAlignment="1" pivotButton="0" quotePrefix="0" xfId="0">
      <alignment horizontal="right" vertical="center"/>
    </xf>
    <xf numFmtId="168" fontId="12" fillId="0" borderId="4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171" fontId="18" fillId="0" borderId="0" applyAlignment="1" pivotButton="0" quotePrefix="0" xfId="0">
      <alignment horizontal="right" vertical="center"/>
    </xf>
    <xf numFmtId="166" fontId="2" fillId="0" borderId="4" applyAlignment="1" pivotButton="0" quotePrefix="0" xfId="0">
      <alignment horizontal="right" vertical="center"/>
    </xf>
    <xf numFmtId="169" fontId="2" fillId="0" borderId="4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71" fontId="2" fillId="0" borderId="4" applyAlignment="1" pivotButton="0" quotePrefix="0" xfId="0">
      <alignment horizontal="right" vertical="center" wrapText="1"/>
    </xf>
    <xf numFmtId="172" fontId="2" fillId="0" borderId="4" applyAlignment="1" pivotButton="0" quotePrefix="0" xfId="0">
      <alignment horizontal="right" vertical="center" wrapText="1"/>
    </xf>
    <xf numFmtId="177" fontId="6" fillId="0" borderId="4" applyAlignment="1" pivotButton="0" quotePrefix="0" xfId="0">
      <alignment horizontal="right" vertical="center"/>
    </xf>
    <xf numFmtId="177" fontId="0" fillId="0" borderId="0" pivotButton="0" quotePrefix="0" xfId="0"/>
    <xf numFmtId="171" fontId="6" fillId="0" borderId="4" applyAlignment="1" pivotButton="0" quotePrefix="0" xfId="0">
      <alignment horizontal="right" vertical="center"/>
    </xf>
    <xf numFmtId="171" fontId="18" fillId="0" borderId="4" applyAlignment="1" pivotButton="0" quotePrefix="0" xfId="0">
      <alignment horizontal="right" vertical="center"/>
    </xf>
    <xf numFmtId="168" fontId="9" fillId="0" borderId="4" applyAlignment="1" pivotButton="0" quotePrefix="0" xfId="0">
      <alignment horizontal="right" vertical="center"/>
    </xf>
  </cellXfs>
  <cellStyles count="6">
    <cellStyle name="Normal" xfId="0" builtinId="0"/>
    <cellStyle name="Comma" xfId="1"/>
    <cellStyle name="Comma [0]" xfId="2"/>
    <cellStyle name="Currency" xfId="3"/>
    <cellStyle name="Currency [0]" xfId="4"/>
    <cellStyle name="Percent" xf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F6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Model</author>
    <author>Source</author>
  </authors>
  <commentList>
    <comment ref="AD2" authorId="0" shapeId="0">
      <text>
        <t>Placeholder NOI at acquisition from PDF page 8. Will later link to NOI output.</t>
      </text>
    </comment>
    <comment ref="AD3" authorId="0" shapeId="0">
      <text>
        <t>Placeholder NOI at debt acquisition from PDF page 8. Will later link to NOI output.</t>
      </text>
    </comment>
    <comment ref="AD4" authorId="0" shapeId="0">
      <text>
        <t>Placeholder acquisition loan payoff balance (used as refi principal) from PDF page 8.</t>
      </text>
    </comment>
    <comment ref="AD5" authorId="0" shapeId="0">
      <text>
        <t>Placeholder max refi proceeds from PDF page 8.</t>
      </text>
    </comment>
    <comment ref="P7" authorId="1" shapeId="0">
      <text>
        <t>Source: Industrial Acquisition Assumptions.pdf (page 8)</t>
      </text>
    </comment>
    <comment ref="AD10" authorId="0" shapeId="0">
      <text>
        <t>Acquisition financing fee rate (1.0%) from PDF page 8.</t>
      </text>
    </comment>
    <comment ref="AD11" authorId="0" shapeId="0">
      <text>
        <t>Renovation costs from PDF page 8 / renovation budget summary.</t>
      </text>
    </comment>
    <comment ref="F17" authorId="1" shapeId="0">
      <text>
        <t>Source: Industrial Acquisition Assumptions.pdf (page 8)</t>
      </text>
    </comment>
    <comment ref="E18" authorId="1" shapeId="0">
      <text>
        <t>Source: Industrial Acquisition Assumptions.pdf (page 8)</t>
      </text>
    </comment>
    <comment ref="F29" authorId="1" shapeId="0">
      <text>
        <t>Source: Industrial Acquisition Assumptions.pdf (page 8)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A6" authorId="0" shapeId="0">
      <text>
        <t>Template source: Industrial+Acquisition+Renovation+Budget.pdf</t>
      </text>
    </comment>
  </commentList>
</comments>
</file>

<file path=xl/tables/table1.xml><?xml version="1.0" encoding="utf-8"?>
<table xmlns="http://schemas.openxmlformats.org/spreadsheetml/2006/main" id="1" name="tbl_rentroll_in_place" displayName="tbl_rentroll_in_place" ref="A8:I29" headerRowCount="1">
  <autoFilter ref="A8:I29"/>
  <tableColumns count="9">
    <tableColumn id="1" name="Tenant"/>
    <tableColumn id="2" name="Sq Ft"/>
    <tableColumn id="3" name="% Total"/>
    <tableColumn id="4" name="Current Annual_x000a_Rent PSF"/>
    <tableColumn id="5" name="Annual Step_x000a_Calculation"/>
    <tableColumn id="6" name="Annual_x000a_Step_x000a_Amounts"/>
    <tableColumn id="7" name="Lease Start"/>
    <tableColumn id="8" name="Lease End"/>
    <tableColumn id="9" name="Lease 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rentroll_market" displayName="tbl_rentroll_market" ref="A35:I55" headerRowCount="1">
  <autoFilter ref="A35:I55"/>
  <tableColumns count="9">
    <tableColumn id="1" name="Tenant"/>
    <tableColumn id="2" name="Sq Ft"/>
    <tableColumn id="3" name="% Total"/>
    <tableColumn id="4" name="Market Annual_x000a_Rent PSF"/>
    <tableColumn id="5" name="Annual Step_x000a_Calculation"/>
    <tableColumn id="6" name="Annual_x000a_Step_x000a_Amounts"/>
    <tableColumn id="7" name="Lease Start"/>
    <tableColumn id="8" name="Lease End"/>
    <tableColumn id="9" name="Lease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IND_ACQ</t>
        </is>
      </c>
    </row>
    <row r="2">
      <c r="A2" t="inlineStr">
        <is>
          <t>Template_Version</t>
        </is>
      </c>
      <c r="B2" t="inlineStr">
        <is>
          <t>1.0.0</t>
        </is>
      </c>
    </row>
    <row r="3">
      <c r="A3" t="inlineStr">
        <is>
          <t>Contract_Version</t>
        </is>
      </c>
      <c r="B3" t="inlineStr">
        <is>
          <t>IND_ACQ_V1</t>
        </is>
      </c>
    </row>
    <row r="4">
      <c r="A4" t="inlineStr">
        <is>
          <t>Generated_On</t>
        </is>
      </c>
      <c r="B4" t="inlineStr">
        <is>
          <t>2025-12-21T21:38:18Z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7"/>
  <sheetViews>
    <sheetView showGridLines="0" tabSelected="1" topLeftCell="B1" workbookViewId="0">
      <selection activeCell="H6" sqref="H6:Q39"/>
    </sheetView>
  </sheetViews>
  <sheetFormatPr baseColWidth="10" defaultColWidth="8.6640625" defaultRowHeight="13"/>
  <cols>
    <col width="16" customWidth="1" style="148" min="1" max="1"/>
    <col width="4" customWidth="1" style="148" min="2" max="4"/>
    <col width="10" customWidth="1" style="148" min="5" max="5"/>
    <col width="14" customWidth="1" style="148" min="6" max="6"/>
    <col width="2" customWidth="1" style="148" min="7" max="7"/>
    <col width="12" customWidth="1" style="148" min="8" max="8"/>
    <col width="4" customWidth="1" style="148" min="9" max="13"/>
    <col width="6" customWidth="1" style="148" min="14" max="15"/>
    <col width="10" customWidth="1" style="148" min="16" max="17"/>
    <col width="2" customWidth="1" style="148" min="18" max="18"/>
    <col width="14" customWidth="1" style="148" min="19" max="19"/>
    <col width="4" customWidth="1" style="148" min="20" max="25"/>
    <col width="10" customWidth="1" style="148" min="26" max="26"/>
    <col width="12" customWidth="1" style="148" min="27" max="27"/>
    <col width="2" customWidth="1" style="148" min="28" max="32"/>
  </cols>
  <sheetData>
    <row r="1" ht="15" customHeight="1" s="148">
      <c r="A1" s="1" t="inlineStr">
        <is>
          <t>Project Name</t>
        </is>
      </c>
    </row>
    <row r="2" ht="15" customHeight="1" s="148">
      <c r="A2" s="1" t="inlineStr">
        <is>
          <t>City, State</t>
        </is>
      </c>
      <c r="AD2" s="2" t="n">
        <v>1257437</v>
      </c>
    </row>
    <row r="3" ht="15" customHeight="1" s="148">
      <c r="AD3" s="2" t="n">
        <v>1651217</v>
      </c>
    </row>
    <row r="4" ht="15" customHeight="1" s="148">
      <c r="A4" s="3" t="inlineStr">
        <is>
          <t>Assumptions</t>
        </is>
      </c>
      <c r="AD4" s="2" t="n">
        <v>11254064</v>
      </c>
    </row>
    <row r="5" ht="15" customHeight="1" s="148">
      <c r="AD5" t="n">
        <v>11464581</v>
      </c>
    </row>
    <row r="6" ht="18" customHeight="1" s="148">
      <c r="A6" s="169" t="inlineStr">
        <is>
          <t>General Property</t>
        </is>
      </c>
      <c r="B6" s="155" t="n"/>
      <c r="C6" s="155" t="n"/>
      <c r="D6" s="155" t="n"/>
      <c r="E6" s="155" t="n"/>
      <c r="F6" s="158" t="n"/>
      <c r="H6" s="169" t="inlineStr">
        <is>
          <t>Operating Assumptions</t>
        </is>
      </c>
      <c r="I6" s="155" t="n"/>
      <c r="J6" s="155" t="n"/>
      <c r="K6" s="155" t="n"/>
      <c r="L6" s="155" t="n"/>
      <c r="M6" s="155" t="n"/>
      <c r="N6" s="155" t="n"/>
      <c r="O6" s="155" t="n"/>
      <c r="P6" s="155" t="n"/>
      <c r="Q6" s="158" t="n"/>
      <c r="S6" s="169" t="inlineStr">
        <is>
          <t>Acquisition Debt Assumptions</t>
        </is>
      </c>
      <c r="T6" s="155" t="n"/>
      <c r="U6" s="155" t="n"/>
      <c r="V6" s="155" t="n"/>
      <c r="W6" s="155" t="n"/>
      <c r="X6" s="155" t="n"/>
      <c r="Y6" s="155" t="n"/>
      <c r="Z6" s="155" t="n"/>
      <c r="AA6" s="158" t="n"/>
    </row>
    <row r="7" ht="15" customHeight="1" s="148">
      <c r="A7" s="147" t="inlineStr">
        <is>
          <t>Project Name</t>
        </is>
      </c>
      <c r="E7" s="5" t="n"/>
      <c r="F7" s="6" t="inlineStr">
        <is>
          <t>Project Name</t>
        </is>
      </c>
      <c r="H7" s="147" t="inlineStr">
        <is>
          <t>General Vacancy (% Tenant Rev)</t>
        </is>
      </c>
      <c r="N7" s="7" t="n"/>
      <c r="O7" s="7" t="n"/>
      <c r="P7" s="8" t="n">
        <v>0.05</v>
      </c>
      <c r="Q7" s="9" t="n"/>
      <c r="S7" s="147" t="inlineStr">
        <is>
          <t>First Mortgage Financing</t>
        </is>
      </c>
      <c r="Z7" s="7" t="n"/>
      <c r="AA7" s="9" t="n"/>
    </row>
    <row r="8" ht="15" customHeight="1" s="148">
      <c r="A8" s="147" t="inlineStr">
        <is>
          <t>Building City, State</t>
        </is>
      </c>
      <c r="E8" s="5" t="n"/>
      <c r="F8" s="6" t="inlineStr">
        <is>
          <t>City, State</t>
        </is>
      </c>
      <c r="H8" s="147" t="inlineStr">
        <is>
          <t>Credit Loss (% Tenant Rev)</t>
        </is>
      </c>
      <c r="N8" s="7" t="n"/>
      <c r="O8" s="7" t="n"/>
      <c r="P8" s="8" t="n">
        <v>0</v>
      </c>
      <c r="Q8" s="9" t="n"/>
      <c r="S8" s="147" t="inlineStr">
        <is>
          <t>Cash Flow Sweep?</t>
        </is>
      </c>
      <c r="Z8" s="149" t="inlineStr">
        <is>
          <t>No</t>
        </is>
      </c>
      <c r="AA8" s="150" t="n"/>
    </row>
    <row r="9" ht="15" customHeight="1" s="148">
      <c r="A9" s="147" t="inlineStr">
        <is>
          <t>General Partner</t>
        </is>
      </c>
      <c r="E9" s="5" t="n"/>
      <c r="F9" s="6" t="inlineStr">
        <is>
          <t>General Partner</t>
        </is>
      </c>
      <c r="H9" s="11" t="n"/>
      <c r="I9" s="7" t="n"/>
      <c r="J9" s="7" t="n"/>
      <c r="K9" s="7" t="n"/>
      <c r="L9" s="7" t="n"/>
      <c r="M9" s="7" t="n"/>
      <c r="N9" s="7" t="n"/>
      <c r="O9" s="7" t="n"/>
      <c r="P9" s="7" t="n"/>
      <c r="Q9" s="9" t="n"/>
      <c r="S9" s="147" t="inlineStr">
        <is>
          <t>Loan to Value - Acquisition</t>
        </is>
      </c>
      <c r="Z9" s="7" t="n"/>
      <c r="AA9" s="12" t="n">
        <v>0.6</v>
      </c>
    </row>
    <row r="10" ht="15" customHeight="1" s="148">
      <c r="A10" s="147" t="inlineStr">
        <is>
          <t>Limited Partner</t>
        </is>
      </c>
      <c r="E10" s="5" t="n"/>
      <c r="F10" s="6" t="inlineStr">
        <is>
          <t>Limited Partner</t>
        </is>
      </c>
      <c r="H10" s="173" t="inlineStr">
        <is>
          <t>Revenue Assumptions</t>
        </is>
      </c>
      <c r="Q10" s="163" t="n"/>
      <c r="S10" s="147" t="inlineStr">
        <is>
          <t>% of Renovation Costs Funded</t>
        </is>
      </c>
      <c r="Z10" s="7" t="n"/>
      <c r="AA10" s="12" t="n">
        <v>0.6</v>
      </c>
      <c r="AD10" s="13" t="n">
        <v>0.01</v>
      </c>
    </row>
    <row r="11" ht="15" customHeight="1" s="148">
      <c r="A11" s="147" t="inlineStr">
        <is>
          <t>Analysis Start Month</t>
        </is>
      </c>
      <c r="E11" s="14" t="n">
        <v>0</v>
      </c>
      <c r="F11" s="15" t="n">
        <v>45658</v>
      </c>
      <c r="H11" s="147" t="inlineStr">
        <is>
          <t>Parking Revenue (Annual)</t>
        </is>
      </c>
      <c r="N11" s="149" t="inlineStr">
        <is>
          <t>$/NSF</t>
        </is>
      </c>
      <c r="O11" s="150" t="n"/>
      <c r="P11" s="205" t="n">
        <v>0</v>
      </c>
      <c r="Q11" s="150" t="n"/>
      <c r="S11" s="147" t="inlineStr">
        <is>
          <t>% of TI/LC Funded</t>
        </is>
      </c>
      <c r="Z11" s="7" t="n"/>
      <c r="AA11" s="12" t="n">
        <v>0.6</v>
      </c>
      <c r="AD11" s="2" t="n">
        <v>6531000</v>
      </c>
    </row>
    <row r="12" ht="15" customHeight="1" s="148">
      <c r="A12" s="147" t="inlineStr">
        <is>
          <t>Gross SF</t>
        </is>
      </c>
      <c r="E12" s="5" t="n"/>
      <c r="F12" s="16" t="n">
        <v>150000</v>
      </c>
      <c r="H12" s="170" t="inlineStr">
        <is>
          <t>Other Revenue 1 (Annual)</t>
        </is>
      </c>
      <c r="N12" s="149" t="inlineStr">
        <is>
          <t>$/NSF</t>
        </is>
      </c>
      <c r="O12" s="150" t="n"/>
      <c r="P12" s="205" t="n">
        <v>0</v>
      </c>
      <c r="Q12" s="150" t="n"/>
      <c r="S12" s="147" t="inlineStr">
        <is>
          <t>% of CapEx Funded</t>
        </is>
      </c>
      <c r="Z12" s="7" t="n"/>
      <c r="AA12" s="12" t="n">
        <v>0.6</v>
      </c>
    </row>
    <row r="13" ht="15" customHeight="1" s="148">
      <c r="A13" s="147" t="inlineStr">
        <is>
          <t>Net SF</t>
        </is>
      </c>
      <c r="E13" s="5" t="n"/>
      <c r="F13" s="16" t="n">
        <v>125000</v>
      </c>
      <c r="H13" s="170" t="inlineStr">
        <is>
          <t>Other Revenue 2 (Annual)</t>
        </is>
      </c>
      <c r="N13" s="149" t="inlineStr">
        <is>
          <t>$/NSF</t>
        </is>
      </c>
      <c r="O13" s="150" t="n"/>
      <c r="P13" s="205" t="n">
        <v>0</v>
      </c>
      <c r="Q13" s="150" t="n"/>
      <c r="S13" s="147" t="inlineStr">
        <is>
          <t>Loan Amount - Acquisition</t>
        </is>
      </c>
      <c r="Z13" s="7" t="n"/>
      <c r="AA13" s="17">
        <f>ROUND(AA9*($F$24 + $AD$10*($AD$11*AA10 + $Z15))/(1-AA9*$AD$10),0)</f>
        <v/>
      </c>
    </row>
    <row r="14" ht="15" customHeight="1" s="148">
      <c r="A14" s="164" t="inlineStr">
        <is>
          <t>Month Stabilized</t>
        </is>
      </c>
      <c r="B14" s="165" t="n"/>
      <c r="C14" s="165" t="n"/>
      <c r="D14" s="165" t="n"/>
      <c r="E14" s="18" t="n"/>
      <c r="F14" s="19" t="inlineStr">
        <is>
          <t>Month 1</t>
        </is>
      </c>
      <c r="H14" s="170" t="inlineStr">
        <is>
          <t>Other Revenue 3 (Annual)</t>
        </is>
      </c>
      <c r="N14" s="149" t="inlineStr">
        <is>
          <t>$/NSF</t>
        </is>
      </c>
      <c r="O14" s="150" t="n"/>
      <c r="P14" s="205" t="n">
        <v>0</v>
      </c>
      <c r="Q14" s="150" t="n"/>
      <c r="S14" s="147" t="inlineStr">
        <is>
          <t>Loan Amount - Renovation</t>
        </is>
      </c>
      <c r="Z14" s="7" t="n"/>
      <c r="AA14" s="17">
        <f>ROUND($AD$11*AA10,0)</f>
        <v/>
      </c>
    </row>
    <row r="15" ht="15" customHeight="1" s="148">
      <c r="H15" s="170" t="inlineStr">
        <is>
          <t>Other Revenue 4 (Annual)</t>
        </is>
      </c>
      <c r="N15" s="149" t="inlineStr">
        <is>
          <t>$/NSF</t>
        </is>
      </c>
      <c r="O15" s="150" t="n"/>
      <c r="P15" s="205" t="n">
        <v>0</v>
      </c>
      <c r="Q15" s="150" t="n"/>
      <c r="S15" s="147" t="inlineStr">
        <is>
          <t>Loan Amount - TI/LC/CapEx Holdback</t>
        </is>
      </c>
      <c r="Z15" s="20" t="n">
        <v>300000</v>
      </c>
      <c r="AA15" s="17">
        <f>Z15</f>
        <v/>
      </c>
    </row>
    <row r="16" ht="18" customHeight="1" s="148">
      <c r="A16" s="157" t="inlineStr">
        <is>
          <t>Acquisition Assumptions</t>
        </is>
      </c>
      <c r="B16" s="155" t="n"/>
      <c r="C16" s="155" t="n"/>
      <c r="D16" s="155" t="n"/>
      <c r="E16" s="155" t="n"/>
      <c r="F16" s="158" t="n"/>
      <c r="H16" s="170" t="inlineStr">
        <is>
          <t>Other Revenue 5 (Annual)</t>
        </is>
      </c>
      <c r="N16" s="149" t="inlineStr">
        <is>
          <t>$/NSF</t>
        </is>
      </c>
      <c r="O16" s="150" t="n"/>
      <c r="P16" s="205" t="n">
        <v>0</v>
      </c>
      <c r="Q16" s="150" t="n"/>
      <c r="S16" s="147" t="inlineStr">
        <is>
          <t>Loan Proceeds</t>
        </is>
      </c>
      <c r="Z16" s="7" t="n"/>
      <c r="AA16" s="17">
        <f>ROUND(AA13+AA14+AA15,0)</f>
        <v/>
      </c>
    </row>
    <row r="17" ht="15" customHeight="1" s="148">
      <c r="A17" s="147" t="inlineStr">
        <is>
          <t>Building Acquisition Price</t>
        </is>
      </c>
      <c r="E17" s="21" t="n"/>
      <c r="F17" s="22" t="n">
        <v>12000000</v>
      </c>
      <c r="H17" s="11" t="n"/>
      <c r="I17" s="7" t="n"/>
      <c r="J17" s="7" t="n"/>
      <c r="K17" s="7" t="n"/>
      <c r="L17" s="7" t="n"/>
      <c r="M17" s="7" t="n"/>
      <c r="N17" s="7" t="n"/>
      <c r="O17" s="7" t="n"/>
      <c r="P17" s="7" t="n"/>
      <c r="Q17" s="9" t="n"/>
      <c r="S17" s="147" t="inlineStr">
        <is>
          <t>Fixed Interest Rate?</t>
        </is>
      </c>
      <c r="Z17" s="149" t="inlineStr">
        <is>
          <t>Y</t>
        </is>
      </c>
      <c r="AA17" s="150" t="n"/>
    </row>
    <row r="18" ht="15" customHeight="1" s="148">
      <c r="A18" s="147" t="inlineStr">
        <is>
          <t>Closing Costs</t>
        </is>
      </c>
      <c r="E18" s="8" t="n">
        <v>0.03</v>
      </c>
      <c r="F18" s="17">
        <f>ROUND($F$17*$E$18,0)</f>
        <v/>
      </c>
      <c r="H18" s="173" t="inlineStr">
        <is>
          <t>Expense Assumptions</t>
        </is>
      </c>
      <c r="Q18" s="163" t="n"/>
      <c r="S18" s="147" t="inlineStr">
        <is>
          <t>Fixed Rate/Spread over SOFR</t>
        </is>
      </c>
      <c r="Z18" s="7" t="n"/>
      <c r="AA18" s="23" t="n">
        <v>0.055</v>
      </c>
    </row>
    <row r="19" ht="15" customHeight="1" s="148">
      <c r="A19" s="147" t="inlineStr">
        <is>
          <t>Partner Acquisition Fee</t>
        </is>
      </c>
      <c r="E19" s="21" t="n"/>
      <c r="F19" s="206" t="n">
        <v>0</v>
      </c>
      <c r="H19" s="147" t="inlineStr">
        <is>
          <t>Management Fee (Annual)</t>
        </is>
      </c>
      <c r="N19" s="149" t="inlineStr">
        <is>
          <t>% EGI</t>
        </is>
      </c>
      <c r="O19" s="150" t="n"/>
      <c r="P19" s="174" t="n">
        <v>0.015</v>
      </c>
      <c r="Q19" s="150" t="n"/>
      <c r="S19" s="147" t="inlineStr">
        <is>
          <t>SOFR Cap</t>
        </is>
      </c>
      <c r="Z19" s="7" t="n"/>
      <c r="AA19" s="23" t="n">
        <v>0.08</v>
      </c>
    </row>
    <row r="20" ht="15" customHeight="1" s="148">
      <c r="A20" s="147" t="inlineStr">
        <is>
          <t>Required Reserves</t>
        </is>
      </c>
      <c r="E20" s="21" t="n"/>
      <c r="F20" s="206" t="n">
        <v>0</v>
      </c>
      <c r="H20" s="147" t="inlineStr">
        <is>
          <t>Insurance (Annual)</t>
        </is>
      </c>
      <c r="N20" s="149" t="inlineStr">
        <is>
          <t>Fixed</t>
        </is>
      </c>
      <c r="O20" s="150" t="n"/>
      <c r="P20" s="207" t="n">
        <v>10080</v>
      </c>
      <c r="Q20" s="150" t="n"/>
      <c r="S20" s="147" t="inlineStr">
        <is>
          <t>SOFR Floor</t>
        </is>
      </c>
      <c r="Z20" s="7" t="n"/>
      <c r="AA20" s="23" t="n">
        <v>0</v>
      </c>
    </row>
    <row r="21" ht="15" customHeight="1" s="148">
      <c r="A21" s="147" t="inlineStr">
        <is>
          <t>Legal Costs</t>
        </is>
      </c>
      <c r="E21" s="21" t="n"/>
      <c r="F21" s="206" t="n">
        <v>0</v>
      </c>
      <c r="H21" s="147" t="inlineStr">
        <is>
          <t>G&amp;A (Annual)</t>
        </is>
      </c>
      <c r="N21" s="149" t="inlineStr">
        <is>
          <t>Fixed</t>
        </is>
      </c>
      <c r="O21" s="150" t="n"/>
      <c r="P21" s="207" t="n">
        <v>0</v>
      </c>
      <c r="Q21" s="150" t="n"/>
      <c r="S21" s="147" t="inlineStr">
        <is>
          <t>Financing Fee</t>
        </is>
      </c>
      <c r="Z21" s="8" t="n">
        <v>0.01</v>
      </c>
      <c r="AA21" s="17">
        <f>ROUND($Z21*$AA16,0)</f>
        <v/>
      </c>
    </row>
    <row r="22" ht="15" customHeight="1" s="148">
      <c r="A22" s="147" t="inlineStr">
        <is>
          <t>Financing Fees - Transfer Fee</t>
        </is>
      </c>
      <c r="E22" s="21" t="n"/>
      <c r="F22" s="206" t="n">
        <v>0</v>
      </c>
      <c r="H22" s="147" t="inlineStr">
        <is>
          <t>Utilities (Annual)</t>
        </is>
      </c>
      <c r="N22" s="149" t="inlineStr">
        <is>
          <t>Fixed</t>
        </is>
      </c>
      <c r="O22" s="150" t="n"/>
      <c r="P22" s="207" t="n">
        <v>15862</v>
      </c>
      <c r="Q22" s="150" t="n"/>
      <c r="S22" s="147" t="inlineStr">
        <is>
          <t>Interest Calculation</t>
        </is>
      </c>
      <c r="Z22" s="149" t="inlineStr">
        <is>
          <t>30/360</t>
        </is>
      </c>
      <c r="AA22" s="150" t="n"/>
    </row>
    <row r="23" ht="15" customHeight="1" s="148">
      <c r="A23" s="147" t="inlineStr">
        <is>
          <t>Other Financing Fees</t>
        </is>
      </c>
      <c r="E23" s="21" t="n"/>
      <c r="F23" s="206" t="n">
        <v>0</v>
      </c>
      <c r="H23" s="147" t="inlineStr">
        <is>
          <t>R&amp;M (Annual)</t>
        </is>
      </c>
      <c r="N23" s="149" t="inlineStr">
        <is>
          <t>Fixed</t>
        </is>
      </c>
      <c r="O23" s="150" t="n"/>
      <c r="P23" s="207" t="n">
        <v>16897</v>
      </c>
      <c r="Q23" s="150" t="n"/>
      <c r="S23" s="147" t="inlineStr">
        <is>
          <t>I/O Period (Months)</t>
        </is>
      </c>
      <c r="Z23" s="7" t="n"/>
      <c r="AA23" s="25" t="inlineStr">
        <is>
          <t>-</t>
        </is>
      </c>
    </row>
    <row r="24" ht="15" customHeight="1" s="148">
      <c r="A24" s="147" t="inlineStr">
        <is>
          <t>All In Acquisition Costs</t>
        </is>
      </c>
      <c r="E24" s="21" t="n"/>
      <c r="F24" s="17">
        <f>ROUND($F$17+$F$18+$F$19+$F$20+$F$21+$F$22+$F$23,0)</f>
        <v/>
      </c>
      <c r="H24" s="147" t="inlineStr">
        <is>
          <t>Cleaning/Janitorial Services (Annual)</t>
        </is>
      </c>
      <c r="N24" s="149" t="inlineStr">
        <is>
          <t>Fixed</t>
        </is>
      </c>
      <c r="O24" s="150" t="n"/>
      <c r="P24" s="207" t="n">
        <v>0</v>
      </c>
      <c r="Q24" s="150" t="n"/>
      <c r="S24" s="147" t="inlineStr">
        <is>
          <t>Amortization (Years)</t>
        </is>
      </c>
      <c r="Z24" s="7" t="n"/>
      <c r="AA24" s="26" t="n">
        <v>30</v>
      </c>
    </row>
    <row r="25" ht="15" customHeight="1" s="148">
      <c r="A25" s="164" t="inlineStr">
        <is>
          <t>Going In Cap Rate</t>
        </is>
      </c>
      <c r="B25" s="165" t="n"/>
      <c r="C25" s="165" t="n"/>
      <c r="D25" s="165" t="n"/>
      <c r="E25" s="27" t="n"/>
      <c r="F25" s="28">
        <f>$AD$2/$F$17</f>
        <v/>
      </c>
      <c r="H25" s="147" t="inlineStr">
        <is>
          <t>Security (Annual)</t>
        </is>
      </c>
      <c r="N25" s="149" t="inlineStr">
        <is>
          <t>Fixed</t>
        </is>
      </c>
      <c r="O25" s="150" t="n"/>
      <c r="P25" s="207" t="n">
        <v>5000</v>
      </c>
      <c r="Q25" s="150" t="n"/>
      <c r="S25" s="147" t="inlineStr">
        <is>
          <t>Acquisition Loan Payoff Month</t>
        </is>
      </c>
      <c r="Z25" s="29">
        <f>EDATE($F$11,36)</f>
        <v/>
      </c>
      <c r="AA25" s="30" t="inlineStr">
        <is>
          <t>Month 36</t>
        </is>
      </c>
    </row>
    <row r="26" ht="15" customHeight="1" s="148">
      <c r="H26" s="147" t="inlineStr">
        <is>
          <t>Non-Recoverable OpEx (Annual)</t>
        </is>
      </c>
      <c r="N26" s="149" t="inlineStr">
        <is>
          <t>Fixed</t>
        </is>
      </c>
      <c r="O26" s="150" t="n"/>
      <c r="P26" s="207" t="n">
        <v>0</v>
      </c>
      <c r="Q26" s="150" t="n"/>
      <c r="S26" s="164" t="inlineStr">
        <is>
          <t>Exit Fee</t>
        </is>
      </c>
      <c r="T26" s="165" t="n"/>
      <c r="U26" s="165" t="n"/>
      <c r="V26" s="165" t="n"/>
      <c r="W26" s="165" t="n"/>
      <c r="X26" s="165" t="n"/>
      <c r="Y26" s="165" t="n"/>
      <c r="Z26" s="31" t="n"/>
      <c r="AA26" s="32" t="n">
        <v>0</v>
      </c>
    </row>
    <row r="27" ht="18" customHeight="1" s="148">
      <c r="A27" s="169" t="inlineStr">
        <is>
          <t>Exit Assumptions</t>
        </is>
      </c>
      <c r="B27" s="155" t="n"/>
      <c r="C27" s="155" t="n"/>
      <c r="D27" s="155" t="n"/>
      <c r="E27" s="155" t="n"/>
      <c r="F27" s="158" t="n"/>
      <c r="H27" s="147" t="inlineStr">
        <is>
          <t>Property Taxes (Fixed)</t>
        </is>
      </c>
      <c r="N27" s="149" t="inlineStr">
        <is>
          <t>Fixed</t>
        </is>
      </c>
      <c r="O27" s="150" t="n"/>
      <c r="P27" s="207" t="n">
        <v>353650</v>
      </c>
      <c r="Q27" s="150" t="n"/>
    </row>
    <row r="28" ht="18" customHeight="1" s="148">
      <c r="A28" s="147" t="inlineStr">
        <is>
          <t>Sale Month / Year / Date</t>
        </is>
      </c>
      <c r="E28" s="14" t="n">
        <v>60</v>
      </c>
      <c r="F28" s="33">
        <f>EDATE($F$11,$E$28)</f>
        <v/>
      </c>
      <c r="H28" s="170" t="inlineStr">
        <is>
          <t>Other Expense 1 (Annual)</t>
        </is>
      </c>
      <c r="N28" s="149" t="inlineStr">
        <is>
          <t>$/NSF</t>
        </is>
      </c>
      <c r="O28" s="150" t="n"/>
      <c r="P28" s="205" t="n">
        <v>0.4</v>
      </c>
      <c r="Q28" s="150" t="n"/>
      <c r="S28" s="169" t="inlineStr">
        <is>
          <t>Refi Debt Assumptions</t>
        </is>
      </c>
      <c r="T28" s="155" t="n"/>
      <c r="U28" s="155" t="n"/>
      <c r="V28" s="155" t="n"/>
      <c r="W28" s="155" t="n"/>
      <c r="X28" s="155" t="n"/>
      <c r="Y28" s="155" t="n"/>
      <c r="Z28" s="155" t="n"/>
      <c r="AA28" s="158" t="n"/>
    </row>
    <row r="29" ht="15" customHeight="1" s="148">
      <c r="A29" s="147" t="inlineStr">
        <is>
          <t>Exit Cap Rate Assumption</t>
        </is>
      </c>
      <c r="E29" s="7" t="n"/>
      <c r="F29" s="23" t="n">
        <v>0.065</v>
      </c>
      <c r="H29" s="170" t="inlineStr">
        <is>
          <t>Other Expense 2 (Annual)</t>
        </is>
      </c>
      <c r="N29" s="149" t="inlineStr">
        <is>
          <t>$/NSF</t>
        </is>
      </c>
      <c r="O29" s="150" t="n"/>
      <c r="P29" s="205" t="n">
        <v>0</v>
      </c>
      <c r="Q29" s="150" t="n"/>
      <c r="S29" s="147" t="inlineStr">
        <is>
          <t>Conversion Method (LTV/Acquisition)</t>
        </is>
      </c>
      <c r="Z29" s="149" t="inlineStr">
        <is>
          <t>Acquisition</t>
        </is>
      </c>
      <c r="AA29" s="150" t="n"/>
    </row>
    <row r="30" ht="15" customHeight="1" s="148">
      <c r="A30" s="147" t="inlineStr">
        <is>
          <t>NOI at Exit</t>
        </is>
      </c>
      <c r="E30" s="149" t="inlineStr">
        <is>
          <t>Forward 12</t>
        </is>
      </c>
      <c r="F30" s="22" t="n">
        <v>1815948</v>
      </c>
      <c r="H30" s="170" t="inlineStr">
        <is>
          <t>Other Expense 3 (Annual)</t>
        </is>
      </c>
      <c r="N30" s="149" t="inlineStr">
        <is>
          <t>$/NSF</t>
        </is>
      </c>
      <c r="O30" s="150" t="n"/>
      <c r="P30" s="205" t="n">
        <v>0</v>
      </c>
      <c r="Q30" s="150" t="n"/>
      <c r="S30" s="147" t="inlineStr">
        <is>
          <t>Convert?</t>
        </is>
      </c>
      <c r="Z30" s="149" t="inlineStr">
        <is>
          <t>Y</t>
        </is>
      </c>
      <c r="AA30" s="150" t="n"/>
    </row>
    <row r="31" ht="15" customHeight="1" s="148">
      <c r="A31" s="147" t="inlineStr">
        <is>
          <t>Gross Sale Proceeds</t>
        </is>
      </c>
      <c r="E31" s="7" t="n"/>
      <c r="F31" s="17">
        <f>ROUND($F$30/$F$29,0)</f>
        <v/>
      </c>
      <c r="H31" s="170" t="inlineStr">
        <is>
          <t>Other Expense 4 (Annual)</t>
        </is>
      </c>
      <c r="N31" s="149" t="inlineStr">
        <is>
          <t>$/NSF</t>
        </is>
      </c>
      <c r="O31" s="150" t="n"/>
      <c r="P31" s="205" t="n">
        <v>0</v>
      </c>
      <c r="Q31" s="150" t="n"/>
      <c r="S31" s="147" t="inlineStr">
        <is>
          <t>Interest Calculation</t>
        </is>
      </c>
      <c r="Z31" s="149" t="inlineStr">
        <is>
          <t>30/360</t>
        </is>
      </c>
      <c r="AA31" s="150" t="n"/>
    </row>
    <row r="32" ht="15" customHeight="1" s="148">
      <c r="A32" s="147" t="inlineStr">
        <is>
          <t>Price per SF (Remeasured)</t>
        </is>
      </c>
      <c r="E32" s="7" t="n"/>
      <c r="F32" s="208">
        <f>ROUND($F$31/$F$13,2)</f>
        <v/>
      </c>
      <c r="H32" s="170" t="inlineStr">
        <is>
          <t>Other Expense 5 (Annual)</t>
        </is>
      </c>
      <c r="N32" s="149" t="inlineStr">
        <is>
          <t>$/NSF</t>
        </is>
      </c>
      <c r="O32" s="150" t="n"/>
      <c r="P32" s="205" t="n">
        <v>0</v>
      </c>
      <c r="Q32" s="150" t="n"/>
      <c r="S32" s="147" t="inlineStr">
        <is>
          <t>Refi Debt Start Month</t>
        </is>
      </c>
      <c r="Z32" s="29">
        <f>EDATE($F$11,36)</f>
        <v/>
      </c>
      <c r="AA32" s="30" t="inlineStr">
        <is>
          <t>Month 36</t>
        </is>
      </c>
    </row>
    <row r="33" ht="15" customHeight="1" s="148">
      <c r="A33" s="147" t="inlineStr">
        <is>
          <t>Transaction Costs</t>
        </is>
      </c>
      <c r="E33" s="7" t="n"/>
      <c r="F33" s="12" t="n">
        <v>0.01</v>
      </c>
      <c r="H33" s="147" t="inlineStr">
        <is>
          <t>Non-Operating Expenses (Annual)</t>
        </is>
      </c>
      <c r="N33" s="149" t="inlineStr">
        <is>
          <t>$/NSF</t>
        </is>
      </c>
      <c r="O33" s="150" t="n"/>
      <c r="P33" s="205" t="n">
        <v>0</v>
      </c>
      <c r="Q33" s="150" t="n"/>
      <c r="S33" s="147" t="inlineStr">
        <is>
          <t>Refi Debt Payoff Month</t>
        </is>
      </c>
      <c r="Z33" s="7">
        <f>EDATE($F$11,$E$28)</f>
        <v/>
      </c>
      <c r="AA33" s="30">
        <f>"Month "&amp;$E$28</f>
        <v/>
      </c>
    </row>
    <row r="34" ht="15" customHeight="1" s="148">
      <c r="A34" s="147" t="inlineStr">
        <is>
          <t>Net Sales Proceeds</t>
        </is>
      </c>
      <c r="E34" s="7" t="n"/>
      <c r="F34" s="17">
        <f>ROUND($F$31*(1-$F$33),0)</f>
        <v/>
      </c>
      <c r="H34" s="147" t="inlineStr">
        <is>
          <t>CapEx Reserves (Annual)</t>
        </is>
      </c>
      <c r="N34" s="149" t="inlineStr">
        <is>
          <t>$/NSF</t>
        </is>
      </c>
      <c r="O34" s="150" t="n"/>
      <c r="P34" s="205" t="n">
        <v>0.1</v>
      </c>
      <c r="Q34" s="150" t="n"/>
      <c r="S34" s="147" t="inlineStr">
        <is>
          <t>I/O Period (Months)</t>
        </is>
      </c>
      <c r="Z34" s="7" t="n"/>
      <c r="AA34" s="25" t="inlineStr">
        <is>
          <t>-</t>
        </is>
      </c>
    </row>
    <row r="35" ht="15" customHeight="1" s="148">
      <c r="A35" s="164" t="inlineStr">
        <is>
          <t>Net Price per SF (Remeasured)</t>
        </is>
      </c>
      <c r="B35" s="165" t="n"/>
      <c r="C35" s="165" t="n"/>
      <c r="D35" s="165" t="n"/>
      <c r="E35" s="31" t="n"/>
      <c r="F35" s="209">
        <f>ROUND($F$34/$F$13,2)</f>
        <v/>
      </c>
      <c r="H35" s="11" t="n"/>
      <c r="I35" s="7" t="n"/>
      <c r="J35" s="7" t="n"/>
      <c r="K35" s="7" t="n"/>
      <c r="L35" s="7" t="n"/>
      <c r="M35" s="7" t="n"/>
      <c r="N35" s="7" t="n"/>
      <c r="O35" s="7" t="n"/>
      <c r="P35" s="7" t="n"/>
      <c r="Q35" s="9" t="n"/>
      <c r="S35" s="147" t="inlineStr">
        <is>
          <t>Cap Rate For LTV</t>
        </is>
      </c>
      <c r="Z35" s="7" t="n"/>
      <c r="AA35" s="12" t="n">
        <v>0.07000000000000001</v>
      </c>
    </row>
    <row r="36" ht="15" customHeight="1" s="148">
      <c r="H36" s="173" t="inlineStr">
        <is>
          <t>Inflation Assumptions</t>
        </is>
      </c>
      <c r="Q36" s="163" t="n"/>
      <c r="S36" s="147" t="inlineStr">
        <is>
          <t>Loan to Value</t>
        </is>
      </c>
      <c r="Z36" s="7" t="n"/>
      <c r="AA36" s="12" t="n">
        <v>0.7</v>
      </c>
    </row>
    <row r="37" ht="15" customHeight="1" s="148">
      <c r="H37" s="147" t="inlineStr">
        <is>
          <t>Other Revenue Inflation Rate</t>
        </is>
      </c>
      <c r="N37" s="7" t="n"/>
      <c r="O37" s="7" t="n"/>
      <c r="P37" s="8" t="n">
        <v>0.03</v>
      </c>
      <c r="Q37" s="9" t="n"/>
      <c r="S37" s="147" t="inlineStr">
        <is>
          <t>% of TI/LC Funded</t>
        </is>
      </c>
      <c r="Z37" s="7" t="n"/>
      <c r="AA37" s="12" t="n">
        <v>0.7</v>
      </c>
    </row>
    <row r="38" ht="15" customHeight="1" s="148">
      <c r="H38" s="147" t="inlineStr">
        <is>
          <t>Expense Inflation Rate</t>
        </is>
      </c>
      <c r="N38" s="7" t="n"/>
      <c r="O38" s="7" t="n"/>
      <c r="P38" s="8" t="n">
        <v>0.03</v>
      </c>
      <c r="Q38" s="9" t="n"/>
      <c r="S38" s="147" t="inlineStr">
        <is>
          <t>% of CapEx Funded</t>
        </is>
      </c>
      <c r="Z38" s="7" t="n"/>
      <c r="AA38" s="12" t="n">
        <v>0.7</v>
      </c>
    </row>
    <row r="39" ht="15" customHeight="1" s="148">
      <c r="H39" s="164" t="inlineStr">
        <is>
          <t>Tax Inflation Rate</t>
        </is>
      </c>
      <c r="I39" s="165" t="n"/>
      <c r="J39" s="165" t="n"/>
      <c r="K39" s="165" t="n"/>
      <c r="L39" s="165" t="n"/>
      <c r="M39" s="165" t="n"/>
      <c r="N39" s="31" t="n"/>
      <c r="O39" s="31" t="n"/>
      <c r="P39" s="36" t="n">
        <v>0.03</v>
      </c>
      <c r="Q39" s="37" t="n"/>
      <c r="S39" s="147" t="inlineStr">
        <is>
          <t>Amortization (Years)</t>
        </is>
      </c>
      <c r="Z39" s="7" t="n"/>
      <c r="AA39" s="26" t="n">
        <v>30</v>
      </c>
    </row>
    <row r="40" ht="15" customHeight="1" s="148">
      <c r="S40" s="147" t="inlineStr">
        <is>
          <t>NOI at Debt Acquisition</t>
        </is>
      </c>
      <c r="Z40" s="7" t="n"/>
      <c r="AA40" s="22">
        <f>$AD$3</f>
        <v/>
      </c>
    </row>
    <row r="41" ht="18" customHeight="1" s="148">
      <c r="H41" s="169" t="inlineStr">
        <is>
          <t>Waterfall Structure</t>
        </is>
      </c>
      <c r="I41" s="155" t="n"/>
      <c r="J41" s="155" t="n"/>
      <c r="K41" s="155" t="n"/>
      <c r="L41" s="155" t="n"/>
      <c r="M41" s="155" t="n"/>
      <c r="N41" s="155" t="n"/>
      <c r="O41" s="155" t="n"/>
      <c r="P41" s="155" t="n"/>
      <c r="Q41" s="158" t="n"/>
      <c r="S41" s="147" t="inlineStr">
        <is>
          <t>Loan Amount - Refi</t>
        </is>
      </c>
      <c r="Z41" s="7" t="n"/>
      <c r="AA41" s="17">
        <f>$AD$4</f>
        <v/>
      </c>
    </row>
    <row r="42" ht="15" customHeight="1" s="148">
      <c r="H42" s="11" t="n"/>
      <c r="I42" s="7" t="n"/>
      <c r="J42" s="7" t="n"/>
      <c r="K42" s="7" t="n"/>
      <c r="L42" s="7" t="n"/>
      <c r="M42" s="7" t="n"/>
      <c r="N42" s="7" t="n"/>
      <c r="O42" s="7" t="n"/>
      <c r="P42" s="149" t="inlineStr">
        <is>
          <t>Promote</t>
        </is>
      </c>
      <c r="Q42" s="150" t="n"/>
      <c r="S42" s="147" t="inlineStr">
        <is>
          <t>Loan Amount - TI/LC/CapEx Holdback</t>
        </is>
      </c>
      <c r="Z42" s="20" t="n">
        <v>800000</v>
      </c>
      <c r="AA42" s="17">
        <f>MIN($Z42,$AD$5-$AA41-1)</f>
        <v/>
      </c>
    </row>
    <row r="43" ht="15" customHeight="1" s="148">
      <c r="H43" s="147" t="inlineStr">
        <is>
          <t>Limited Partner Equity %</t>
        </is>
      </c>
      <c r="N43" s="7" t="n"/>
      <c r="O43" s="7" t="n"/>
      <c r="P43" s="8" t="n">
        <v>0.9</v>
      </c>
      <c r="Q43" s="9" t="n"/>
      <c r="S43" s="147" t="inlineStr">
        <is>
          <t>Max Proceeds</t>
        </is>
      </c>
      <c r="Z43" s="7" t="n"/>
      <c r="AA43" s="17">
        <f>$AD$5</f>
        <v/>
      </c>
    </row>
    <row r="44" ht="15" customHeight="1" s="148">
      <c r="H44" s="147" t="inlineStr">
        <is>
          <t>General Partner Equity %</t>
        </is>
      </c>
      <c r="N44" s="7" t="n"/>
      <c r="O44" s="7" t="n"/>
      <c r="P44" s="8" t="n">
        <v>0.1</v>
      </c>
      <c r="Q44" s="9" t="n"/>
      <c r="S44" s="147" t="inlineStr">
        <is>
          <t>Initial Commitment Fee</t>
        </is>
      </c>
      <c r="Z44" s="7" t="n"/>
      <c r="AA44" s="12" t="n">
        <v>0.01</v>
      </c>
    </row>
    <row r="45" ht="15" customHeight="1" s="148">
      <c r="H45" s="147" t="inlineStr">
        <is>
          <t>First Promote Hurdle</t>
        </is>
      </c>
      <c r="N45" s="7" t="n"/>
      <c r="O45" s="7" t="n"/>
      <c r="P45" s="8" t="n">
        <v>0.08</v>
      </c>
      <c r="Q45" s="9" t="n"/>
      <c r="S45" s="147" t="inlineStr">
        <is>
          <t>Exit Fee</t>
        </is>
      </c>
      <c r="Z45" s="7" t="n"/>
      <c r="AA45" s="12" t="n">
        <v>0</v>
      </c>
    </row>
    <row r="46" ht="15" customHeight="1" s="148">
      <c r="H46" s="147" t="inlineStr">
        <is>
          <t>Promote After 1st Hurdle</t>
        </is>
      </c>
      <c r="N46" s="7" t="n"/>
      <c r="O46" s="7" t="n"/>
      <c r="P46" s="8" t="n">
        <v>0.12</v>
      </c>
      <c r="Q46" s="9" t="n"/>
      <c r="S46" s="147" t="inlineStr">
        <is>
          <t>Fixed Interest Rate?</t>
        </is>
      </c>
      <c r="Z46" s="149" t="inlineStr">
        <is>
          <t>Y</t>
        </is>
      </c>
      <c r="AA46" s="150" t="n"/>
    </row>
    <row r="47" ht="15" customHeight="1" s="148">
      <c r="H47" s="147" t="inlineStr">
        <is>
          <t>Second Promote Hurdle</t>
        </is>
      </c>
      <c r="N47" s="149" t="inlineStr">
        <is>
          <t>Not Applicable</t>
        </is>
      </c>
      <c r="O47" s="153" t="n"/>
      <c r="P47" s="153" t="n"/>
      <c r="Q47" s="150" t="n"/>
      <c r="S47" s="147" t="inlineStr">
        <is>
          <t>Fixed Rate/Spread over SOFR</t>
        </is>
      </c>
      <c r="Z47" s="7" t="n"/>
      <c r="AA47" s="23" t="n">
        <v>0.05</v>
      </c>
    </row>
    <row r="48" ht="15" customHeight="1" s="148">
      <c r="H48" s="147" t="inlineStr">
        <is>
          <t>Promote After 2nd Hurdle</t>
        </is>
      </c>
      <c r="N48" s="149" t="inlineStr">
        <is>
          <t>Not Applicable</t>
        </is>
      </c>
      <c r="O48" s="153" t="n"/>
      <c r="P48" s="153" t="n"/>
      <c r="Q48" s="150" t="n"/>
      <c r="S48" s="147" t="inlineStr">
        <is>
          <t>SOFR Cap</t>
        </is>
      </c>
      <c r="Z48" s="7" t="n"/>
      <c r="AA48" s="23" t="n">
        <v>0.08</v>
      </c>
    </row>
    <row r="49" ht="15" customHeight="1" s="148">
      <c r="H49" s="147" t="inlineStr">
        <is>
          <t>Third Promote Hurdle</t>
        </is>
      </c>
      <c r="N49" s="149" t="inlineStr">
        <is>
          <t>Not Applicable</t>
        </is>
      </c>
      <c r="O49" s="153" t="n"/>
      <c r="P49" s="153" t="n"/>
      <c r="Q49" s="150" t="n"/>
      <c r="S49" s="164" t="inlineStr">
        <is>
          <t>SOFR Floor</t>
        </is>
      </c>
      <c r="T49" s="165" t="n"/>
      <c r="U49" s="165" t="n"/>
      <c r="V49" s="165" t="n"/>
      <c r="W49" s="165" t="n"/>
      <c r="X49" s="165" t="n"/>
      <c r="Y49" s="165" t="n"/>
      <c r="Z49" s="31" t="n"/>
      <c r="AA49" s="38" t="n">
        <v>0</v>
      </c>
    </row>
    <row r="50" ht="15" customHeight="1" s="148">
      <c r="H50" s="164" t="inlineStr">
        <is>
          <t>Promote After 3rd Hurdle</t>
        </is>
      </c>
      <c r="I50" s="165" t="n"/>
      <c r="J50" s="165" t="n"/>
      <c r="K50" s="165" t="n"/>
      <c r="L50" s="165" t="n"/>
      <c r="M50" s="165" t="n"/>
      <c r="N50" s="149" t="inlineStr">
        <is>
          <t>Not Applicable</t>
        </is>
      </c>
      <c r="O50" s="153" t="n"/>
      <c r="P50" s="153" t="n"/>
      <c r="Q50" s="150" t="n"/>
    </row>
    <row r="51" ht="18" customHeight="1" s="148">
      <c r="S51" s="169" t="inlineStr">
        <is>
          <t>Mezzanine Loan Assumptions</t>
        </is>
      </c>
      <c r="T51" s="155" t="n"/>
      <c r="U51" s="155" t="n"/>
      <c r="V51" s="155" t="n"/>
      <c r="W51" s="155" t="n"/>
      <c r="X51" s="155" t="n"/>
      <c r="Y51" s="155" t="n"/>
      <c r="Z51" s="155" t="n"/>
      <c r="AA51" s="158" t="n"/>
    </row>
    <row r="52" ht="18" customHeight="1" s="148">
      <c r="A52" s="183" t="inlineStr">
        <is>
          <t>Below-the-Line Capital Summary &amp; Additional Capital Input</t>
        </is>
      </c>
      <c r="S52" s="147" t="inlineStr">
        <is>
          <t>Mezzanine Debt?</t>
        </is>
      </c>
      <c r="Z52" s="149" t="inlineStr">
        <is>
          <t>N</t>
        </is>
      </c>
      <c r="AA52" s="150" t="n"/>
    </row>
    <row r="53" ht="15" customHeight="1" s="148">
      <c r="A53" s="39" t="n"/>
      <c r="B53" s="154" t="inlineStr">
        <is>
          <t>Tenant Improvements</t>
        </is>
      </c>
      <c r="C53" s="155" t="n"/>
      <c r="D53" s="155" t="n"/>
      <c r="E53" s="155" t="n"/>
      <c r="F53" s="154" t="inlineStr">
        <is>
          <t>Leasing Commissions</t>
        </is>
      </c>
      <c r="G53" s="155" t="n"/>
      <c r="H53" s="155" t="n"/>
      <c r="I53" s="155" t="n"/>
      <c r="J53" s="154" t="inlineStr">
        <is>
          <t>CapEx Reserves</t>
        </is>
      </c>
      <c r="K53" s="155" t="n"/>
      <c r="L53" s="155" t="n"/>
      <c r="M53" s="154" t="inlineStr">
        <is>
          <t>Other CapEx (Not Incl. in Reno. Costs)</t>
        </is>
      </c>
      <c r="N53" s="155" t="n"/>
      <c r="O53" s="155" t="n"/>
      <c r="P53" s="175" t="inlineStr">
        <is>
          <t>Total Capital</t>
        </is>
      </c>
      <c r="Q53" s="158" t="n"/>
      <c r="S53" s="182" t="n"/>
      <c r="T53" s="155" t="n"/>
      <c r="U53" s="155" t="n"/>
      <c r="V53" s="155" t="n"/>
      <c r="W53" s="155" t="n"/>
      <c r="X53" s="155" t="n"/>
      <c r="Y53" s="155" t="n"/>
      <c r="Z53" s="155" t="n"/>
      <c r="AA53" s="158" t="n"/>
    </row>
    <row r="54" ht="15" customHeight="1" s="148">
      <c r="A54" s="147" t="inlineStr">
        <is>
          <t>Year 1</t>
        </is>
      </c>
      <c r="B54" s="210" t="n">
        <v>875000</v>
      </c>
      <c r="F54" s="210" t="n">
        <v>534364</v>
      </c>
      <c r="J54" s="210" t="n">
        <v>12500</v>
      </c>
      <c r="M54" s="211" t="n">
        <v>0</v>
      </c>
      <c r="P54" s="212">
        <f>SUM(B54,F54,J54,M54)</f>
        <v/>
      </c>
      <c r="Q54" s="163" t="n"/>
      <c r="S54" s="177" t="n"/>
      <c r="AA54" s="163" t="n"/>
    </row>
    <row r="55" ht="15" customHeight="1" s="148">
      <c r="A55" s="147" t="inlineStr">
        <is>
          <t>Year 2</t>
        </is>
      </c>
      <c r="B55" s="213" t="n">
        <v>0</v>
      </c>
      <c r="F55" s="213" t="n">
        <v>0</v>
      </c>
      <c r="J55" s="213" t="n">
        <v>12875</v>
      </c>
      <c r="M55" s="214" t="n">
        <v>0</v>
      </c>
      <c r="P55" s="215">
        <f>SUM(B55,F55,J55,M55)</f>
        <v/>
      </c>
      <c r="Q55" s="163" t="n"/>
      <c r="S55" s="177" t="n"/>
      <c r="AA55" s="163" t="n"/>
    </row>
    <row r="56" ht="15" customHeight="1" s="148">
      <c r="A56" s="147" t="inlineStr">
        <is>
          <t>Year 3</t>
        </is>
      </c>
      <c r="B56" s="213" t="n">
        <v>385000</v>
      </c>
      <c r="F56" s="213" t="n">
        <v>276623</v>
      </c>
      <c r="J56" s="213" t="n">
        <v>13261</v>
      </c>
      <c r="M56" s="214" t="n">
        <v>0</v>
      </c>
      <c r="P56" s="215">
        <f>SUM(B56,F56,J56,M56)</f>
        <v/>
      </c>
      <c r="Q56" s="163" t="n"/>
      <c r="S56" s="177" t="n"/>
      <c r="AA56" s="163" t="n"/>
    </row>
    <row r="57" ht="15" customHeight="1" s="148">
      <c r="A57" s="147" t="inlineStr">
        <is>
          <t>Year 4</t>
        </is>
      </c>
      <c r="B57" s="213" t="n">
        <v>175000</v>
      </c>
      <c r="F57" s="213" t="n">
        <v>125738</v>
      </c>
      <c r="J57" s="213" t="n">
        <v>13659</v>
      </c>
      <c r="M57" s="214" t="n">
        <v>0</v>
      </c>
      <c r="P57" s="215">
        <f>SUM(B57,F57,J57,M57)</f>
        <v/>
      </c>
      <c r="Q57" s="163" t="n"/>
      <c r="S57" s="177" t="n"/>
      <c r="AA57" s="163" t="n"/>
    </row>
    <row r="58" ht="15" customHeight="1" s="148">
      <c r="A58" s="147" t="inlineStr">
        <is>
          <t>Year 5</t>
        </is>
      </c>
      <c r="B58" s="213" t="n">
        <v>0</v>
      </c>
      <c r="F58" s="213" t="n">
        <v>0</v>
      </c>
      <c r="J58" s="213" t="n">
        <v>14069</v>
      </c>
      <c r="M58" s="214" t="n">
        <v>0</v>
      </c>
      <c r="P58" s="215">
        <f>SUM(B58,F58,J58,M58)</f>
        <v/>
      </c>
      <c r="Q58" s="163" t="n"/>
      <c r="S58" s="177" t="n"/>
      <c r="AA58" s="163" t="n"/>
    </row>
    <row r="59" ht="15" customHeight="1" s="148">
      <c r="A59" s="40" t="inlineStr">
        <is>
          <t>Total - First 5 Years</t>
        </is>
      </c>
      <c r="B59" s="216">
        <f>SUM(B54:B58)</f>
        <v/>
      </c>
      <c r="C59" s="153" t="n"/>
      <c r="D59" s="153" t="n"/>
      <c r="E59" s="153" t="n"/>
      <c r="F59" s="216">
        <f>SUM(F54:F58)</f>
        <v/>
      </c>
      <c r="G59" s="153" t="n"/>
      <c r="H59" s="153" t="n"/>
      <c r="I59" s="153" t="n"/>
      <c r="J59" s="216">
        <f>SUM(J54:J58)</f>
        <v/>
      </c>
      <c r="K59" s="153" t="n"/>
      <c r="L59" s="153" t="n"/>
      <c r="M59" s="217">
        <f>SUM(M54:M58)</f>
        <v/>
      </c>
      <c r="N59" s="153" t="n"/>
      <c r="O59" s="153" t="n"/>
      <c r="P59" s="218">
        <f>SUM(P54:P58)</f>
        <v/>
      </c>
      <c r="Q59" s="150" t="n"/>
      <c r="S59" s="177" t="n"/>
      <c r="AA59" s="163" t="n"/>
    </row>
    <row r="60" ht="15" customHeight="1" s="148">
      <c r="S60" s="178" t="n"/>
      <c r="T60" s="165" t="n"/>
      <c r="U60" s="165" t="n"/>
      <c r="V60" s="165" t="n"/>
      <c r="W60" s="165" t="n"/>
      <c r="X60" s="165" t="n"/>
      <c r="Y60" s="165" t="n"/>
      <c r="Z60" s="165" t="n"/>
      <c r="AA60" s="179" t="n"/>
    </row>
    <row r="61" ht="18" customHeight="1" s="148">
      <c r="A61" s="169" t="inlineStr">
        <is>
          <t>Sensitivities - Levered IRR/Levered Multiple</t>
        </is>
      </c>
      <c r="B61" s="155" t="n"/>
      <c r="C61" s="155" t="n"/>
      <c r="D61" s="155" t="n"/>
      <c r="E61" s="155" t="n"/>
      <c r="F61" s="155" t="n"/>
      <c r="G61" s="155" t="n"/>
      <c r="H61" s="155" t="n"/>
      <c r="I61" s="155" t="n"/>
      <c r="J61" s="155" t="n"/>
      <c r="K61" s="155" t="n"/>
      <c r="L61" s="155" t="n"/>
      <c r="M61" s="155" t="n"/>
      <c r="N61" s="155" t="n"/>
      <c r="O61" s="155" t="n"/>
      <c r="P61" s="155" t="n"/>
      <c r="Q61" s="158" t="n"/>
    </row>
    <row r="62" ht="18" customHeight="1" s="148">
      <c r="A62" s="172" t="inlineStr">
        <is>
          <t>Exit Month</t>
        </is>
      </c>
      <c r="B62" s="155" t="n"/>
      <c r="C62" s="158" t="n"/>
      <c r="D62" s="42" t="n"/>
      <c r="E62" s="42" t="n"/>
      <c r="F62" s="172" t="inlineStr">
        <is>
          <t>Exit Cap Rate</t>
        </is>
      </c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0" t="n"/>
      <c r="P62" s="7" t="n"/>
      <c r="Q62" s="9" t="n"/>
      <c r="S62" s="169" t="inlineStr">
        <is>
          <t>10 Year Treasury</t>
        </is>
      </c>
      <c r="T62" s="155" t="n"/>
      <c r="U62" s="155" t="n"/>
      <c r="V62" s="155" t="n"/>
      <c r="W62" s="155" t="n"/>
      <c r="X62" s="155" t="n"/>
      <c r="Y62" s="155" t="n"/>
      <c r="Z62" s="155" t="n"/>
      <c r="AA62" s="158" t="n"/>
    </row>
    <row r="63" ht="15" customHeight="1" s="148">
      <c r="A63" s="177" t="n"/>
      <c r="C63" s="163" t="n"/>
      <c r="D63" s="172" t="n"/>
      <c r="E63" s="150" t="n"/>
      <c r="F63" s="168" t="n">
        <v>0.07000000000000001</v>
      </c>
      <c r="G63" s="150" t="n"/>
      <c r="H63" s="168" t="n">
        <v>0.0675</v>
      </c>
      <c r="I63" s="150" t="n"/>
      <c r="J63" s="168" t="n">
        <v>0.065</v>
      </c>
      <c r="K63" s="150" t="n"/>
      <c r="L63" s="168" t="n">
        <v>0.0625</v>
      </c>
      <c r="M63" s="150" t="n"/>
      <c r="N63" s="168" t="n">
        <v>0.06</v>
      </c>
      <c r="O63" s="150" t="n"/>
      <c r="P63" s="7" t="n"/>
      <c r="Q63" s="9" t="n"/>
      <c r="S63" s="147" t="inlineStr">
        <is>
          <t>Use Treasury?</t>
        </is>
      </c>
      <c r="Z63" s="149" t="inlineStr">
        <is>
          <t>N</t>
        </is>
      </c>
      <c r="AA63" s="150" t="n"/>
    </row>
    <row r="64" ht="15" customHeight="1" s="148">
      <c r="A64" s="177" t="n"/>
      <c r="C64" s="163" t="n"/>
      <c r="D64" s="152" t="inlineStr">
        <is>
          <t>Month 48</t>
        </is>
      </c>
      <c r="E64" s="150" t="n"/>
      <c r="F64" s="152" t="inlineStr">
        <is>
          <t>20.4% / 2.0x</t>
        </is>
      </c>
      <c r="G64" s="150" t="n"/>
      <c r="H64" s="152" t="inlineStr">
        <is>
          <t>22.3% / 2.1x</t>
        </is>
      </c>
      <c r="I64" s="150" t="n"/>
      <c r="J64" s="152" t="inlineStr">
        <is>
          <t>24.1% / 2.3x</t>
        </is>
      </c>
      <c r="K64" s="150" t="n"/>
      <c r="L64" s="152" t="inlineStr">
        <is>
          <t>26.1% / 2.4x</t>
        </is>
      </c>
      <c r="M64" s="150" t="n"/>
      <c r="N64" s="152" t="inlineStr">
        <is>
          <t>28.1% / 2.5x</t>
        </is>
      </c>
      <c r="O64" s="150" t="n"/>
      <c r="P64" s="7" t="n"/>
      <c r="Q64" s="9" t="n"/>
      <c r="S64" s="182" t="n"/>
      <c r="T64" s="155" t="n"/>
      <c r="U64" s="155" t="n"/>
      <c r="V64" s="155" t="n"/>
      <c r="W64" s="155" t="n"/>
      <c r="X64" s="155" t="n"/>
      <c r="Y64" s="155" t="n"/>
      <c r="Z64" s="155" t="n"/>
      <c r="AA64" s="158" t="n"/>
    </row>
    <row r="65" ht="15" customHeight="1" s="148">
      <c r="A65" s="177" t="n"/>
      <c r="C65" s="163" t="n"/>
      <c r="D65" s="152" t="inlineStr">
        <is>
          <t>Month 54</t>
        </is>
      </c>
      <c r="E65" s="150" t="n"/>
      <c r="F65" s="152" t="inlineStr">
        <is>
          <t>17.2% / 1.9x</t>
        </is>
      </c>
      <c r="G65" s="150" t="n"/>
      <c r="H65" s="152" t="inlineStr">
        <is>
          <t>18.7% / 2.1x</t>
        </is>
      </c>
      <c r="I65" s="150" t="n"/>
      <c r="J65" s="152" t="inlineStr">
        <is>
          <t>20.3% / 2.2x</t>
        </is>
      </c>
      <c r="K65" s="150" t="n"/>
      <c r="L65" s="152" t="inlineStr">
        <is>
          <t>22.0% / 2.3x</t>
        </is>
      </c>
      <c r="M65" s="150" t="n"/>
      <c r="N65" s="152" t="inlineStr">
        <is>
          <t>23.7% / 2.4x</t>
        </is>
      </c>
      <c r="O65" s="150" t="n"/>
      <c r="P65" s="7" t="n"/>
      <c r="Q65" s="9" t="n"/>
      <c r="S65" s="177" t="n"/>
      <c r="AA65" s="163" t="n"/>
    </row>
    <row r="66" ht="15" customHeight="1" s="148">
      <c r="A66" s="177" t="n"/>
      <c r="C66" s="163" t="n"/>
      <c r="D66" s="152" t="inlineStr">
        <is>
          <t>Month 60</t>
        </is>
      </c>
      <c r="E66" s="150" t="n"/>
      <c r="F66" s="152" t="inlineStr">
        <is>
          <t>17.2% / 2.1x</t>
        </is>
      </c>
      <c r="G66" s="150" t="n"/>
      <c r="H66" s="152" t="inlineStr">
        <is>
          <t>18.5% / 2.2x</t>
        </is>
      </c>
      <c r="I66" s="150" t="n"/>
      <c r="J66" s="172" t="inlineStr">
        <is>
          <t>19.9% / 2.3x</t>
        </is>
      </c>
      <c r="K66" s="150" t="n"/>
      <c r="L66" s="152" t="inlineStr">
        <is>
          <t>21.3% / 2.5x</t>
        </is>
      </c>
      <c r="M66" s="150" t="n"/>
      <c r="N66" s="152" t="inlineStr">
        <is>
          <t>22.8% / 2.6x</t>
        </is>
      </c>
      <c r="O66" s="150" t="n"/>
      <c r="P66" s="7" t="n"/>
      <c r="Q66" s="9" t="n"/>
      <c r="S66" s="177" t="n"/>
      <c r="AA66" s="163" t="n"/>
    </row>
    <row r="67" ht="15" customHeight="1" s="148">
      <c r="A67" s="177" t="n"/>
      <c r="C67" s="163" t="n"/>
      <c r="D67" s="152" t="inlineStr">
        <is>
          <t>Month 66</t>
        </is>
      </c>
      <c r="E67" s="150" t="n"/>
      <c r="F67" s="152" t="inlineStr">
        <is>
          <t>18.7% / 2.4x</t>
        </is>
      </c>
      <c r="G67" s="150" t="n"/>
      <c r="H67" s="152" t="inlineStr">
        <is>
          <t>19.8% / 2.5x</t>
        </is>
      </c>
      <c r="I67" s="150" t="n"/>
      <c r="J67" s="152" t="inlineStr">
        <is>
          <t>21.0% / 2.6x</t>
        </is>
      </c>
      <c r="K67" s="150" t="n"/>
      <c r="L67" s="152" t="inlineStr">
        <is>
          <t>22.2% / 2.8x</t>
        </is>
      </c>
      <c r="M67" s="150" t="n"/>
      <c r="N67" s="152" t="inlineStr">
        <is>
          <t>23.5% / 2.9x</t>
        </is>
      </c>
      <c r="O67" s="150" t="n"/>
      <c r="P67" s="7" t="n"/>
      <c r="Q67" s="9" t="n"/>
      <c r="S67" s="177" t="n"/>
      <c r="AA67" s="163" t="n"/>
    </row>
    <row r="68" ht="15" customHeight="1" s="148">
      <c r="A68" s="178" t="n"/>
      <c r="B68" s="165" t="n"/>
      <c r="C68" s="179" t="n"/>
      <c r="D68" s="152" t="inlineStr">
        <is>
          <t>Month 72</t>
        </is>
      </c>
      <c r="E68" s="150" t="n"/>
      <c r="F68" s="152" t="inlineStr">
        <is>
          <t>18.3% / 2.5x</t>
        </is>
      </c>
      <c r="G68" s="150" t="n"/>
      <c r="H68" s="152" t="inlineStr">
        <is>
          <t>19.3% / 2.6x</t>
        </is>
      </c>
      <c r="I68" s="150" t="n"/>
      <c r="J68" s="152" t="inlineStr">
        <is>
          <t>20.4% / 2.8x</t>
        </is>
      </c>
      <c r="K68" s="150" t="n"/>
      <c r="L68" s="152" t="inlineStr">
        <is>
          <t>21.4% / 2.9x</t>
        </is>
      </c>
      <c r="M68" s="150" t="n"/>
      <c r="N68" s="152" t="inlineStr">
        <is>
          <t>22.6% / 3.1x</t>
        </is>
      </c>
      <c r="O68" s="150" t="n"/>
      <c r="P68" s="31" t="n"/>
      <c r="Q68" s="37" t="n"/>
      <c r="S68" s="177" t="n"/>
      <c r="AA68" s="163" t="n"/>
    </row>
    <row r="69" ht="15" customHeight="1" s="148">
      <c r="S69" s="177" t="n"/>
      <c r="AA69" s="163" t="n"/>
    </row>
    <row r="70" ht="15" customHeight="1" s="148">
      <c r="S70" s="177" t="n"/>
      <c r="AA70" s="163" t="n"/>
    </row>
    <row r="71" ht="15" customHeight="1" s="148">
      <c r="S71" s="178" t="n"/>
      <c r="T71" s="165" t="n"/>
      <c r="U71" s="165" t="n"/>
      <c r="V71" s="165" t="n"/>
      <c r="W71" s="165" t="n"/>
      <c r="X71" s="165" t="n"/>
      <c r="Y71" s="165" t="n"/>
      <c r="Z71" s="165" t="n"/>
      <c r="AA71" s="179" t="n"/>
    </row>
    <row r="72" ht="15" customHeight="1" s="148">
      <c r="A72" s="157" t="inlineStr">
        <is>
          <t>Checks (should be 0)</t>
        </is>
      </c>
      <c r="B72" s="155" t="n"/>
      <c r="C72" s="155" t="n"/>
      <c r="D72" s="155" t="n"/>
      <c r="E72" s="155" t="n"/>
      <c r="F72" s="158" t="n"/>
    </row>
    <row r="73" ht="15" customHeight="1" s="148">
      <c r="A73" s="167" t="inlineStr">
        <is>
          <t>Sources – Uses (Investment Level)</t>
        </is>
      </c>
      <c r="B73" s="153" t="n"/>
      <c r="C73" s="153" t="n"/>
      <c r="D73" s="153" t="n"/>
      <c r="E73" s="150" t="n"/>
      <c r="F73" s="44">
        <f>'Model Outputs'!$E$13-'Model Outputs'!$E$20</f>
        <v/>
      </c>
    </row>
    <row r="74" ht="15" customHeight="1" s="148">
      <c r="A74" s="167" t="inlineStr">
        <is>
          <t>LP % + GP % - 100%</t>
        </is>
      </c>
      <c r="B74" s="153" t="n"/>
      <c r="C74" s="153" t="n"/>
      <c r="D74" s="153" t="n"/>
      <c r="E74" s="150" t="n"/>
      <c r="F74" s="45">
        <f>$P$43+$P$44-1</f>
        <v/>
      </c>
    </row>
    <row r="75" ht="15" customHeight="1" s="148">
      <c r="A75" s="167" t="inlineStr">
        <is>
          <t>Acq Loan Proceeds tie-out</t>
        </is>
      </c>
      <c r="B75" s="153" t="n"/>
      <c r="C75" s="153" t="n"/>
      <c r="D75" s="153" t="n"/>
      <c r="E75" s="150" t="n"/>
      <c r="F75" s="45">
        <f>$AA$16-($AA$13+$AA$14+$AA$15)</f>
        <v/>
      </c>
    </row>
    <row r="76" ht="15" customHeight="1" s="148">
      <c r="A76" s="167" t="inlineStr">
        <is>
          <t>Net Sales Proceeds tie-out</t>
        </is>
      </c>
      <c r="B76" s="153" t="n"/>
      <c r="C76" s="153" t="n"/>
      <c r="D76" s="153" t="n"/>
      <c r="E76" s="150" t="n"/>
      <c r="F76" s="45">
        <f>$F$34-ROUND($F$31*(1-$F$33),0)</f>
        <v/>
      </c>
    </row>
    <row r="77" ht="15" customHeight="1" s="148">
      <c r="A77" s="167" t="inlineStr">
        <is>
          <t>Below-the-line Total Capital tie-out</t>
        </is>
      </c>
      <c r="B77" s="153" t="n"/>
      <c r="C77" s="153" t="n"/>
      <c r="D77" s="153" t="n"/>
      <c r="E77" s="150" t="n"/>
      <c r="F77" s="45">
        <f>$P$59-($B$59+$F$59+$J$59+$M$59)</f>
        <v/>
      </c>
    </row>
  </sheetData>
  <mergeCells count="256">
    <mergeCell ref="H21:M21"/>
    <mergeCell ref="S9:Y9"/>
    <mergeCell ref="N11:O11"/>
    <mergeCell ref="N20:O20"/>
    <mergeCell ref="P20:Q20"/>
    <mergeCell ref="F68:G68"/>
    <mergeCell ref="A20:D20"/>
    <mergeCell ref="A29:D29"/>
    <mergeCell ref="S35:Y35"/>
    <mergeCell ref="L66:M66"/>
    <mergeCell ref="N66:O66"/>
    <mergeCell ref="N22:O22"/>
    <mergeCell ref="A13:D13"/>
    <mergeCell ref="P22:Q22"/>
    <mergeCell ref="N49:Q49"/>
    <mergeCell ref="H7:M7"/>
    <mergeCell ref="J68:K68"/>
    <mergeCell ref="A31:D31"/>
    <mergeCell ref="L68:M68"/>
    <mergeCell ref="N12:O12"/>
    <mergeCell ref="F53:I53"/>
    <mergeCell ref="P59:Q59"/>
    <mergeCell ref="N68:O68"/>
    <mergeCell ref="S47:Y47"/>
    <mergeCell ref="H27:M27"/>
    <mergeCell ref="A24:D24"/>
    <mergeCell ref="A72:F72"/>
    <mergeCell ref="N14:O14"/>
    <mergeCell ref="Z52:AA52"/>
    <mergeCell ref="S46:Y46"/>
    <mergeCell ref="H33:M33"/>
    <mergeCell ref="N29:O29"/>
    <mergeCell ref="S52:Y52"/>
    <mergeCell ref="P32:Q32"/>
    <mergeCell ref="S39:Y39"/>
    <mergeCell ref="Z29:AA29"/>
    <mergeCell ref="M53:O53"/>
    <mergeCell ref="S48:Y48"/>
    <mergeCell ref="F59:I59"/>
    <mergeCell ref="A7:D7"/>
    <mergeCell ref="P13:Q13"/>
    <mergeCell ref="N31:O31"/>
    <mergeCell ref="H65:I65"/>
    <mergeCell ref="S23:Y23"/>
    <mergeCell ref="S38:Y38"/>
    <mergeCell ref="M55:O55"/>
    <mergeCell ref="N15:O15"/>
    <mergeCell ref="D64:E64"/>
    <mergeCell ref="N48:Q48"/>
    <mergeCell ref="P15:Q15"/>
    <mergeCell ref="N24:O24"/>
    <mergeCell ref="S13:Y13"/>
    <mergeCell ref="P24:Q24"/>
    <mergeCell ref="Z63:AA63"/>
    <mergeCell ref="P58:Q58"/>
    <mergeCell ref="P33:Q33"/>
    <mergeCell ref="S40:Y40"/>
    <mergeCell ref="L65:M65"/>
    <mergeCell ref="A33:D33"/>
    <mergeCell ref="H39:M39"/>
    <mergeCell ref="N65:O65"/>
    <mergeCell ref="S15:Y15"/>
    <mergeCell ref="S24:Y24"/>
    <mergeCell ref="A77:E77"/>
    <mergeCell ref="A16:F16"/>
    <mergeCell ref="A17:D17"/>
    <mergeCell ref="N26:O26"/>
    <mergeCell ref="P26:Q26"/>
    <mergeCell ref="F56:I56"/>
    <mergeCell ref="H46:M46"/>
    <mergeCell ref="J64:K64"/>
    <mergeCell ref="A22:D22"/>
    <mergeCell ref="A35:D35"/>
    <mergeCell ref="N63:O63"/>
    <mergeCell ref="F58:I58"/>
    <mergeCell ref="N16:O16"/>
    <mergeCell ref="F63:G63"/>
    <mergeCell ref="A27:F27"/>
    <mergeCell ref="H63:I63"/>
    <mergeCell ref="N25:O25"/>
    <mergeCell ref="P25:Q25"/>
    <mergeCell ref="A19:D19"/>
    <mergeCell ref="A28:D28"/>
    <mergeCell ref="S63:Y63"/>
    <mergeCell ref="P34:Q34"/>
    <mergeCell ref="H45:M45"/>
    <mergeCell ref="H68:I68"/>
    <mergeCell ref="A9:D9"/>
    <mergeCell ref="F57:I57"/>
    <mergeCell ref="H32:M32"/>
    <mergeCell ref="A30:D30"/>
    <mergeCell ref="H13:M13"/>
    <mergeCell ref="F54:I54"/>
    <mergeCell ref="H47:M47"/>
    <mergeCell ref="M57:O57"/>
    <mergeCell ref="A75:E75"/>
    <mergeCell ref="Z22:AA22"/>
    <mergeCell ref="D66:E66"/>
    <mergeCell ref="P11:Q11"/>
    <mergeCell ref="N50:Q50"/>
    <mergeCell ref="F66:G66"/>
    <mergeCell ref="A11:D11"/>
    <mergeCell ref="H15:M15"/>
    <mergeCell ref="S42:Y42"/>
    <mergeCell ref="H24:M24"/>
    <mergeCell ref="N67:O67"/>
    <mergeCell ref="M56:O56"/>
    <mergeCell ref="N28:O28"/>
    <mergeCell ref="H8:M8"/>
    <mergeCell ref="P28:Q28"/>
    <mergeCell ref="S51:AA51"/>
    <mergeCell ref="M58:O58"/>
    <mergeCell ref="H6:Q6"/>
    <mergeCell ref="N13:O13"/>
    <mergeCell ref="H26:M26"/>
    <mergeCell ref="S14:Y14"/>
    <mergeCell ref="N30:O30"/>
    <mergeCell ref="B53:E53"/>
    <mergeCell ref="P30:Q30"/>
    <mergeCell ref="S37:Y37"/>
    <mergeCell ref="H50:M50"/>
    <mergeCell ref="P14:Q14"/>
    <mergeCell ref="Z31:AA31"/>
    <mergeCell ref="H25:M25"/>
    <mergeCell ref="H34:M34"/>
    <mergeCell ref="Z46:AA46"/>
    <mergeCell ref="F64:G64"/>
    <mergeCell ref="J53:L53"/>
    <mergeCell ref="P55:Q55"/>
    <mergeCell ref="S53:AA60"/>
    <mergeCell ref="A8:D8"/>
    <mergeCell ref="H49:M49"/>
    <mergeCell ref="A73:E73"/>
    <mergeCell ref="D63:E63"/>
    <mergeCell ref="N32:O32"/>
    <mergeCell ref="S28:AA28"/>
    <mergeCell ref="B55:E55"/>
    <mergeCell ref="J55:L55"/>
    <mergeCell ref="H11:M11"/>
    <mergeCell ref="A10:D10"/>
    <mergeCell ref="D65:E65"/>
    <mergeCell ref="H18:Q18"/>
    <mergeCell ref="A61:Q61"/>
    <mergeCell ref="S32:Y32"/>
    <mergeCell ref="J54:L54"/>
    <mergeCell ref="P56:Q56"/>
    <mergeCell ref="S26:Y26"/>
    <mergeCell ref="S41:Y41"/>
    <mergeCell ref="H19:M19"/>
    <mergeCell ref="A34:D34"/>
    <mergeCell ref="S6:AA6"/>
    <mergeCell ref="H28:M28"/>
    <mergeCell ref="B54:E54"/>
    <mergeCell ref="H37:M37"/>
    <mergeCell ref="S16:Y16"/>
    <mergeCell ref="N33:O33"/>
    <mergeCell ref="J65:K65"/>
    <mergeCell ref="P27:Q27"/>
    <mergeCell ref="S25:Y25"/>
    <mergeCell ref="J56:L56"/>
    <mergeCell ref="H12:M12"/>
    <mergeCell ref="S43:Y43"/>
    <mergeCell ref="H10:Q10"/>
    <mergeCell ref="H48:M48"/>
    <mergeCell ref="B56:E56"/>
    <mergeCell ref="Z8:AA8"/>
    <mergeCell ref="S18:Y18"/>
    <mergeCell ref="Z17:AA17"/>
    <mergeCell ref="B58:E58"/>
    <mergeCell ref="J58:L58"/>
    <mergeCell ref="H14:M14"/>
    <mergeCell ref="S8:Y8"/>
    <mergeCell ref="H23:M23"/>
    <mergeCell ref="S17:Y17"/>
    <mergeCell ref="N19:O19"/>
    <mergeCell ref="H66:I66"/>
    <mergeCell ref="S11:Y11"/>
    <mergeCell ref="P19:Q19"/>
    <mergeCell ref="P53:Q53"/>
    <mergeCell ref="J66:K66"/>
    <mergeCell ref="H38:M38"/>
    <mergeCell ref="H36:Q36"/>
    <mergeCell ref="H43:M43"/>
    <mergeCell ref="B57:E57"/>
    <mergeCell ref="J57:L57"/>
    <mergeCell ref="M59:O59"/>
    <mergeCell ref="P12:Q12"/>
    <mergeCell ref="A12:D12"/>
    <mergeCell ref="D67:E67"/>
    <mergeCell ref="A62:C68"/>
    <mergeCell ref="A21:D21"/>
    <mergeCell ref="J59:L59"/>
    <mergeCell ref="F62:O62"/>
    <mergeCell ref="S34:Y34"/>
    <mergeCell ref="A32:D32"/>
    <mergeCell ref="A14:D14"/>
    <mergeCell ref="P54:Q54"/>
    <mergeCell ref="Z30:AA30"/>
    <mergeCell ref="A23:D23"/>
    <mergeCell ref="H67:I67"/>
    <mergeCell ref="M54:O54"/>
    <mergeCell ref="P29:Q29"/>
    <mergeCell ref="S36:Y36"/>
    <mergeCell ref="J67:K67"/>
    <mergeCell ref="L67:M67"/>
    <mergeCell ref="S30:Y30"/>
    <mergeCell ref="S45:Y45"/>
    <mergeCell ref="F65:G65"/>
    <mergeCell ref="S20:Y20"/>
    <mergeCell ref="S29:Y29"/>
    <mergeCell ref="P31:Q31"/>
    <mergeCell ref="H16:M16"/>
    <mergeCell ref="S64:AA71"/>
    <mergeCell ref="N21:O21"/>
    <mergeCell ref="S44:Y44"/>
    <mergeCell ref="P21:Q21"/>
    <mergeCell ref="S22:Y22"/>
    <mergeCell ref="H64:I64"/>
    <mergeCell ref="S31:Y31"/>
    <mergeCell ref="H22:M22"/>
    <mergeCell ref="B59:E59"/>
    <mergeCell ref="S12:Y12"/>
    <mergeCell ref="N47:Q47"/>
    <mergeCell ref="N23:O23"/>
    <mergeCell ref="A74:E74"/>
    <mergeCell ref="S21:Y21"/>
    <mergeCell ref="P23:Q23"/>
    <mergeCell ref="L64:M64"/>
    <mergeCell ref="N64:O64"/>
    <mergeCell ref="H41:Q41"/>
    <mergeCell ref="P16:Q16"/>
    <mergeCell ref="F55:I55"/>
    <mergeCell ref="J63:K63"/>
    <mergeCell ref="A76:E76"/>
    <mergeCell ref="L63:M63"/>
    <mergeCell ref="A25:D25"/>
    <mergeCell ref="H30:M30"/>
    <mergeCell ref="P57:Q57"/>
    <mergeCell ref="S7:Y7"/>
    <mergeCell ref="H20:M20"/>
    <mergeCell ref="F67:G67"/>
    <mergeCell ref="H29:M29"/>
    <mergeCell ref="A18:D18"/>
    <mergeCell ref="D68:E68"/>
    <mergeCell ref="N34:O34"/>
    <mergeCell ref="H44:M44"/>
    <mergeCell ref="S62:AA62"/>
    <mergeCell ref="P42:Q42"/>
    <mergeCell ref="S49:Y49"/>
    <mergeCell ref="A6:F6"/>
    <mergeCell ref="A52:Q52"/>
    <mergeCell ref="H31:M31"/>
    <mergeCell ref="S10:Y10"/>
    <mergeCell ref="N27:O27"/>
    <mergeCell ref="S19:Y19"/>
    <mergeCell ref="S33:Y3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"/>
  <sheetViews>
    <sheetView showGridLines="0" workbookViewId="0">
      <selection activeCell="K9" sqref="K9"/>
    </sheetView>
  </sheetViews>
  <sheetFormatPr baseColWidth="10" defaultColWidth="8.6640625" defaultRowHeight="13"/>
  <cols>
    <col width="22" customWidth="1" style="148" min="1" max="1"/>
    <col width="10" customWidth="1" style="148" min="2" max="2"/>
    <col width="9" customWidth="1" style="148" min="3" max="3"/>
    <col width="14" customWidth="1" style="148" min="4" max="5"/>
    <col width="10" customWidth="1" style="148" min="6" max="6"/>
    <col width="11" customWidth="1" style="148" min="7" max="8"/>
    <col width="9" customWidth="1" style="148" min="9" max="9"/>
    <col width="12" customWidth="1" style="148" min="10" max="10"/>
    <col width="9" customWidth="1" style="148" min="11" max="11"/>
    <col width="13" customWidth="1" style="148" min="12" max="12"/>
    <col width="18" customWidth="1" style="148" min="13" max="13"/>
    <col width="12" customWidth="1" style="148" min="14" max="14"/>
    <col width="14" customWidth="1" style="148" min="15" max="15"/>
    <col width="2" customWidth="1" style="148" min="26" max="27"/>
  </cols>
  <sheetData>
    <row r="1" ht="15" customHeight="1" s="148">
      <c r="A1" s="46" t="inlineStr">
        <is>
          <t>Project Name</t>
        </is>
      </c>
      <c r="AA1">
        <f>SUM(B36:B55)</f>
        <v/>
      </c>
    </row>
    <row r="2" ht="15" customHeight="1" s="148">
      <c r="A2" s="46" t="inlineStr">
        <is>
          <t>City, State</t>
        </is>
      </c>
    </row>
    <row r="4" ht="15" customHeight="1" s="148">
      <c r="A4" s="46" t="inlineStr">
        <is>
          <t>Rent Roll</t>
        </is>
      </c>
    </row>
    <row r="6" ht="18" customHeight="1" s="148">
      <c r="A6" s="184" t="inlineStr">
        <is>
          <t>Rent Roll - In-Place / Initial Lease Up</t>
        </is>
      </c>
      <c r="B6" s="155" t="n"/>
      <c r="C6" s="155" t="n"/>
      <c r="D6" s="155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8" t="n"/>
    </row>
    <row r="7" ht="9.75" customHeight="1" s="148">
      <c r="A7" s="11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9" t="n"/>
    </row>
    <row r="8" ht="39.75" customHeight="1" s="148">
      <c r="A8" s="47" t="inlineStr">
        <is>
          <t>Tenant</t>
        </is>
      </c>
      <c r="B8" s="48" t="inlineStr">
        <is>
          <t>Sq Ft</t>
        </is>
      </c>
      <c r="C8" s="48" t="inlineStr">
        <is>
          <t>% Total</t>
        </is>
      </c>
      <c r="D8" s="48" t="inlineStr">
        <is>
          <t>Current Annual
Rent PSF</t>
        </is>
      </c>
      <c r="E8" s="48" t="inlineStr">
        <is>
          <t>Annual Step
Calculation</t>
        </is>
      </c>
      <c r="F8" s="48" t="inlineStr">
        <is>
          <t>Annual
Step
Amounts</t>
        </is>
      </c>
      <c r="G8" s="48" t="inlineStr">
        <is>
          <t>Lease Start</t>
        </is>
      </c>
      <c r="H8" s="48" t="inlineStr">
        <is>
          <t>Lease End</t>
        </is>
      </c>
      <c r="I8" s="48" t="inlineStr">
        <is>
          <t>Lease Type</t>
        </is>
      </c>
      <c r="J8" s="48" t="inlineStr">
        <is>
          <t>Stop Amount
(Annual)</t>
        </is>
      </c>
      <c r="K8" s="48" t="inlineStr">
        <is>
          <t>Free Rent</t>
        </is>
      </c>
      <c r="L8" s="48" t="inlineStr">
        <is>
          <t>Tenant
Improvements</t>
        </is>
      </c>
      <c r="M8" s="48" t="inlineStr">
        <is>
          <t>Leasing
Commissions
Calculation</t>
        </is>
      </c>
      <c r="N8" s="48" t="inlineStr">
        <is>
          <t>Leasing
Commissions</t>
        </is>
      </c>
      <c r="O8" s="49" t="inlineStr">
        <is>
          <t>Comments</t>
        </is>
      </c>
    </row>
    <row r="9" ht="15.75" customHeight="1" s="148">
      <c r="A9" s="50" t="inlineStr">
        <is>
          <t>Beignet Station</t>
        </is>
      </c>
      <c r="B9" s="51" t="n">
        <v>25000</v>
      </c>
      <c r="C9" s="52">
        <f>IF(B9="","",B9/$B$30)</f>
        <v/>
      </c>
      <c r="D9" s="219" t="n">
        <v>13</v>
      </c>
      <c r="E9" s="54" t="inlineStr">
        <is>
          <t>% Bump</t>
        </is>
      </c>
      <c r="F9" s="55" t="n">
        <v>0.03</v>
      </c>
      <c r="G9" s="220" t="n">
        <v>45689</v>
      </c>
      <c r="H9" s="220" t="n">
        <v>46812</v>
      </c>
      <c r="I9" s="54" t="inlineStr">
        <is>
          <t>NNN</t>
        </is>
      </c>
      <c r="J9" s="57" t="n"/>
      <c r="K9" s="58" t="n">
        <v>0</v>
      </c>
      <c r="L9" s="219" t="n">
        <v>7</v>
      </c>
      <c r="M9" s="54" t="inlineStr">
        <is>
          <t>$/SF</t>
        </is>
      </c>
      <c r="N9" s="219" t="n">
        <v>6</v>
      </c>
      <c r="O9" s="59" t="n"/>
    </row>
    <row r="10" ht="15.75" customHeight="1" s="148">
      <c r="A10" s="50" t="inlineStr">
        <is>
          <t>Orange and Blue</t>
        </is>
      </c>
      <c r="B10" s="51" t="n">
        <v>25000</v>
      </c>
      <c r="C10" s="52">
        <f>IF(B10="","",B10/$B$30)</f>
        <v/>
      </c>
      <c r="D10" s="219" t="n">
        <v>13</v>
      </c>
      <c r="E10" s="54" t="inlineStr">
        <is>
          <t>% Bump</t>
        </is>
      </c>
      <c r="F10" s="55" t="n">
        <v>0.03</v>
      </c>
      <c r="G10" s="220" t="n">
        <v>45689</v>
      </c>
      <c r="H10" s="220" t="n">
        <v>49368</v>
      </c>
      <c r="I10" s="54" t="inlineStr">
        <is>
          <t>NNN</t>
        </is>
      </c>
      <c r="J10" s="57" t="n"/>
      <c r="K10" s="58" t="n">
        <v>3</v>
      </c>
      <c r="L10" s="219" t="n">
        <v>7</v>
      </c>
      <c r="M10" s="54" t="inlineStr">
        <is>
          <t>% of Rental Revenue</t>
        </is>
      </c>
      <c r="N10" s="55" t="n">
        <v>0.06</v>
      </c>
      <c r="O10" s="59" t="n"/>
    </row>
    <row r="11" ht="15.75" customHeight="1" s="148">
      <c r="A11" s="50" t="inlineStr">
        <is>
          <t>Specific Statics</t>
        </is>
      </c>
      <c r="B11" s="51" t="n">
        <v>30000</v>
      </c>
      <c r="C11" s="52">
        <f>IF(B11="","",B11/$B$30)</f>
        <v/>
      </c>
      <c r="D11" s="219" t="n">
        <v>13</v>
      </c>
      <c r="E11" s="54" t="inlineStr">
        <is>
          <t>% Bump</t>
        </is>
      </c>
      <c r="F11" s="55" t="n">
        <v>0.03</v>
      </c>
      <c r="G11" s="220" t="n">
        <v>45689</v>
      </c>
      <c r="H11" s="220" t="n">
        <v>46446</v>
      </c>
      <c r="I11" s="54" t="inlineStr">
        <is>
          <t>NNN</t>
        </is>
      </c>
      <c r="J11" s="57" t="n"/>
      <c r="K11" s="58" t="n">
        <v>3</v>
      </c>
      <c r="L11" s="219" t="n">
        <v>7</v>
      </c>
      <c r="M11" s="54" t="inlineStr">
        <is>
          <t>% of Rental Revenue</t>
        </is>
      </c>
      <c r="N11" s="55" t="n">
        <v>0.06</v>
      </c>
      <c r="O11" s="59" t="n"/>
    </row>
    <row r="12" ht="15.75" customHeight="1" s="148">
      <c r="A12" s="50" t="inlineStr">
        <is>
          <t>AZ Salt &amp; Daughter</t>
        </is>
      </c>
      <c r="B12" s="51" t="n">
        <v>25000</v>
      </c>
      <c r="C12" s="52">
        <f>IF(B12="","",B12/$B$30)</f>
        <v/>
      </c>
      <c r="D12" s="219" t="n">
        <v>13</v>
      </c>
      <c r="E12" s="54" t="inlineStr">
        <is>
          <t>% Bump</t>
        </is>
      </c>
      <c r="F12" s="55" t="n">
        <v>0.03</v>
      </c>
      <c r="G12" s="220" t="n">
        <v>45689</v>
      </c>
      <c r="H12" s="220" t="n">
        <v>46446</v>
      </c>
      <c r="I12" s="54" t="inlineStr">
        <is>
          <t>NNN</t>
        </is>
      </c>
      <c r="J12" s="57" t="n"/>
      <c r="K12" s="58" t="n">
        <v>2</v>
      </c>
      <c r="L12" s="219" t="n">
        <v>7</v>
      </c>
      <c r="M12" s="54" t="inlineStr">
        <is>
          <t>% of Rental Revenue</t>
        </is>
      </c>
      <c r="N12" s="55" t="n">
        <v>0.06</v>
      </c>
      <c r="O12" s="59" t="n"/>
    </row>
    <row r="13" ht="15.75" customHeight="1" s="148">
      <c r="A13" s="50" t="inlineStr">
        <is>
          <t>Moyra's Aviation</t>
        </is>
      </c>
      <c r="B13" s="51" t="n">
        <v>20000</v>
      </c>
      <c r="C13" s="52">
        <f>IF(B13="","",B13/$B$30)</f>
        <v/>
      </c>
      <c r="D13" s="219" t="n">
        <v>13</v>
      </c>
      <c r="E13" s="54" t="inlineStr">
        <is>
          <t>% Bump</t>
        </is>
      </c>
      <c r="F13" s="55" t="n">
        <v>0.03</v>
      </c>
      <c r="G13" s="220" t="n">
        <v>45689</v>
      </c>
      <c r="H13" s="220" t="n">
        <v>47542</v>
      </c>
      <c r="I13" s="54" t="inlineStr">
        <is>
          <t>NNN</t>
        </is>
      </c>
      <c r="J13" s="57" t="n"/>
      <c r="K13" s="58" t="n">
        <v>2</v>
      </c>
      <c r="L13" s="219" t="n">
        <v>7</v>
      </c>
      <c r="M13" s="54" t="inlineStr">
        <is>
          <t>% of Rental Revenue</t>
        </is>
      </c>
      <c r="N13" s="55" t="n">
        <v>0.06</v>
      </c>
      <c r="O13" s="59" t="n"/>
    </row>
    <row r="14" ht="15.75" customHeight="1" s="148">
      <c r="A14" s="60" t="n"/>
      <c r="B14" s="61" t="n"/>
      <c r="C14" s="52">
        <f>IF(B14="","",B14/$B$30)</f>
        <v/>
      </c>
      <c r="D14" s="61" t="n"/>
      <c r="E14" s="62" t="n"/>
      <c r="F14" s="61" t="n"/>
      <c r="G14" s="61" t="n"/>
      <c r="H14" s="61" t="n"/>
      <c r="I14" s="62" t="n"/>
      <c r="J14" s="57" t="n"/>
      <c r="K14" s="61" t="n"/>
      <c r="L14" s="61" t="n"/>
      <c r="M14" s="62" t="n"/>
      <c r="N14" s="61" t="n"/>
      <c r="O14" s="59" t="n"/>
    </row>
    <row r="15" ht="15.75" customHeight="1" s="148">
      <c r="A15" s="60" t="n"/>
      <c r="B15" s="61" t="n"/>
      <c r="C15" s="52">
        <f>IF(B15="","",B15/$B$30)</f>
        <v/>
      </c>
      <c r="D15" s="61" t="n"/>
      <c r="E15" s="62" t="n"/>
      <c r="F15" s="61" t="n"/>
      <c r="G15" s="61" t="n"/>
      <c r="H15" s="61" t="n"/>
      <c r="I15" s="62" t="n"/>
      <c r="J15" s="57" t="n"/>
      <c r="K15" s="61" t="n"/>
      <c r="L15" s="61" t="n"/>
      <c r="M15" s="62" t="n"/>
      <c r="N15" s="61" t="n"/>
      <c r="O15" s="59" t="n"/>
    </row>
    <row r="16" ht="15.75" customHeight="1" s="148">
      <c r="A16" s="60" t="n"/>
      <c r="B16" s="61" t="n"/>
      <c r="C16" s="52">
        <f>IF(B16="","",B16/$B$30)</f>
        <v/>
      </c>
      <c r="D16" s="61" t="n"/>
      <c r="E16" s="62" t="n"/>
      <c r="F16" s="61" t="n"/>
      <c r="G16" s="61" t="n"/>
      <c r="H16" s="61" t="n"/>
      <c r="I16" s="62" t="n"/>
      <c r="J16" s="57" t="n"/>
      <c r="K16" s="61" t="n"/>
      <c r="L16" s="61" t="n"/>
      <c r="M16" s="62" t="n"/>
      <c r="N16" s="61" t="n"/>
      <c r="O16" s="59" t="n"/>
    </row>
    <row r="17" ht="15.75" customHeight="1" s="148">
      <c r="A17" s="60" t="n"/>
      <c r="B17" s="61" t="n"/>
      <c r="C17" s="52">
        <f>IF(B17="","",B17/$B$30)</f>
        <v/>
      </c>
      <c r="D17" s="61" t="n"/>
      <c r="E17" s="62" t="n"/>
      <c r="F17" s="61" t="n"/>
      <c r="G17" s="61" t="n"/>
      <c r="H17" s="61" t="n"/>
      <c r="I17" s="62" t="n"/>
      <c r="J17" s="57" t="n"/>
      <c r="K17" s="61" t="n"/>
      <c r="L17" s="61" t="n"/>
      <c r="M17" s="62" t="n"/>
      <c r="N17" s="61" t="n"/>
      <c r="O17" s="59" t="n"/>
    </row>
    <row r="18" ht="15.75" customHeight="1" s="148">
      <c r="A18" s="60" t="n"/>
      <c r="B18" s="61" t="n"/>
      <c r="C18" s="52">
        <f>IF(B18="","",B18/$B$30)</f>
        <v/>
      </c>
      <c r="D18" s="61" t="n"/>
      <c r="E18" s="62" t="n"/>
      <c r="F18" s="61" t="n"/>
      <c r="G18" s="61" t="n"/>
      <c r="H18" s="61" t="n"/>
      <c r="I18" s="62" t="n"/>
      <c r="J18" s="57" t="n"/>
      <c r="K18" s="61" t="n"/>
      <c r="L18" s="61" t="n"/>
      <c r="M18" s="62" t="n"/>
      <c r="N18" s="61" t="n"/>
      <c r="O18" s="59" t="n"/>
    </row>
    <row r="19" ht="15.75" customHeight="1" s="148">
      <c r="A19" s="60" t="n"/>
      <c r="B19" s="61" t="n"/>
      <c r="C19" s="52">
        <f>IF(B19="","",B19/$B$30)</f>
        <v/>
      </c>
      <c r="D19" s="61" t="n"/>
      <c r="E19" s="62" t="n"/>
      <c r="F19" s="61" t="n"/>
      <c r="G19" s="61" t="n"/>
      <c r="H19" s="61" t="n"/>
      <c r="I19" s="62" t="n"/>
      <c r="J19" s="57" t="n"/>
      <c r="K19" s="61" t="n"/>
      <c r="L19" s="61" t="n"/>
      <c r="M19" s="62" t="n"/>
      <c r="N19" s="61" t="n"/>
      <c r="O19" s="59" t="n"/>
    </row>
    <row r="20" ht="15.75" customHeight="1" s="148">
      <c r="A20" s="60" t="n"/>
      <c r="B20" s="61" t="n"/>
      <c r="C20" s="52">
        <f>IF(B20="","",B20/$B$30)</f>
        <v/>
      </c>
      <c r="D20" s="61" t="n"/>
      <c r="E20" s="62" t="n"/>
      <c r="F20" s="61" t="n"/>
      <c r="G20" s="61" t="n"/>
      <c r="H20" s="61" t="n"/>
      <c r="I20" s="62" t="n"/>
      <c r="J20" s="57" t="n"/>
      <c r="K20" s="61" t="n"/>
      <c r="L20" s="61" t="n"/>
      <c r="M20" s="62" t="n"/>
      <c r="N20" s="61" t="n"/>
      <c r="O20" s="59" t="n"/>
    </row>
    <row r="21" ht="15.75" customHeight="1" s="148">
      <c r="A21" s="60" t="n"/>
      <c r="B21" s="61" t="n"/>
      <c r="C21" s="52">
        <f>IF(B21="","",B21/$B$30)</f>
        <v/>
      </c>
      <c r="D21" s="61" t="n"/>
      <c r="E21" s="62" t="n"/>
      <c r="F21" s="61" t="n"/>
      <c r="G21" s="61" t="n"/>
      <c r="H21" s="61" t="n"/>
      <c r="I21" s="62" t="n"/>
      <c r="J21" s="57" t="n"/>
      <c r="K21" s="61" t="n"/>
      <c r="L21" s="61" t="n"/>
      <c r="M21" s="62" t="n"/>
      <c r="N21" s="61" t="n"/>
      <c r="O21" s="59" t="n"/>
    </row>
    <row r="22" ht="15.75" customHeight="1" s="148">
      <c r="A22" s="60" t="n"/>
      <c r="B22" s="61" t="n"/>
      <c r="C22" s="52">
        <f>IF(B22="","",B22/$B$30)</f>
        <v/>
      </c>
      <c r="D22" s="61" t="n"/>
      <c r="E22" s="62" t="n"/>
      <c r="F22" s="61" t="n"/>
      <c r="G22" s="61" t="n"/>
      <c r="H22" s="61" t="n"/>
      <c r="I22" s="62" t="n"/>
      <c r="J22" s="57" t="n"/>
      <c r="K22" s="61" t="n"/>
      <c r="L22" s="61" t="n"/>
      <c r="M22" s="62" t="n"/>
      <c r="N22" s="61" t="n"/>
      <c r="O22" s="59" t="n"/>
    </row>
    <row r="23" ht="15.75" customHeight="1" s="148">
      <c r="A23" s="60" t="n"/>
      <c r="B23" s="61" t="n"/>
      <c r="C23" s="52">
        <f>IF(B23="","",B23/$B$30)</f>
        <v/>
      </c>
      <c r="D23" s="61" t="n"/>
      <c r="E23" s="62" t="n"/>
      <c r="F23" s="61" t="n"/>
      <c r="G23" s="61" t="n"/>
      <c r="H23" s="61" t="n"/>
      <c r="I23" s="62" t="n"/>
      <c r="J23" s="57" t="n"/>
      <c r="K23" s="61" t="n"/>
      <c r="L23" s="61" t="n"/>
      <c r="M23" s="62" t="n"/>
      <c r="N23" s="61" t="n"/>
      <c r="O23" s="59" t="n"/>
    </row>
    <row r="24" ht="15.75" customHeight="1" s="148">
      <c r="A24" s="60" t="n"/>
      <c r="B24" s="61" t="n"/>
      <c r="C24" s="52">
        <f>IF(B24="","",B24/$B$30)</f>
        <v/>
      </c>
      <c r="D24" s="61" t="n"/>
      <c r="E24" s="62" t="n"/>
      <c r="F24" s="61" t="n"/>
      <c r="G24" s="61" t="n"/>
      <c r="H24" s="61" t="n"/>
      <c r="I24" s="62" t="n"/>
      <c r="J24" s="57" t="n"/>
      <c r="K24" s="61" t="n"/>
      <c r="L24" s="61" t="n"/>
      <c r="M24" s="62" t="n"/>
      <c r="N24" s="61" t="n"/>
      <c r="O24" s="59" t="n"/>
    </row>
    <row r="25" ht="15.75" customHeight="1" s="148">
      <c r="A25" s="60" t="n"/>
      <c r="B25" s="61" t="n"/>
      <c r="C25" s="52">
        <f>IF(B25="","",B25/$B$30)</f>
        <v/>
      </c>
      <c r="D25" s="61" t="n"/>
      <c r="E25" s="62" t="n"/>
      <c r="F25" s="61" t="n"/>
      <c r="G25" s="61" t="n"/>
      <c r="H25" s="61" t="n"/>
      <c r="I25" s="62" t="n"/>
      <c r="J25" s="57" t="n"/>
      <c r="K25" s="61" t="n"/>
      <c r="L25" s="61" t="n"/>
      <c r="M25" s="62" t="n"/>
      <c r="N25" s="61" t="n"/>
      <c r="O25" s="59" t="n"/>
    </row>
    <row r="26" ht="15.75" customHeight="1" s="148">
      <c r="A26" s="60" t="n"/>
      <c r="B26" s="61" t="n"/>
      <c r="C26" s="52">
        <f>IF(B26="","",B26/$B$30)</f>
        <v/>
      </c>
      <c r="D26" s="61" t="n"/>
      <c r="E26" s="62" t="n"/>
      <c r="F26" s="61" t="n"/>
      <c r="G26" s="61" t="n"/>
      <c r="H26" s="61" t="n"/>
      <c r="I26" s="62" t="n"/>
      <c r="J26" s="57" t="n"/>
      <c r="K26" s="61" t="n"/>
      <c r="L26" s="61" t="n"/>
      <c r="M26" s="62" t="n"/>
      <c r="N26" s="61" t="n"/>
      <c r="O26" s="59" t="n"/>
    </row>
    <row r="27" ht="15.75" customHeight="1" s="148">
      <c r="A27" s="60" t="n"/>
      <c r="B27" s="61" t="n"/>
      <c r="C27" s="52">
        <f>IF(B27="","",B27/$B$30)</f>
        <v/>
      </c>
      <c r="D27" s="61" t="n"/>
      <c r="E27" s="62" t="n"/>
      <c r="F27" s="61" t="n"/>
      <c r="G27" s="61" t="n"/>
      <c r="H27" s="61" t="n"/>
      <c r="I27" s="62" t="n"/>
      <c r="J27" s="57" t="n"/>
      <c r="K27" s="61" t="n"/>
      <c r="L27" s="61" t="n"/>
      <c r="M27" s="62" t="n"/>
      <c r="N27" s="61" t="n"/>
      <c r="O27" s="59" t="n"/>
    </row>
    <row r="28" ht="15.75" customHeight="1" s="148">
      <c r="A28" s="60" t="n"/>
      <c r="B28" s="61" t="n"/>
      <c r="C28" s="52">
        <f>IF(B28="","",B28/$B$30)</f>
        <v/>
      </c>
      <c r="D28" s="61" t="n"/>
      <c r="E28" s="62" t="n"/>
      <c r="F28" s="61" t="n"/>
      <c r="G28" s="61" t="n"/>
      <c r="H28" s="61" t="n"/>
      <c r="I28" s="62" t="n"/>
      <c r="J28" s="57" t="n"/>
      <c r="K28" s="61" t="n"/>
      <c r="L28" s="61" t="n"/>
      <c r="M28" s="62" t="n"/>
      <c r="N28" s="61" t="n"/>
      <c r="O28" s="59" t="n"/>
    </row>
    <row r="29" ht="15.75" customHeight="1" s="148">
      <c r="A29" s="63" t="inlineStr">
        <is>
          <t>Vacant Space</t>
        </is>
      </c>
      <c r="B29" s="64" t="n">
        <v>0</v>
      </c>
      <c r="C29" s="65" t="inlineStr">
        <is>
          <t>N/A</t>
        </is>
      </c>
      <c r="D29" s="65" t="inlineStr">
        <is>
          <t>N/A</t>
        </is>
      </c>
      <c r="E29" s="65" t="n"/>
      <c r="F29" s="65" t="inlineStr">
        <is>
          <t>N/A</t>
        </is>
      </c>
      <c r="G29" s="65" t="inlineStr">
        <is>
          <t>N/A</t>
        </is>
      </c>
      <c r="H29" s="65" t="inlineStr">
        <is>
          <t>N/A</t>
        </is>
      </c>
      <c r="I29" s="65" t="n"/>
      <c r="J29" s="66" t="n"/>
      <c r="K29" s="65" t="inlineStr">
        <is>
          <t>N/A</t>
        </is>
      </c>
      <c r="L29" s="65" t="inlineStr">
        <is>
          <t>N/A</t>
        </is>
      </c>
      <c r="M29" s="65" t="n"/>
      <c r="N29" s="65" t="inlineStr">
        <is>
          <t>N/A</t>
        </is>
      </c>
      <c r="O29" s="67" t="n"/>
    </row>
    <row r="30" ht="15" customHeight="1" s="148">
      <c r="A30" s="68" t="inlineStr">
        <is>
          <t>Project Name Total:</t>
        </is>
      </c>
      <c r="B30" s="69">
        <f>SUM(B9:B29)</f>
        <v/>
      </c>
      <c r="C30" s="70">
        <f>SUM(C9:C29)</f>
        <v/>
      </c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71" t="n"/>
    </row>
    <row r="31" ht="15" customHeight="1" s="148">
      <c r="A31" s="72" t="inlineStr">
        <is>
          <t>Project Name Average:</t>
        </is>
      </c>
      <c r="B31" s="73">
        <f>COUNTIF(A9:A28,"&lt;&gt;")</f>
        <v/>
      </c>
      <c r="C31" s="74" t="n"/>
      <c r="D31" s="221">
        <f>IFERROR(AVERAGEIF(D9:D28,"&gt;0"),"")</f>
        <v/>
      </c>
      <c r="E31" s="74" t="n"/>
      <c r="F31" s="74" t="n"/>
      <c r="G31" s="76">
        <f>IFERROR(AVERAGE(G9:G28),"")</f>
        <v/>
      </c>
      <c r="H31" s="76">
        <f>IFERROR(EDATE(AVERAGE(H9:H28),-1),"")</f>
        <v/>
      </c>
      <c r="I31" s="74" t="n"/>
      <c r="J31" s="74" t="n"/>
      <c r="K31" s="222">
        <f>IFERROR(AVERAGEIF(K9:K28,"&gt;=0"),"")</f>
        <v/>
      </c>
      <c r="L31" s="221">
        <f>IFERROR(AVERAGEIF(L9:L28,"&gt;0"),"")</f>
        <v/>
      </c>
      <c r="M31" s="74" t="n"/>
      <c r="N31" s="74" t="n"/>
      <c r="O31" s="78" t="n"/>
    </row>
    <row r="33" ht="18" customHeight="1" s="148">
      <c r="A33" s="184" t="inlineStr">
        <is>
          <t>Rent Roll - Market Rollover</t>
        </is>
      </c>
      <c r="B33" s="155" t="n"/>
      <c r="C33" s="155" t="n"/>
      <c r="D33" s="155" t="n"/>
      <c r="E33" s="155" t="n"/>
      <c r="F33" s="155" t="n"/>
      <c r="G33" s="155" t="n"/>
      <c r="H33" s="155" t="n"/>
      <c r="I33" s="155" t="n"/>
      <c r="J33" s="155" t="n"/>
      <c r="K33" s="155" t="n"/>
      <c r="L33" s="155" t="n"/>
      <c r="M33" s="155" t="n"/>
      <c r="N33" s="155" t="n"/>
      <c r="O33" s="158" t="n"/>
    </row>
    <row r="34" ht="9.75" customHeight="1" s="148">
      <c r="A34" s="11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9" t="n"/>
    </row>
    <row r="35" ht="39.75" customHeight="1" s="148">
      <c r="A35" s="47" t="inlineStr">
        <is>
          <t>Tenant</t>
        </is>
      </c>
      <c r="B35" s="48" t="inlineStr">
        <is>
          <t>Sq Ft</t>
        </is>
      </c>
      <c r="C35" s="48" t="inlineStr">
        <is>
          <t>% Total</t>
        </is>
      </c>
      <c r="D35" s="48" t="inlineStr">
        <is>
          <t>Market Annual
Rent PSF</t>
        </is>
      </c>
      <c r="E35" s="48" t="inlineStr">
        <is>
          <t>Annual Step
Calculation</t>
        </is>
      </c>
      <c r="F35" s="48" t="inlineStr">
        <is>
          <t>Annual
Step
Amounts</t>
        </is>
      </c>
      <c r="G35" s="48" t="inlineStr">
        <is>
          <t>Lease Start</t>
        </is>
      </c>
      <c r="H35" s="48" t="inlineStr">
        <is>
          <t>Lease End</t>
        </is>
      </c>
      <c r="I35" s="48" t="inlineStr">
        <is>
          <t>Lease Type</t>
        </is>
      </c>
      <c r="J35" s="48" t="inlineStr">
        <is>
          <t>Stop Amount
(Annual)</t>
        </is>
      </c>
      <c r="K35" s="48" t="inlineStr">
        <is>
          <t>Free Rent</t>
        </is>
      </c>
      <c r="L35" s="48" t="inlineStr">
        <is>
          <t>Tenant
Improvements</t>
        </is>
      </c>
      <c r="M35" s="48" t="inlineStr">
        <is>
          <t>Leasing
Commissions
Calculation</t>
        </is>
      </c>
      <c r="N35" s="48" t="inlineStr">
        <is>
          <t>Leasing
Commissions</t>
        </is>
      </c>
      <c r="O35" s="49" t="inlineStr">
        <is>
          <t>Comments</t>
        </is>
      </c>
    </row>
    <row r="36" ht="15.75" customHeight="1" s="148">
      <c r="A36" s="50" t="inlineStr">
        <is>
          <t>Beignet Station</t>
        </is>
      </c>
      <c r="B36" s="51" t="n">
        <v>25000</v>
      </c>
      <c r="C36" s="52">
        <f>IF(B36="","",B36/$AA$1)</f>
        <v/>
      </c>
      <c r="D36" s="219" t="n">
        <v>16</v>
      </c>
      <c r="E36" s="54" t="inlineStr">
        <is>
          <t>% Bump</t>
        </is>
      </c>
      <c r="F36" s="55" t="n">
        <v>0.03</v>
      </c>
      <c r="G36" s="220" t="n">
        <v>46905</v>
      </c>
      <c r="H36" s="220" t="n">
        <v>48760</v>
      </c>
      <c r="I36" s="54" t="inlineStr">
        <is>
          <t>NNN</t>
        </is>
      </c>
      <c r="J36" s="57" t="n"/>
      <c r="K36" s="58" t="n">
        <v>2</v>
      </c>
      <c r="L36" s="219" t="n">
        <v>7</v>
      </c>
      <c r="M36" s="54" t="inlineStr">
        <is>
          <t>% of Rental Revenue</t>
        </is>
      </c>
      <c r="N36" s="55" t="n">
        <v>0.06</v>
      </c>
      <c r="O36" s="59" t="n"/>
    </row>
    <row r="37" ht="15.75" customHeight="1" s="148">
      <c r="A37" s="50" t="inlineStr">
        <is>
          <t>Rapunzel</t>
        </is>
      </c>
      <c r="B37" s="51" t="n">
        <v>25000</v>
      </c>
      <c r="C37" s="52">
        <f>IF(B37="","",B37/$AA$1)</f>
        <v/>
      </c>
      <c r="D37" s="219" t="n">
        <v>19</v>
      </c>
      <c r="E37" s="54" t="inlineStr">
        <is>
          <t>% Bump</t>
        </is>
      </c>
      <c r="F37" s="55" t="n">
        <v>0.03</v>
      </c>
      <c r="G37" s="220" t="n">
        <v>49461</v>
      </c>
      <c r="H37" s="220" t="n">
        <v>51317</v>
      </c>
      <c r="I37" s="54" t="inlineStr">
        <is>
          <t>NNN</t>
        </is>
      </c>
      <c r="J37" s="57" t="n"/>
      <c r="K37" s="58" t="n">
        <v>2</v>
      </c>
      <c r="L37" s="219" t="n">
        <v>7</v>
      </c>
      <c r="M37" s="54" t="inlineStr">
        <is>
          <t>% of Rental Revenue</t>
        </is>
      </c>
      <c r="N37" s="55" t="n">
        <v>0.06</v>
      </c>
      <c r="O37" s="59" t="n"/>
    </row>
    <row r="38" ht="15.75" customHeight="1" s="148">
      <c r="A38" s="50" t="inlineStr">
        <is>
          <t>Specific Statics</t>
        </is>
      </c>
      <c r="B38" s="51" t="n">
        <v>30000</v>
      </c>
      <c r="C38" s="52">
        <f>IF(B38="","",B38/$AA$1)</f>
        <v/>
      </c>
      <c r="D38" s="219" t="n">
        <v>16</v>
      </c>
      <c r="E38" s="54" t="inlineStr">
        <is>
          <t>% Bump</t>
        </is>
      </c>
      <c r="F38" s="55" t="n">
        <v>0.03</v>
      </c>
      <c r="G38" s="220" t="n">
        <v>46539</v>
      </c>
      <c r="H38" s="220" t="n">
        <v>48395</v>
      </c>
      <c r="I38" s="54" t="inlineStr">
        <is>
          <t>NNN</t>
        </is>
      </c>
      <c r="J38" s="57" t="n"/>
      <c r="K38" s="58" t="n">
        <v>2</v>
      </c>
      <c r="L38" s="219" t="n">
        <v>7</v>
      </c>
      <c r="M38" s="54" t="inlineStr">
        <is>
          <t>% of Rental Revenue</t>
        </is>
      </c>
      <c r="N38" s="55" t="n">
        <v>0.06</v>
      </c>
      <c r="O38" s="59" t="n"/>
    </row>
    <row r="39" ht="15.75" customHeight="1" s="148">
      <c r="A39" s="50" t="inlineStr">
        <is>
          <t>HSC Homes</t>
        </is>
      </c>
      <c r="B39" s="51" t="n">
        <v>25000</v>
      </c>
      <c r="C39" s="52">
        <f>IF(B39="","",B39/$AA$1)</f>
        <v/>
      </c>
      <c r="D39" s="219" t="n">
        <v>16</v>
      </c>
      <c r="E39" s="54" t="inlineStr">
        <is>
          <t>% Bump</t>
        </is>
      </c>
      <c r="F39" s="55" t="n">
        <v>0.03</v>
      </c>
      <c r="G39" s="220" t="n">
        <v>46539</v>
      </c>
      <c r="H39" s="220" t="n">
        <v>48395</v>
      </c>
      <c r="I39" s="54" t="inlineStr">
        <is>
          <t>NNN</t>
        </is>
      </c>
      <c r="J39" s="57" t="n"/>
      <c r="K39" s="58" t="n">
        <v>2</v>
      </c>
      <c r="L39" s="219" t="n">
        <v>7</v>
      </c>
      <c r="M39" s="54" t="inlineStr">
        <is>
          <t>% of Rental Revenue</t>
        </is>
      </c>
      <c r="N39" s="55" t="n">
        <v>0.06</v>
      </c>
      <c r="O39" s="59" t="n"/>
    </row>
    <row r="40" ht="15.75" customHeight="1" s="148">
      <c r="A40" s="50" t="inlineStr">
        <is>
          <t>PG Technologies</t>
        </is>
      </c>
      <c r="B40" s="51" t="n">
        <v>20000</v>
      </c>
      <c r="C40" s="52">
        <f>IF(B40="","",B40/$AA$1)</f>
        <v/>
      </c>
      <c r="D40" s="219" t="n">
        <v>16</v>
      </c>
      <c r="E40" s="54" t="inlineStr">
        <is>
          <t>% Bump</t>
        </is>
      </c>
      <c r="F40" s="55" t="n">
        <v>0.03</v>
      </c>
      <c r="G40" s="220" t="n">
        <v>47635</v>
      </c>
      <c r="H40" s="220" t="n">
        <v>49490</v>
      </c>
      <c r="I40" s="54" t="inlineStr">
        <is>
          <t>NNN</t>
        </is>
      </c>
      <c r="J40" s="57" t="n"/>
      <c r="K40" s="58" t="n">
        <v>2</v>
      </c>
      <c r="L40" s="219" t="n">
        <v>7</v>
      </c>
      <c r="M40" s="54" t="inlineStr">
        <is>
          <t>% of Rental Revenue</t>
        </is>
      </c>
      <c r="N40" s="55" t="n">
        <v>0.06</v>
      </c>
      <c r="O40" s="59" t="n"/>
    </row>
    <row r="41" ht="15.75" customHeight="1" s="148">
      <c r="A41" s="11" t="n"/>
      <c r="B41" s="7" t="n"/>
      <c r="C41" s="52">
        <f>IF(B41="","",B41/$AA$1)</f>
        <v/>
      </c>
      <c r="D41" s="7" t="n"/>
      <c r="E41" s="62" t="n"/>
      <c r="F41" s="7" t="n"/>
      <c r="G41" s="7" t="n"/>
      <c r="H41" s="7" t="n"/>
      <c r="I41" s="62" t="n"/>
      <c r="J41" s="79" t="n"/>
      <c r="K41" s="7" t="n"/>
      <c r="L41" s="7" t="n"/>
      <c r="M41" s="62" t="n"/>
      <c r="N41" s="7" t="n"/>
      <c r="O41" s="9" t="n"/>
    </row>
    <row r="42" ht="15.75" customHeight="1" s="148">
      <c r="A42" s="11" t="n"/>
      <c r="B42" s="7" t="n"/>
      <c r="C42" s="52">
        <f>IF(B42="","",B42/$AA$1)</f>
        <v/>
      </c>
      <c r="D42" s="7" t="n"/>
      <c r="E42" s="62" t="n"/>
      <c r="F42" s="7" t="n"/>
      <c r="G42" s="7" t="n"/>
      <c r="H42" s="7" t="n"/>
      <c r="I42" s="62" t="n"/>
      <c r="J42" s="79" t="n"/>
      <c r="K42" s="7" t="n"/>
      <c r="L42" s="7" t="n"/>
      <c r="M42" s="62" t="n"/>
      <c r="N42" s="7" t="n"/>
      <c r="O42" s="9" t="n"/>
    </row>
    <row r="43" ht="15.75" customHeight="1" s="148">
      <c r="A43" s="11" t="n"/>
      <c r="B43" s="7" t="n"/>
      <c r="C43" s="52">
        <f>IF(B43="","",B43/$AA$1)</f>
        <v/>
      </c>
      <c r="D43" s="7" t="n"/>
      <c r="E43" s="62" t="n"/>
      <c r="F43" s="7" t="n"/>
      <c r="G43" s="7" t="n"/>
      <c r="H43" s="7" t="n"/>
      <c r="I43" s="62" t="n"/>
      <c r="J43" s="79" t="n"/>
      <c r="K43" s="7" t="n"/>
      <c r="L43" s="7" t="n"/>
      <c r="M43" s="62" t="n"/>
      <c r="N43" s="7" t="n"/>
      <c r="O43" s="9" t="n"/>
    </row>
    <row r="44" ht="15.75" customHeight="1" s="148">
      <c r="A44" s="11" t="n"/>
      <c r="B44" s="7" t="n"/>
      <c r="C44" s="52">
        <f>IF(B44="","",B44/$AA$1)</f>
        <v/>
      </c>
      <c r="D44" s="7" t="n"/>
      <c r="E44" s="62" t="n"/>
      <c r="F44" s="7" t="n"/>
      <c r="G44" s="7" t="n"/>
      <c r="H44" s="7" t="n"/>
      <c r="I44" s="62" t="n"/>
      <c r="J44" s="79" t="n"/>
      <c r="K44" s="7" t="n"/>
      <c r="L44" s="7" t="n"/>
      <c r="M44" s="62" t="n"/>
      <c r="N44" s="7" t="n"/>
      <c r="O44" s="9" t="n"/>
    </row>
    <row r="45" ht="15.75" customHeight="1" s="148">
      <c r="A45" s="11" t="n"/>
      <c r="B45" s="7" t="n"/>
      <c r="C45" s="52">
        <f>IF(B45="","",B45/$AA$1)</f>
        <v/>
      </c>
      <c r="D45" s="7" t="n"/>
      <c r="E45" s="62" t="n"/>
      <c r="F45" s="7" t="n"/>
      <c r="G45" s="7" t="n"/>
      <c r="H45" s="7" t="n"/>
      <c r="I45" s="62" t="n"/>
      <c r="J45" s="79" t="n"/>
      <c r="K45" s="7" t="n"/>
      <c r="L45" s="7" t="n"/>
      <c r="M45" s="62" t="n"/>
      <c r="N45" s="7" t="n"/>
      <c r="O45" s="9" t="n"/>
    </row>
    <row r="46" ht="15.75" customHeight="1" s="148">
      <c r="A46" s="11" t="n"/>
      <c r="B46" s="7" t="n"/>
      <c r="C46" s="52">
        <f>IF(B46="","",B46/$AA$1)</f>
        <v/>
      </c>
      <c r="D46" s="7" t="n"/>
      <c r="E46" s="62" t="n"/>
      <c r="F46" s="7" t="n"/>
      <c r="G46" s="7" t="n"/>
      <c r="H46" s="7" t="n"/>
      <c r="I46" s="62" t="n"/>
      <c r="J46" s="79" t="n"/>
      <c r="K46" s="7" t="n"/>
      <c r="L46" s="7" t="n"/>
      <c r="M46" s="62" t="n"/>
      <c r="N46" s="7" t="n"/>
      <c r="O46" s="9" t="n"/>
    </row>
    <row r="47" ht="15.75" customHeight="1" s="148">
      <c r="A47" s="11" t="n"/>
      <c r="B47" s="7" t="n"/>
      <c r="C47" s="52">
        <f>IF(B47="","",B47/$AA$1)</f>
        <v/>
      </c>
      <c r="D47" s="7" t="n"/>
      <c r="E47" s="62" t="n"/>
      <c r="F47" s="7" t="n"/>
      <c r="G47" s="7" t="n"/>
      <c r="H47" s="7" t="n"/>
      <c r="I47" s="62" t="n"/>
      <c r="J47" s="79" t="n"/>
      <c r="K47" s="7" t="n"/>
      <c r="L47" s="7" t="n"/>
      <c r="M47" s="62" t="n"/>
      <c r="N47" s="7" t="n"/>
      <c r="O47" s="9" t="n"/>
    </row>
    <row r="48" ht="15.75" customHeight="1" s="148">
      <c r="A48" s="11" t="n"/>
      <c r="B48" s="7" t="n"/>
      <c r="C48" s="52">
        <f>IF(B48="","",B48/$AA$1)</f>
        <v/>
      </c>
      <c r="D48" s="7" t="n"/>
      <c r="E48" s="62" t="n"/>
      <c r="F48" s="7" t="n"/>
      <c r="G48" s="7" t="n"/>
      <c r="H48" s="7" t="n"/>
      <c r="I48" s="62" t="n"/>
      <c r="J48" s="79" t="n"/>
      <c r="K48" s="7" t="n"/>
      <c r="L48" s="7" t="n"/>
      <c r="M48" s="62" t="n"/>
      <c r="N48" s="7" t="n"/>
      <c r="O48" s="9" t="n"/>
    </row>
    <row r="49" ht="15.75" customHeight="1" s="148">
      <c r="A49" s="11" t="n"/>
      <c r="B49" s="7" t="n"/>
      <c r="C49" s="52">
        <f>IF(B49="","",B49/$AA$1)</f>
        <v/>
      </c>
      <c r="D49" s="7" t="n"/>
      <c r="E49" s="62" t="n"/>
      <c r="F49" s="7" t="n"/>
      <c r="G49" s="7" t="n"/>
      <c r="H49" s="7" t="n"/>
      <c r="I49" s="62" t="n"/>
      <c r="J49" s="79" t="n"/>
      <c r="K49" s="7" t="n"/>
      <c r="L49" s="7" t="n"/>
      <c r="M49" s="62" t="n"/>
      <c r="N49" s="7" t="n"/>
      <c r="O49" s="9" t="n"/>
    </row>
    <row r="50" ht="15.75" customHeight="1" s="148">
      <c r="A50" s="11" t="n"/>
      <c r="B50" s="7" t="n"/>
      <c r="C50" s="52">
        <f>IF(B50="","",B50/$AA$1)</f>
        <v/>
      </c>
      <c r="D50" s="7" t="n"/>
      <c r="E50" s="62" t="n"/>
      <c r="F50" s="7" t="n"/>
      <c r="G50" s="7" t="n"/>
      <c r="H50" s="7" t="n"/>
      <c r="I50" s="62" t="n"/>
      <c r="J50" s="79" t="n"/>
      <c r="K50" s="7" t="n"/>
      <c r="L50" s="7" t="n"/>
      <c r="M50" s="62" t="n"/>
      <c r="N50" s="7" t="n"/>
      <c r="O50" s="9" t="n"/>
    </row>
    <row r="51" ht="15.75" customHeight="1" s="148">
      <c r="A51" s="11" t="n"/>
      <c r="B51" s="7" t="n"/>
      <c r="C51" s="52">
        <f>IF(B51="","",B51/$AA$1)</f>
        <v/>
      </c>
      <c r="D51" s="7" t="n"/>
      <c r="E51" s="62" t="n"/>
      <c r="F51" s="7" t="n"/>
      <c r="G51" s="7" t="n"/>
      <c r="H51" s="7" t="n"/>
      <c r="I51" s="62" t="n"/>
      <c r="J51" s="79" t="n"/>
      <c r="K51" s="7" t="n"/>
      <c r="L51" s="7" t="n"/>
      <c r="M51" s="62" t="n"/>
      <c r="N51" s="7" t="n"/>
      <c r="O51" s="9" t="n"/>
    </row>
    <row r="52" ht="15.75" customHeight="1" s="148">
      <c r="A52" s="11" t="n"/>
      <c r="B52" s="7" t="n"/>
      <c r="C52" s="52">
        <f>IF(B52="","",B52/$AA$1)</f>
        <v/>
      </c>
      <c r="D52" s="7" t="n"/>
      <c r="E52" s="62" t="n"/>
      <c r="F52" s="7" t="n"/>
      <c r="G52" s="7" t="n"/>
      <c r="H52" s="7" t="n"/>
      <c r="I52" s="62" t="n"/>
      <c r="J52" s="79" t="n"/>
      <c r="K52" s="7" t="n"/>
      <c r="L52" s="7" t="n"/>
      <c r="M52" s="62" t="n"/>
      <c r="N52" s="7" t="n"/>
      <c r="O52" s="9" t="n"/>
    </row>
    <row r="53" ht="15.75" customHeight="1" s="148">
      <c r="A53" s="11" t="n"/>
      <c r="B53" s="7" t="n"/>
      <c r="C53" s="52">
        <f>IF(B53="","",B53/$AA$1)</f>
        <v/>
      </c>
      <c r="D53" s="7" t="n"/>
      <c r="E53" s="62" t="n"/>
      <c r="F53" s="7" t="n"/>
      <c r="G53" s="7" t="n"/>
      <c r="H53" s="7" t="n"/>
      <c r="I53" s="62" t="n"/>
      <c r="J53" s="79" t="n"/>
      <c r="K53" s="7" t="n"/>
      <c r="L53" s="7" t="n"/>
      <c r="M53" s="62" t="n"/>
      <c r="N53" s="7" t="n"/>
      <c r="O53" s="9" t="n"/>
    </row>
    <row r="54" ht="15.75" customHeight="1" s="148">
      <c r="A54" s="11" t="n"/>
      <c r="B54" s="7" t="n"/>
      <c r="C54" s="52">
        <f>IF(B54="","",B54/$AA$1)</f>
        <v/>
      </c>
      <c r="D54" s="7" t="n"/>
      <c r="E54" s="62" t="n"/>
      <c r="F54" s="7" t="n"/>
      <c r="G54" s="7" t="n"/>
      <c r="H54" s="7" t="n"/>
      <c r="I54" s="62" t="n"/>
      <c r="J54" s="79" t="n"/>
      <c r="K54" s="7" t="n"/>
      <c r="L54" s="7" t="n"/>
      <c r="M54" s="62" t="n"/>
      <c r="N54" s="7" t="n"/>
      <c r="O54" s="9" t="n"/>
    </row>
    <row r="55" ht="15.75" customHeight="1" s="148">
      <c r="A55" s="11" t="n"/>
      <c r="B55" s="7" t="n"/>
      <c r="C55" s="52">
        <f>IF(B55="","",B55/$AA$1)</f>
        <v/>
      </c>
      <c r="D55" s="7" t="n"/>
      <c r="E55" s="62" t="n"/>
      <c r="F55" s="7" t="n"/>
      <c r="G55" s="7" t="n"/>
      <c r="H55" s="7" t="n"/>
      <c r="I55" s="62" t="n"/>
      <c r="J55" s="79" t="n"/>
      <c r="K55" s="7" t="n"/>
      <c r="L55" s="7" t="n"/>
      <c r="M55" s="62" t="n"/>
      <c r="N55" s="7" t="n"/>
      <c r="O55" s="9" t="n"/>
    </row>
    <row r="56" ht="15.75" customHeight="1" s="148">
      <c r="A56" s="80" t="inlineStr">
        <is>
          <t>Project Name Average:</t>
        </is>
      </c>
      <c r="B56" s="74" t="n"/>
      <c r="C56" s="74" t="n"/>
      <c r="D56" s="221">
        <f>IFERROR(AVERAGEIF(D36:D55,"&gt;0"),"")</f>
        <v/>
      </c>
      <c r="E56" s="74" t="n"/>
      <c r="F56" s="74" t="n"/>
      <c r="G56" s="76">
        <f>IFERROR(EDATE(AVERAGE(G36:G55),-1),"")</f>
        <v/>
      </c>
      <c r="H56" s="76">
        <f>IFERROR(EDATE(AVERAGE(H36:H55),-1),"")</f>
        <v/>
      </c>
      <c r="I56" s="74" t="n"/>
      <c r="J56" s="74" t="n"/>
      <c r="K56" s="74" t="n"/>
      <c r="L56" s="74" t="n"/>
      <c r="M56" s="74" t="n"/>
      <c r="N56" s="74" t="n"/>
      <c r="O56" s="78" t="n"/>
    </row>
    <row r="60" ht="15" customHeight="1" s="148">
      <c r="Z60" t="n">
        <v>0</v>
      </c>
    </row>
  </sheetData>
  <mergeCells count="2">
    <mergeCell ref="A33:O33"/>
    <mergeCell ref="A6:O6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selection activeCell="C9" sqref="C9"/>
    </sheetView>
  </sheetViews>
  <sheetFormatPr baseColWidth="10" defaultColWidth="8.6640625" defaultRowHeight="13"/>
  <cols>
    <col width="36" customWidth="1" style="148" min="1" max="1"/>
    <col width="18" customWidth="1" style="148" min="2" max="2"/>
    <col width="16" customWidth="1" style="148" min="3" max="3"/>
    <col width="12" customWidth="1" style="148" min="4" max="5"/>
    <col width="28" customWidth="1" style="148" min="6" max="6"/>
    <col width="16" customWidth="1" style="148" min="7" max="7"/>
    <col width="12" customWidth="1" style="148" min="8" max="9"/>
    <col width="2" customWidth="1" style="148" min="10" max="10"/>
  </cols>
  <sheetData>
    <row r="1" ht="15" customHeight="1" s="148">
      <c r="A1" s="81" t="inlineStr">
        <is>
          <t>Project Name</t>
        </is>
      </c>
    </row>
    <row r="2" ht="15" customHeight="1" s="148">
      <c r="A2" s="81" t="inlineStr">
        <is>
          <t>City, State</t>
        </is>
      </c>
    </row>
    <row r="4" ht="15" customHeight="1" s="148">
      <c r="A4" s="81" t="inlineStr">
        <is>
          <t>Renovation Budget</t>
        </is>
      </c>
    </row>
    <row r="6" ht="21.75" customHeight="1" s="148">
      <c r="A6" s="185" t="inlineStr">
        <is>
          <t>Renovation Budget - Project Name - City, State</t>
        </is>
      </c>
      <c r="B6" s="153" t="n"/>
      <c r="C6" s="153" t="n"/>
      <c r="D6" s="153" t="n"/>
      <c r="E6" s="153" t="n"/>
      <c r="F6" s="153" t="n"/>
      <c r="G6" s="153" t="n"/>
      <c r="H6" s="153" t="n"/>
      <c r="I6" s="150" t="n"/>
    </row>
    <row r="7" ht="18" customHeight="1" s="148">
      <c r="A7" s="185" t="inlineStr">
        <is>
          <t>Hard Costs</t>
        </is>
      </c>
      <c r="B7" s="153" t="n"/>
      <c r="C7" s="153" t="n"/>
      <c r="D7" s="153" t="n"/>
      <c r="E7" s="153" t="n"/>
      <c r="F7" s="153" t="n"/>
      <c r="G7" s="153" t="n"/>
      <c r="H7" s="153" t="n"/>
      <c r="I7" s="150" t="n"/>
    </row>
    <row r="8" ht="36" customHeight="1" s="148">
      <c r="A8" s="82" t="inlineStr">
        <is>
          <t>Category</t>
        </is>
      </c>
      <c r="B8" s="82" t="inlineStr">
        <is>
          <t>Cost Basis</t>
        </is>
      </c>
      <c r="C8" s="82" t="inlineStr">
        <is>
          <t>Total Cost</t>
        </is>
      </c>
      <c r="D8" s="82" t="inlineStr">
        <is>
          <t>$/ nsf</t>
        </is>
      </c>
      <c r="E8" s="82" t="inlineStr">
        <is>
          <t>$/ gsf</t>
        </is>
      </c>
      <c r="F8" s="82" t="inlineStr">
        <is>
          <t>Start Date</t>
        </is>
      </c>
      <c r="G8" s="82" t="inlineStr">
        <is>
          <t>Duration</t>
        </is>
      </c>
      <c r="H8" s="82" t="inlineStr">
        <is>
          <t>End Date</t>
        </is>
      </c>
      <c r="I8" s="82" t="inlineStr">
        <is>
          <t>Duration (mo)</t>
        </is>
      </c>
    </row>
    <row r="9" ht="15" customHeight="1" s="148">
      <c r="A9" s="197" t="inlineStr">
        <is>
          <t>Shell Industrial</t>
        </is>
      </c>
      <c r="B9" s="172" t="inlineStr">
        <is>
          <t>Fixed Amount</t>
        </is>
      </c>
      <c r="C9" s="84" t="n">
        <v>0</v>
      </c>
      <c r="D9" s="223">
        <f>IFERROR(C9/Assumptions!$F$13,0)</f>
        <v/>
      </c>
      <c r="E9" s="223">
        <f>IFERROR(C9/Assumptions!$F$12,0)</f>
        <v/>
      </c>
      <c r="F9" s="224">
        <f>Assumptions!$F$11</f>
        <v/>
      </c>
      <c r="G9" s="87" t="n">
        <v>4</v>
      </c>
      <c r="H9" s="225">
        <f>EOMONTH(EDATE(F9,G9-1),0)</f>
        <v/>
      </c>
      <c r="I9" s="89">
        <f>G9</f>
        <v/>
      </c>
    </row>
    <row r="10" ht="15" customHeight="1" s="148">
      <c r="A10" s="197" t="inlineStr">
        <is>
          <t>Sitework</t>
        </is>
      </c>
      <c r="B10" s="172" t="inlineStr">
        <is>
          <t>Fixed Amount</t>
        </is>
      </c>
      <c r="C10" s="84" t="n">
        <v>0</v>
      </c>
      <c r="D10" s="223">
        <f>IFERROR(C10/Assumptions!$F$13,0)</f>
        <v/>
      </c>
      <c r="E10" s="223">
        <f>IFERROR(C10/Assumptions!$F$12,0)</f>
        <v/>
      </c>
      <c r="F10" s="224">
        <f>Assumptions!$F$11</f>
        <v/>
      </c>
      <c r="G10" s="87" t="n">
        <v>12</v>
      </c>
      <c r="H10" s="225">
        <f>EOMONTH(EDATE(F10,G10-1),0)</f>
        <v/>
      </c>
      <c r="I10" s="89">
        <f>G10</f>
        <v/>
      </c>
    </row>
    <row r="11" ht="15" customHeight="1" s="148">
      <c r="A11" s="197" t="inlineStr">
        <is>
          <t>Landscape (Ground Level)</t>
        </is>
      </c>
      <c r="B11" s="172" t="inlineStr">
        <is>
          <t>Fixed Amount</t>
        </is>
      </c>
      <c r="C11" s="84" t="n">
        <v>0</v>
      </c>
      <c r="D11" s="223">
        <f>IFERROR(C11/Assumptions!$F$13,0)</f>
        <v/>
      </c>
      <c r="E11" s="223">
        <f>IFERROR(C11/Assumptions!$F$12,0)</f>
        <v/>
      </c>
      <c r="F11" s="224">
        <f>Assumptions!$F$11</f>
        <v/>
      </c>
      <c r="G11" s="87" t="n">
        <v>12</v>
      </c>
      <c r="H11" s="225">
        <f>EOMONTH(EDATE(F11,G11-1),0)</f>
        <v/>
      </c>
      <c r="I11" s="89">
        <f>G11</f>
        <v/>
      </c>
    </row>
    <row r="12" ht="15" customHeight="1" s="148">
      <c r="A12" s="197" t="inlineStr">
        <is>
          <t>Landscape (Amenity + Penthouse)</t>
        </is>
      </c>
      <c r="B12" s="172" t="inlineStr">
        <is>
          <t>Fixed Amount</t>
        </is>
      </c>
      <c r="C12" s="84" t="n">
        <v>0</v>
      </c>
      <c r="D12" s="223">
        <f>IFERROR(C12/Assumptions!$F$13,0)</f>
        <v/>
      </c>
      <c r="E12" s="223">
        <f>IFERROR(C12/Assumptions!$F$12,0)</f>
        <v/>
      </c>
      <c r="F12" s="224">
        <f>Assumptions!$F$11</f>
        <v/>
      </c>
      <c r="G12" s="87" t="n">
        <v>12</v>
      </c>
      <c r="H12" s="225">
        <f>EOMONTH(EDATE(F12,G12-1),0)</f>
        <v/>
      </c>
      <c r="I12" s="89">
        <f>G12</f>
        <v/>
      </c>
    </row>
    <row r="13" ht="15" customHeight="1" s="148">
      <c r="A13" s="197" t="inlineStr">
        <is>
          <t>Improvements</t>
        </is>
      </c>
      <c r="B13" s="172" t="inlineStr">
        <is>
          <t>Fixed Amount</t>
        </is>
      </c>
      <c r="C13" s="84" t="n">
        <v>0</v>
      </c>
      <c r="D13" s="223">
        <f>IFERROR(C13/Assumptions!$F$13,0)</f>
        <v/>
      </c>
      <c r="E13" s="223">
        <f>IFERROR(C13/Assumptions!$F$12,0)</f>
        <v/>
      </c>
      <c r="F13" s="224">
        <f>Assumptions!$F$11</f>
        <v/>
      </c>
      <c r="G13" s="87" t="n">
        <v>12</v>
      </c>
      <c r="H13" s="225">
        <f>EOMONTH(EDATE(F13,G13-1),0)</f>
        <v/>
      </c>
      <c r="I13" s="89">
        <f>G13</f>
        <v/>
      </c>
    </row>
    <row r="14" ht="15" customHeight="1" s="148">
      <c r="A14" s="197" t="inlineStr">
        <is>
          <t>Garage - Above Grade</t>
        </is>
      </c>
      <c r="B14" s="172" t="inlineStr">
        <is>
          <t>Fixed Amount</t>
        </is>
      </c>
      <c r="C14" s="84" t="n">
        <v>0</v>
      </c>
      <c r="D14" s="223">
        <f>IFERROR(C14/Assumptions!$F$13,0)</f>
        <v/>
      </c>
      <c r="E14" s="223">
        <f>IFERROR(C14/Assumptions!$F$12,0)</f>
        <v/>
      </c>
      <c r="F14" s="224">
        <f>Assumptions!$F$11</f>
        <v/>
      </c>
      <c r="G14" s="87" t="n">
        <v>12</v>
      </c>
      <c r="H14" s="225">
        <f>EOMONTH(EDATE(F14,G14-1),0)</f>
        <v/>
      </c>
      <c r="I14" s="89">
        <f>G14</f>
        <v/>
      </c>
    </row>
    <row r="15" ht="15" customHeight="1" s="148">
      <c r="A15" s="197" t="inlineStr">
        <is>
          <t>Thermal and Moisture Protection</t>
        </is>
      </c>
      <c r="B15" s="172" t="inlineStr">
        <is>
          <t>Fixed Amount</t>
        </is>
      </c>
      <c r="C15" s="84" t="n">
        <v>0</v>
      </c>
      <c r="D15" s="223">
        <f>IFERROR(C15/Assumptions!$F$13,0)</f>
        <v/>
      </c>
      <c r="E15" s="223">
        <f>IFERROR(C15/Assumptions!$F$12,0)</f>
        <v/>
      </c>
      <c r="F15" s="224">
        <f>Assumptions!$F$11</f>
        <v/>
      </c>
      <c r="G15" s="87" t="n">
        <v>12</v>
      </c>
      <c r="H15" s="225">
        <f>EOMONTH(EDATE(F15,G15-1),0)</f>
        <v/>
      </c>
      <c r="I15" s="89">
        <f>G15</f>
        <v/>
      </c>
    </row>
    <row r="16" ht="15" customHeight="1" s="148">
      <c r="A16" s="197" t="inlineStr">
        <is>
          <t>Doors and Windows</t>
        </is>
      </c>
      <c r="B16" s="172" t="inlineStr">
        <is>
          <t>Fixed Amount</t>
        </is>
      </c>
      <c r="C16" s="84" t="n">
        <v>0</v>
      </c>
      <c r="D16" s="223">
        <f>IFERROR(C16/Assumptions!$F$13,0)</f>
        <v/>
      </c>
      <c r="E16" s="223">
        <f>IFERROR(C16/Assumptions!$F$12,0)</f>
        <v/>
      </c>
      <c r="F16" s="224">
        <f>Assumptions!$F$11</f>
        <v/>
      </c>
      <c r="G16" s="87" t="n">
        <v>12</v>
      </c>
      <c r="H16" s="225">
        <f>EOMONTH(EDATE(F16,G16-1),0)</f>
        <v/>
      </c>
      <c r="I16" s="89">
        <f>G16</f>
        <v/>
      </c>
    </row>
    <row r="17" ht="15" customHeight="1" s="148">
      <c r="A17" s="197" t="inlineStr">
        <is>
          <t>Finishes</t>
        </is>
      </c>
      <c r="B17" s="172" t="inlineStr">
        <is>
          <t>Fixed Amount</t>
        </is>
      </c>
      <c r="C17" s="84" t="n">
        <v>0</v>
      </c>
      <c r="D17" s="223">
        <f>IFERROR(C17/Assumptions!$F$13,0)</f>
        <v/>
      </c>
      <c r="E17" s="223">
        <f>IFERROR(C17/Assumptions!$F$12,0)</f>
        <v/>
      </c>
      <c r="F17" s="224">
        <f>Assumptions!$F$11</f>
        <v/>
      </c>
      <c r="G17" s="87" t="n">
        <v>12</v>
      </c>
      <c r="H17" s="225">
        <f>EOMONTH(EDATE(F17,G17-1),0)</f>
        <v/>
      </c>
      <c r="I17" s="89">
        <f>G17</f>
        <v/>
      </c>
    </row>
    <row r="18" ht="15" customHeight="1" s="148">
      <c r="A18" s="197" t="inlineStr">
        <is>
          <t>Special Ties</t>
        </is>
      </c>
      <c r="B18" s="172" t="inlineStr">
        <is>
          <t>Fixed Amount</t>
        </is>
      </c>
      <c r="C18" s="84" t="n">
        <v>0</v>
      </c>
      <c r="D18" s="223">
        <f>IFERROR(C18/Assumptions!$F$13,0)</f>
        <v/>
      </c>
      <c r="E18" s="223">
        <f>IFERROR(C18/Assumptions!$F$12,0)</f>
        <v/>
      </c>
      <c r="F18" s="224">
        <f>Assumptions!$F$11</f>
        <v/>
      </c>
      <c r="G18" s="87" t="n">
        <v>12</v>
      </c>
      <c r="H18" s="225">
        <f>EOMONTH(EDATE(F18,G18-1),0)</f>
        <v/>
      </c>
      <c r="I18" s="89">
        <f>G18</f>
        <v/>
      </c>
    </row>
    <row r="19" ht="15" customHeight="1" s="148">
      <c r="A19" s="197" t="inlineStr">
        <is>
          <t>Equipment</t>
        </is>
      </c>
      <c r="B19" s="172" t="inlineStr">
        <is>
          <t>Fixed Amount</t>
        </is>
      </c>
      <c r="C19" s="84" t="n">
        <v>0</v>
      </c>
      <c r="D19" s="223">
        <f>IFERROR(C19/Assumptions!$F$13,0)</f>
        <v/>
      </c>
      <c r="E19" s="223">
        <f>IFERROR(C19/Assumptions!$F$12,0)</f>
        <v/>
      </c>
      <c r="F19" s="224">
        <f>Assumptions!$F$11</f>
        <v/>
      </c>
      <c r="G19" s="87" t="n">
        <v>12</v>
      </c>
      <c r="H19" s="225">
        <f>EOMONTH(EDATE(F19,G19-1),0)</f>
        <v/>
      </c>
      <c r="I19" s="89">
        <f>G19</f>
        <v/>
      </c>
    </row>
    <row r="20" ht="15" customHeight="1" s="148">
      <c r="A20" s="197" t="inlineStr">
        <is>
          <t>Furnishings</t>
        </is>
      </c>
      <c r="B20" s="172" t="inlineStr">
        <is>
          <t>Fixed Amount</t>
        </is>
      </c>
      <c r="C20" s="84" t="n">
        <v>0</v>
      </c>
      <c r="D20" s="223">
        <f>IFERROR(C20/Assumptions!$F$13,0)</f>
        <v/>
      </c>
      <c r="E20" s="223">
        <f>IFERROR(C20/Assumptions!$F$12,0)</f>
        <v/>
      </c>
      <c r="F20" s="224">
        <f>Assumptions!$F$11</f>
        <v/>
      </c>
      <c r="G20" s="87" t="n">
        <v>12</v>
      </c>
      <c r="H20" s="225">
        <f>EOMONTH(EDATE(F20,G20-1),0)</f>
        <v/>
      </c>
      <c r="I20" s="89">
        <f>G20</f>
        <v/>
      </c>
    </row>
    <row r="21" ht="15" customHeight="1" s="148">
      <c r="A21" s="197" t="inlineStr">
        <is>
          <t>Hard Cost Contingency</t>
        </is>
      </c>
      <c r="B21" s="172" t="inlineStr">
        <is>
          <t>% of Hard Costs</t>
        </is>
      </c>
      <c r="C21" s="90">
        <f>ROUND(D21*(SUM($C$9:$C$20)+$C$22),0)</f>
        <v/>
      </c>
      <c r="D21" s="91" t="n">
        <v>0</v>
      </c>
      <c r="E21" s="223">
        <f>IFERROR(C21/Assumptions!$F$12,0)</f>
        <v/>
      </c>
      <c r="F21" s="224">
        <f>Assumptions!$F$11</f>
        <v/>
      </c>
      <c r="G21" s="87" t="n">
        <v>12</v>
      </c>
      <c r="H21" s="225">
        <f>EOMONTH(EDATE(F21,G21-1),0)</f>
        <v/>
      </c>
      <c r="I21" s="89">
        <f>G21</f>
        <v/>
      </c>
    </row>
    <row r="22" ht="15" customHeight="1" s="148">
      <c r="A22" s="197" t="inlineStr">
        <is>
          <t>Preliminary Renovation Costs</t>
        </is>
      </c>
      <c r="B22" s="172" t="inlineStr">
        <is>
          <t>$/NSF</t>
        </is>
      </c>
      <c r="C22" s="90">
        <f>ROUND(D22*Assumptions!$F$13,0)</f>
        <v/>
      </c>
      <c r="D22" s="226" t="n">
        <v>30</v>
      </c>
      <c r="E22" s="223">
        <f>IFERROR(C22/Assumptions!$F$12,0)</f>
        <v/>
      </c>
      <c r="F22" s="224">
        <f>Assumptions!$F$11</f>
        <v/>
      </c>
      <c r="G22" s="87" t="n">
        <v>12</v>
      </c>
      <c r="H22" s="225">
        <f>EOMONTH(EDATE(F22,G22-1),0)</f>
        <v/>
      </c>
      <c r="I22" s="89">
        <f>G22</f>
        <v/>
      </c>
    </row>
    <row r="23" ht="15" customHeight="1" s="148">
      <c r="A23" s="93" t="inlineStr">
        <is>
          <t>Subtotal- Hard Costs</t>
        </is>
      </c>
      <c r="B23" s="94" t="n"/>
      <c r="C23" s="95">
        <f>SUM($C$9:$C$22)</f>
        <v/>
      </c>
      <c r="D23" s="227">
        <f>IFERROR(C23/Assumptions!$F$13,0)</f>
        <v/>
      </c>
      <c r="E23" s="227">
        <f>IFERROR(C23/Assumptions!$F$12,0)</f>
        <v/>
      </c>
      <c r="F23" s="94" t="n"/>
      <c r="G23" s="94" t="n"/>
      <c r="H23" s="94" t="n"/>
      <c r="I23" s="94" t="n"/>
    </row>
    <row r="25" ht="18" customHeight="1" s="148">
      <c r="A25" s="185" t="inlineStr">
        <is>
          <t>Soft Costs</t>
        </is>
      </c>
      <c r="B25" s="153" t="n"/>
      <c r="C25" s="153" t="n"/>
      <c r="D25" s="153" t="n"/>
      <c r="E25" s="153" t="n"/>
      <c r="F25" s="153" t="n"/>
      <c r="G25" s="153" t="n"/>
      <c r="H25" s="153" t="n"/>
      <c r="I25" s="150" t="n"/>
    </row>
    <row r="26" ht="36" customHeight="1" s="148">
      <c r="A26" s="82" t="inlineStr">
        <is>
          <t>Category</t>
        </is>
      </c>
      <c r="B26" s="82" t="inlineStr">
        <is>
          <t>Cost Basis</t>
        </is>
      </c>
      <c r="C26" s="82" t="inlineStr">
        <is>
          <t>Total Cost</t>
        </is>
      </c>
      <c r="D26" s="82" t="inlineStr">
        <is>
          <t>$/ nsf</t>
        </is>
      </c>
      <c r="E26" s="82" t="inlineStr">
        <is>
          <t>$/ gsf</t>
        </is>
      </c>
      <c r="F26" s="82" t="inlineStr">
        <is>
          <t>Start Date</t>
        </is>
      </c>
      <c r="G26" s="82" t="inlineStr">
        <is>
          <t>Duration</t>
        </is>
      </c>
      <c r="H26" s="82" t="inlineStr">
        <is>
          <t>End Date</t>
        </is>
      </c>
      <c r="I26" s="82" t="inlineStr">
        <is>
          <t>Duration (mo)</t>
        </is>
      </c>
    </row>
    <row r="27" ht="15" customHeight="1" s="148">
      <c r="A27" s="197" t="inlineStr">
        <is>
          <t>Acquisition Management Fee</t>
        </is>
      </c>
      <c r="B27" s="172" t="inlineStr">
        <is>
          <t>Fixed Amount</t>
        </is>
      </c>
      <c r="C27" s="84" t="n">
        <v>100000</v>
      </c>
      <c r="D27" s="223">
        <f>IFERROR(C27/Assumptions!$F$13,0)</f>
        <v/>
      </c>
      <c r="E27" s="223">
        <f>IFERROR(C27/Assumptions!$F$12,0)</f>
        <v/>
      </c>
      <c r="F27" s="224">
        <f>Assumptions!$F$11</f>
        <v/>
      </c>
      <c r="G27" s="87" t="n">
        <v>12</v>
      </c>
      <c r="H27" s="225">
        <f>EOMONTH(EDATE(F27,G27-1),0)</f>
        <v/>
      </c>
      <c r="I27" s="89">
        <f>G27</f>
        <v/>
      </c>
    </row>
    <row r="28" ht="15" customHeight="1" s="148">
      <c r="A28" s="197" t="inlineStr">
        <is>
          <t>Bury Power Lines (Austin Energy)</t>
        </is>
      </c>
      <c r="B28" s="172" t="inlineStr">
        <is>
          <t>Fixed Amount</t>
        </is>
      </c>
      <c r="C28" s="84" t="n">
        <v>100000</v>
      </c>
      <c r="D28" s="223">
        <f>IFERROR(C28/Assumptions!$F$13,0)</f>
        <v/>
      </c>
      <c r="E28" s="223">
        <f>IFERROR(C28/Assumptions!$F$12,0)</f>
        <v/>
      </c>
      <c r="F28" s="224">
        <f>Assumptions!$F$11</f>
        <v/>
      </c>
      <c r="G28" s="87" t="n">
        <v>12</v>
      </c>
      <c r="H28" s="225">
        <f>EOMONTH(EDATE(F28,G28-1),0)</f>
        <v/>
      </c>
      <c r="I28" s="89">
        <f>G28</f>
        <v/>
      </c>
    </row>
    <row r="29" ht="15" customHeight="1" s="148">
      <c r="A29" s="197" t="inlineStr">
        <is>
          <t>Soft Cost Contingency</t>
        </is>
      </c>
      <c r="B29" s="172" t="inlineStr">
        <is>
          <t>% of Soft Costs</t>
        </is>
      </c>
      <c r="C29" s="90">
        <f>ROUND(D29*(SUM($C$27:$C$28)+$C$30),0)</f>
        <v/>
      </c>
      <c r="D29" s="91" t="n">
        <v>0.03</v>
      </c>
      <c r="E29" s="223">
        <f>IFERROR(C29/Assumptions!$F$12,0)</f>
        <v/>
      </c>
      <c r="F29" s="224">
        <f>Assumptions!$F$11</f>
        <v/>
      </c>
      <c r="G29" s="87" t="n">
        <v>12</v>
      </c>
      <c r="H29" s="225">
        <f>EOMONTH(EDATE(F29,G29-1),0)</f>
        <v/>
      </c>
      <c r="I29" s="89">
        <f>G29</f>
        <v/>
      </c>
    </row>
    <row r="30" ht="15" customHeight="1" s="148">
      <c r="A30" s="197" t="inlineStr">
        <is>
          <t>Preliminary Soft Costs</t>
        </is>
      </c>
      <c r="B30" s="172" t="inlineStr">
        <is>
          <t>$/NSF</t>
        </is>
      </c>
      <c r="C30" s="90">
        <f>ROUND(D30*Assumptions!$F$13,0)</f>
        <v/>
      </c>
      <c r="D30" s="226" t="n">
        <v>20</v>
      </c>
      <c r="E30" s="223">
        <f>IFERROR(C30/Assumptions!$F$12,0)</f>
        <v/>
      </c>
      <c r="F30" s="224">
        <f>Assumptions!$F$11</f>
        <v/>
      </c>
      <c r="G30" s="87" t="n">
        <v>12</v>
      </c>
      <c r="H30" s="225">
        <f>EOMONTH(EDATE(F30,G30-1),0)</f>
        <v/>
      </c>
      <c r="I30" s="89">
        <f>G30</f>
        <v/>
      </c>
    </row>
    <row r="31" ht="15" customHeight="1" s="148">
      <c r="A31" s="197" t="inlineStr">
        <is>
          <t>Operating Deficit</t>
        </is>
      </c>
      <c r="B31" s="172" t="inlineStr">
        <is>
          <t>In Use</t>
        </is>
      </c>
      <c r="C31" s="84" t="n">
        <v>0</v>
      </c>
      <c r="D31" s="223">
        <f>IFERROR(C31/Assumptions!$F$13,0)</f>
        <v/>
      </c>
      <c r="E31" s="223">
        <f>IFERROR(C31/Assumptions!$F$12,0)</f>
        <v/>
      </c>
      <c r="F31" s="224">
        <f>Assumptions!$F$11</f>
        <v/>
      </c>
      <c r="G31" s="87" t="n">
        <v>1</v>
      </c>
      <c r="H31" s="225">
        <f>EOMONTH(EDATE(F31,G31-1),0)</f>
        <v/>
      </c>
      <c r="I31" s="89">
        <f>G31</f>
        <v/>
      </c>
    </row>
    <row r="32" ht="15" customHeight="1" s="148">
      <c r="A32" s="93" t="inlineStr">
        <is>
          <t>Subtotal- Soft Costs</t>
        </is>
      </c>
      <c r="B32" s="94" t="n"/>
      <c r="C32" s="95">
        <f>SUM($C$27:$C$31)</f>
        <v/>
      </c>
      <c r="D32" s="227">
        <f>IFERROR(C32/Assumptions!$F$13,0)</f>
        <v/>
      </c>
      <c r="E32" s="227">
        <f>IFERROR(C32/Assumptions!$F$12,0)</f>
        <v/>
      </c>
      <c r="F32" s="94" t="n"/>
      <c r="G32" s="94" t="n"/>
      <c r="H32" s="94" t="n"/>
      <c r="I32" s="94" t="n"/>
    </row>
    <row r="34" ht="15" customHeight="1" s="148">
      <c r="A34" s="93" t="inlineStr">
        <is>
          <t>Subtotal Renovation Costs</t>
        </is>
      </c>
      <c r="B34" s="94" t="n"/>
      <c r="C34" s="95">
        <f>C23+C32</f>
        <v/>
      </c>
      <c r="D34" s="227">
        <f>IFERROR(C34/Assumptions!$F$13,0)</f>
        <v/>
      </c>
      <c r="E34" s="94" t="n"/>
      <c r="F34" s="94" t="n"/>
      <c r="G34" s="94" t="n"/>
      <c r="H34" s="94" t="n"/>
      <c r="I34" s="94" t="n"/>
    </row>
    <row r="36" ht="18" customHeight="1" s="148">
      <c r="A36" s="185" t="inlineStr">
        <is>
          <t>LTV Debt Analysis</t>
        </is>
      </c>
      <c r="B36" s="153" t="n"/>
      <c r="C36" s="153" t="n"/>
      <c r="D36" s="150" t="n"/>
      <c r="F36" s="185" t="inlineStr">
        <is>
          <t>Loan &amp; Equity Amount Summary</t>
        </is>
      </c>
      <c r="G36" s="153" t="n"/>
      <c r="H36" s="153" t="n"/>
      <c r="I36" s="150" t="n"/>
    </row>
    <row r="37" ht="15" customHeight="1" s="148">
      <c r="A37" s="197" t="inlineStr">
        <is>
          <t>Acquisition Cost</t>
        </is>
      </c>
      <c r="B37" s="90">
        <f>Assumptions!$F$24</f>
        <v/>
      </c>
      <c r="C37" s="167" t="inlineStr">
        <is>
          <t>LTV - Acquisition</t>
        </is>
      </c>
      <c r="D37" s="97">
        <f>Assumptions!$AA$9</f>
        <v/>
      </c>
      <c r="F37" s="167" t="inlineStr">
        <is>
          <t>Loan Amount</t>
        </is>
      </c>
      <c r="G37" s="90">
        <f>Assumptions!$AA$16</f>
        <v/>
      </c>
      <c r="H37" s="94" t="n"/>
      <c r="I37" s="94" t="n"/>
    </row>
    <row r="38" ht="15" customHeight="1" s="148">
      <c r="A38" s="197" t="inlineStr">
        <is>
          <t>Financing Fee</t>
        </is>
      </c>
      <c r="B38" s="90">
        <f>Assumptions!$AA$21</f>
        <v/>
      </c>
      <c r="C38" s="167" t="inlineStr">
        <is>
          <t>LTV - Renovations</t>
        </is>
      </c>
      <c r="D38" s="97">
        <f>Assumptions!$AA$10</f>
        <v/>
      </c>
      <c r="F38" s="167" t="inlineStr">
        <is>
          <t>Equity Amount</t>
        </is>
      </c>
      <c r="G38" s="90">
        <f>B44-G37</f>
        <v/>
      </c>
      <c r="H38" s="94" t="n"/>
      <c r="I38" s="94" t="n"/>
    </row>
    <row r="39" ht="15" customHeight="1" s="148">
      <c r="A39" s="197" t="inlineStr">
        <is>
          <t>Total Renovation Budget</t>
        </is>
      </c>
      <c r="B39" s="98">
        <f>B37+B38+C34</f>
        <v/>
      </c>
      <c r="C39" s="167" t="inlineStr">
        <is>
          <t>LTV - TI/LC</t>
        </is>
      </c>
      <c r="D39" s="97">
        <f>Assumptions!$AA$11</f>
        <v/>
      </c>
      <c r="F39" s="167" t="inlineStr">
        <is>
          <t>Mezzanine Amount</t>
        </is>
      </c>
      <c r="G39" s="90">
        <f>B43</f>
        <v/>
      </c>
      <c r="H39" s="94" t="n"/>
      <c r="I39" s="94" t="n"/>
    </row>
    <row r="40" ht="15" customHeight="1" s="148">
      <c r="A40" s="197" t="inlineStr">
        <is>
          <t>Tenant Improvements during Acquisition Loan</t>
        </is>
      </c>
      <c r="B40" s="84" t="n">
        <v>1260000</v>
      </c>
      <c r="C40" s="167" t="inlineStr">
        <is>
          <t>LTV - CapEx</t>
        </is>
      </c>
      <c r="D40" s="97">
        <f>Assumptions!$AA$12</f>
        <v/>
      </c>
      <c r="F40" s="167" t="inlineStr">
        <is>
          <t>Total Cost</t>
        </is>
      </c>
      <c r="G40" s="90">
        <f>B44</f>
        <v/>
      </c>
      <c r="H40" s="94" t="n"/>
      <c r="I40" s="94" t="n"/>
    </row>
    <row r="41" ht="15" customHeight="1" s="148">
      <c r="A41" s="197" t="inlineStr">
        <is>
          <t>Leasing Commissions during Acquisition Loan</t>
        </is>
      </c>
      <c r="B41" s="84" t="n">
        <v>810987</v>
      </c>
      <c r="C41" s="99" t="n"/>
      <c r="D41" s="99" t="n"/>
      <c r="F41" s="167" t="inlineStr">
        <is>
          <t>Debt for Acquisition</t>
        </is>
      </c>
      <c r="G41" s="90">
        <f>Assumptions!$AA$13</f>
        <v/>
      </c>
      <c r="H41" s="94" t="n"/>
      <c r="I41" s="94" t="n"/>
    </row>
    <row r="42" ht="15" customHeight="1" s="148">
      <c r="A42" s="197" t="inlineStr">
        <is>
          <t>CapEx during Acquisition Loan</t>
        </is>
      </c>
      <c r="B42" s="84" t="n">
        <v>0</v>
      </c>
      <c r="C42" s="99" t="n"/>
      <c r="D42" s="99" t="n"/>
      <c r="F42" s="167" t="inlineStr">
        <is>
          <t>Debt for Renovations</t>
        </is>
      </c>
      <c r="G42" s="90">
        <f>Assumptions!$AA$14</f>
        <v/>
      </c>
      <c r="H42" s="94" t="n"/>
      <c r="I42" s="94" t="n"/>
    </row>
    <row r="43" ht="15" customHeight="1" s="148">
      <c r="A43" s="197" t="inlineStr">
        <is>
          <t>Mezzanine Amount</t>
        </is>
      </c>
      <c r="B43" s="84" t="n">
        <v>0</v>
      </c>
      <c r="C43" s="99" t="n"/>
      <c r="D43" s="99" t="n"/>
      <c r="F43" s="167" t="inlineStr">
        <is>
          <t>Debt for TI/LCs/Capex</t>
        </is>
      </c>
      <c r="G43" s="90">
        <f>Assumptions!$AA$15</f>
        <v/>
      </c>
      <c r="H43" s="94" t="n"/>
      <c r="I43" s="94" t="n"/>
    </row>
    <row r="44" ht="15" customHeight="1" s="148">
      <c r="A44" s="197" t="inlineStr">
        <is>
          <t>Total Cost</t>
        </is>
      </c>
      <c r="B44" s="98">
        <f>SUM(B39:B43)</f>
        <v/>
      </c>
      <c r="C44" s="99" t="n"/>
      <c r="D44" s="99" t="n"/>
      <c r="F44" s="167" t="inlineStr">
        <is>
          <t>Total Acquisition Loan</t>
        </is>
      </c>
      <c r="G44" s="90">
        <f>Assumptions!$AA$16</f>
        <v/>
      </c>
      <c r="H44" s="94" t="n"/>
      <c r="I44" s="94" t="n"/>
    </row>
    <row r="45" ht="15" customHeight="1" s="148">
      <c r="F45" s="167" t="inlineStr">
        <is>
          <t>Mezzanine</t>
        </is>
      </c>
      <c r="G45" s="90">
        <f>B43</f>
        <v/>
      </c>
      <c r="H45" s="94" t="n"/>
      <c r="I45" s="94" t="n"/>
    </row>
    <row r="46" ht="15" customHeight="1" s="148">
      <c r="F46" s="167" t="inlineStr">
        <is>
          <t>Equity</t>
        </is>
      </c>
      <c r="G46" s="90">
        <f>G38</f>
        <v/>
      </c>
      <c r="H46" s="94" t="n"/>
      <c r="I46" s="94" t="n"/>
    </row>
  </sheetData>
  <mergeCells count="5">
    <mergeCell ref="A7:I7"/>
    <mergeCell ref="A25:I25"/>
    <mergeCell ref="A6:I6"/>
    <mergeCell ref="A36:D36"/>
    <mergeCell ref="F36:I36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C195"/>
  <sheetViews>
    <sheetView showGridLines="0" workbookViewId="0">
      <selection activeCell="A1" sqref="A1"/>
    </sheetView>
  </sheetViews>
  <sheetFormatPr baseColWidth="10" defaultColWidth="8.6640625" defaultRowHeight="13"/>
  <cols>
    <col width="40" customWidth="1" style="148" min="1" max="1"/>
    <col width="2" customWidth="1" style="148" min="2" max="2"/>
    <col width="14" customWidth="1" style="148" min="3" max="3"/>
    <col width="12" customWidth="1" style="148" min="4" max="63"/>
    <col width="13" customWidth="1" style="148" min="64" max="124"/>
  </cols>
  <sheetData>
    <row r="1" ht="15" customHeight="1" s="148">
      <c r="A1" s="100" t="inlineStr">
        <is>
          <t>Project Name</t>
        </is>
      </c>
      <c r="B1" s="101">
        <f>Assumptions!$F$7</f>
        <v/>
      </c>
    </row>
    <row r="2" ht="15" customHeight="1" s="148">
      <c r="A2" s="100" t="inlineStr">
        <is>
          <t>City, State</t>
        </is>
      </c>
      <c r="B2" s="101">
        <f>Assumptions!$F$8</f>
        <v/>
      </c>
    </row>
    <row r="4" ht="15" customHeight="1" s="148">
      <c r="A4" s="100" t="inlineStr">
        <is>
          <t>Monthly CF</t>
        </is>
      </c>
    </row>
    <row r="6" ht="15" customHeight="1" s="148">
      <c r="A6" s="102" t="inlineStr">
        <is>
          <t>Circular Break</t>
        </is>
      </c>
      <c r="B6" s="94" t="n"/>
      <c r="C6" s="103" t="inlineStr">
        <is>
          <t>No</t>
        </is>
      </c>
    </row>
    <row r="7" ht="15" customHeight="1" s="148">
      <c r="B7" s="104" t="inlineStr">
        <is>
          <t>Investment Held?</t>
        </is>
      </c>
      <c r="C7" s="105" t="n"/>
      <c r="D7" s="106">
        <f>IF(D$11&lt;=Assumptions!$E$28,1,0)</f>
        <v/>
      </c>
      <c r="E7" s="106">
        <f>IF(E$11&lt;=Assumptions!$E$28,1,0)</f>
        <v/>
      </c>
      <c r="F7" s="106">
        <f>IF(F$11&lt;=Assumptions!$E$28,1,0)</f>
        <v/>
      </c>
      <c r="G7" s="106">
        <f>IF(G$11&lt;=Assumptions!$E$28,1,0)</f>
        <v/>
      </c>
      <c r="H7" s="106">
        <f>IF(H$11&lt;=Assumptions!$E$28,1,0)</f>
        <v/>
      </c>
      <c r="I7" s="106">
        <f>IF(I$11&lt;=Assumptions!$E$28,1,0)</f>
        <v/>
      </c>
      <c r="J7" s="106">
        <f>IF(J$11&lt;=Assumptions!$E$28,1,0)</f>
        <v/>
      </c>
      <c r="K7" s="106">
        <f>IF(K$11&lt;=Assumptions!$E$28,1,0)</f>
        <v/>
      </c>
      <c r="L7" s="106">
        <f>IF(L$11&lt;=Assumptions!$E$28,1,0)</f>
        <v/>
      </c>
      <c r="M7" s="106">
        <f>IF(M$11&lt;=Assumptions!$E$28,1,0)</f>
        <v/>
      </c>
      <c r="N7" s="106">
        <f>IF(N$11&lt;=Assumptions!$E$28,1,0)</f>
        <v/>
      </c>
      <c r="O7" s="106">
        <f>IF(O$11&lt;=Assumptions!$E$28,1,0)</f>
        <v/>
      </c>
      <c r="P7" s="106">
        <f>IF(P$11&lt;=Assumptions!$E$28,1,0)</f>
        <v/>
      </c>
      <c r="Q7" s="106">
        <f>IF(Q$11&lt;=Assumptions!$E$28,1,0)</f>
        <v/>
      </c>
      <c r="R7" s="106">
        <f>IF(R$11&lt;=Assumptions!$E$28,1,0)</f>
        <v/>
      </c>
      <c r="S7" s="106">
        <f>IF(S$11&lt;=Assumptions!$E$28,1,0)</f>
        <v/>
      </c>
      <c r="T7" s="106">
        <f>IF(T$11&lt;=Assumptions!$E$28,1,0)</f>
        <v/>
      </c>
      <c r="U7" s="106">
        <f>IF(U$11&lt;=Assumptions!$E$28,1,0)</f>
        <v/>
      </c>
      <c r="V7" s="106">
        <f>IF(V$11&lt;=Assumptions!$E$28,1,0)</f>
        <v/>
      </c>
      <c r="W7" s="106">
        <f>IF(W$11&lt;=Assumptions!$E$28,1,0)</f>
        <v/>
      </c>
      <c r="X7" s="106">
        <f>IF(X$11&lt;=Assumptions!$E$28,1,0)</f>
        <v/>
      </c>
      <c r="Y7" s="106">
        <f>IF(Y$11&lt;=Assumptions!$E$28,1,0)</f>
        <v/>
      </c>
      <c r="Z7" s="106">
        <f>IF(Z$11&lt;=Assumptions!$E$28,1,0)</f>
        <v/>
      </c>
      <c r="AA7" s="106">
        <f>IF(AA$11&lt;=Assumptions!$E$28,1,0)</f>
        <v/>
      </c>
      <c r="AB7" s="106">
        <f>IF(AB$11&lt;=Assumptions!$E$28,1,0)</f>
        <v/>
      </c>
      <c r="AC7" s="106">
        <f>IF(AC$11&lt;=Assumptions!$E$28,1,0)</f>
        <v/>
      </c>
      <c r="AD7" s="106">
        <f>IF(AD$11&lt;=Assumptions!$E$28,1,0)</f>
        <v/>
      </c>
      <c r="AE7" s="106">
        <f>IF(AE$11&lt;=Assumptions!$E$28,1,0)</f>
        <v/>
      </c>
      <c r="AF7" s="106">
        <f>IF(AF$11&lt;=Assumptions!$E$28,1,0)</f>
        <v/>
      </c>
      <c r="AG7" s="106">
        <f>IF(AG$11&lt;=Assumptions!$E$28,1,0)</f>
        <v/>
      </c>
      <c r="AH7" s="106">
        <f>IF(AH$11&lt;=Assumptions!$E$28,1,0)</f>
        <v/>
      </c>
      <c r="AI7" s="106">
        <f>IF(AI$11&lt;=Assumptions!$E$28,1,0)</f>
        <v/>
      </c>
      <c r="AJ7" s="106">
        <f>IF(AJ$11&lt;=Assumptions!$E$28,1,0)</f>
        <v/>
      </c>
      <c r="AK7" s="106">
        <f>IF(AK$11&lt;=Assumptions!$E$28,1,0)</f>
        <v/>
      </c>
      <c r="AL7" s="106">
        <f>IF(AL$11&lt;=Assumptions!$E$28,1,0)</f>
        <v/>
      </c>
      <c r="AM7" s="106">
        <f>IF(AM$11&lt;=Assumptions!$E$28,1,0)</f>
        <v/>
      </c>
      <c r="AN7" s="106">
        <f>IF(AN$11&lt;=Assumptions!$E$28,1,0)</f>
        <v/>
      </c>
      <c r="AO7" s="106">
        <f>IF(AO$11&lt;=Assumptions!$E$28,1,0)</f>
        <v/>
      </c>
      <c r="AP7" s="106">
        <f>IF(AP$11&lt;=Assumptions!$E$28,1,0)</f>
        <v/>
      </c>
      <c r="AQ7" s="106">
        <f>IF(AQ$11&lt;=Assumptions!$E$28,1,0)</f>
        <v/>
      </c>
      <c r="AR7" s="106">
        <f>IF(AR$11&lt;=Assumptions!$E$28,1,0)</f>
        <v/>
      </c>
      <c r="AS7" s="106">
        <f>IF(AS$11&lt;=Assumptions!$E$28,1,0)</f>
        <v/>
      </c>
      <c r="AT7" s="106">
        <f>IF(AT$11&lt;=Assumptions!$E$28,1,0)</f>
        <v/>
      </c>
      <c r="AU7" s="106">
        <f>IF(AU$11&lt;=Assumptions!$E$28,1,0)</f>
        <v/>
      </c>
      <c r="AV7" s="106">
        <f>IF(AV$11&lt;=Assumptions!$E$28,1,0)</f>
        <v/>
      </c>
      <c r="AW7" s="106">
        <f>IF(AW$11&lt;=Assumptions!$E$28,1,0)</f>
        <v/>
      </c>
      <c r="AX7" s="106">
        <f>IF(AX$11&lt;=Assumptions!$E$28,1,0)</f>
        <v/>
      </c>
      <c r="AY7" s="106">
        <f>IF(AY$11&lt;=Assumptions!$E$28,1,0)</f>
        <v/>
      </c>
      <c r="AZ7" s="106">
        <f>IF(AZ$11&lt;=Assumptions!$E$28,1,0)</f>
        <v/>
      </c>
      <c r="BA7" s="106">
        <f>IF(BA$11&lt;=Assumptions!$E$28,1,0)</f>
        <v/>
      </c>
      <c r="BB7" s="106">
        <f>IF(BB$11&lt;=Assumptions!$E$28,1,0)</f>
        <v/>
      </c>
      <c r="BC7" s="106">
        <f>IF(BC$11&lt;=Assumptions!$E$28,1,0)</f>
        <v/>
      </c>
      <c r="BD7" s="106">
        <f>IF(BD$11&lt;=Assumptions!$E$28,1,0)</f>
        <v/>
      </c>
      <c r="BE7" s="106">
        <f>IF(BE$11&lt;=Assumptions!$E$28,1,0)</f>
        <v/>
      </c>
      <c r="BF7" s="106">
        <f>IF(BF$11&lt;=Assumptions!$E$28,1,0)</f>
        <v/>
      </c>
      <c r="BG7" s="106">
        <f>IF(BG$11&lt;=Assumptions!$E$28,1,0)</f>
        <v/>
      </c>
      <c r="BH7" s="106">
        <f>IF(BH$11&lt;=Assumptions!$E$28,1,0)</f>
        <v/>
      </c>
      <c r="BI7" s="106">
        <f>IF(BI$11&lt;=Assumptions!$E$28,1,0)</f>
        <v/>
      </c>
      <c r="BJ7" s="106">
        <f>IF(BJ$11&lt;=Assumptions!$E$28,1,0)</f>
        <v/>
      </c>
      <c r="BK7" s="106">
        <f>IF(BK$11&lt;=Assumptions!$E$28,1,0)</f>
        <v/>
      </c>
      <c r="BL7" s="106">
        <f>IF(BL$11&lt;=Assumptions!$E$28,1,0)</f>
        <v/>
      </c>
      <c r="BM7" s="106">
        <f>IF(BM$11&lt;=Assumptions!$E$28,1,0)</f>
        <v/>
      </c>
      <c r="BN7" s="106">
        <f>IF(BN$11&lt;=Assumptions!$E$28,1,0)</f>
        <v/>
      </c>
      <c r="BO7" s="106">
        <f>IF(BO$11&lt;=Assumptions!$E$28,1,0)</f>
        <v/>
      </c>
      <c r="BP7" s="106">
        <f>IF(BP$11&lt;=Assumptions!$E$28,1,0)</f>
        <v/>
      </c>
      <c r="BQ7" s="106">
        <f>IF(BQ$11&lt;=Assumptions!$E$28,1,0)</f>
        <v/>
      </c>
      <c r="BR7" s="106">
        <f>IF(BR$11&lt;=Assumptions!$E$28,1,0)</f>
        <v/>
      </c>
      <c r="BS7" s="106">
        <f>IF(BS$11&lt;=Assumptions!$E$28,1,0)</f>
        <v/>
      </c>
      <c r="BT7" s="106">
        <f>IF(BT$11&lt;=Assumptions!$E$28,1,0)</f>
        <v/>
      </c>
      <c r="BU7" s="106">
        <f>IF(BU$11&lt;=Assumptions!$E$28,1,0)</f>
        <v/>
      </c>
      <c r="BV7" s="106">
        <f>IF(BV$11&lt;=Assumptions!$E$28,1,0)</f>
        <v/>
      </c>
      <c r="BW7" s="106">
        <f>IF(BW$11&lt;=Assumptions!$E$28,1,0)</f>
        <v/>
      </c>
      <c r="BX7" s="106">
        <f>IF(BX$11&lt;=Assumptions!$E$28,1,0)</f>
        <v/>
      </c>
      <c r="BY7" s="106">
        <f>IF(BY$11&lt;=Assumptions!$E$28,1,0)</f>
        <v/>
      </c>
      <c r="BZ7" s="106">
        <f>IF(BZ$11&lt;=Assumptions!$E$28,1,0)</f>
        <v/>
      </c>
      <c r="CA7" s="106">
        <f>IF(CA$11&lt;=Assumptions!$E$28,1,0)</f>
        <v/>
      </c>
      <c r="CB7" s="106">
        <f>IF(CB$11&lt;=Assumptions!$E$28,1,0)</f>
        <v/>
      </c>
      <c r="CC7" s="106">
        <f>IF(CC$11&lt;=Assumptions!$E$28,1,0)</f>
        <v/>
      </c>
      <c r="CD7" s="106">
        <f>IF(CD$11&lt;=Assumptions!$E$28,1,0)</f>
        <v/>
      </c>
      <c r="CE7" s="106">
        <f>IF(CE$11&lt;=Assumptions!$E$28,1,0)</f>
        <v/>
      </c>
      <c r="CF7" s="106">
        <f>IF(CF$11&lt;=Assumptions!$E$28,1,0)</f>
        <v/>
      </c>
      <c r="CG7" s="106">
        <f>IF(CG$11&lt;=Assumptions!$E$28,1,0)</f>
        <v/>
      </c>
      <c r="CH7" s="106">
        <f>IF(CH$11&lt;=Assumptions!$E$28,1,0)</f>
        <v/>
      </c>
      <c r="CI7" s="106">
        <f>IF(CI$11&lt;=Assumptions!$E$28,1,0)</f>
        <v/>
      </c>
      <c r="CJ7" s="106">
        <f>IF(CJ$11&lt;=Assumptions!$E$28,1,0)</f>
        <v/>
      </c>
      <c r="CK7" s="106">
        <f>IF(CK$11&lt;=Assumptions!$E$28,1,0)</f>
        <v/>
      </c>
      <c r="CL7" s="106">
        <f>IF(CL$11&lt;=Assumptions!$E$28,1,0)</f>
        <v/>
      </c>
      <c r="CM7" s="106">
        <f>IF(CM$11&lt;=Assumptions!$E$28,1,0)</f>
        <v/>
      </c>
      <c r="CN7" s="106">
        <f>IF(CN$11&lt;=Assumptions!$E$28,1,0)</f>
        <v/>
      </c>
      <c r="CO7" s="106">
        <f>IF(CO$11&lt;=Assumptions!$E$28,1,0)</f>
        <v/>
      </c>
      <c r="CP7" s="106">
        <f>IF(CP$11&lt;=Assumptions!$E$28,1,0)</f>
        <v/>
      </c>
      <c r="CQ7" s="106">
        <f>IF(CQ$11&lt;=Assumptions!$E$28,1,0)</f>
        <v/>
      </c>
      <c r="CR7" s="106">
        <f>IF(CR$11&lt;=Assumptions!$E$28,1,0)</f>
        <v/>
      </c>
      <c r="CS7" s="106">
        <f>IF(CS$11&lt;=Assumptions!$E$28,1,0)</f>
        <v/>
      </c>
      <c r="CT7" s="106">
        <f>IF(CT$11&lt;=Assumptions!$E$28,1,0)</f>
        <v/>
      </c>
      <c r="CU7" s="106">
        <f>IF(CU$11&lt;=Assumptions!$E$28,1,0)</f>
        <v/>
      </c>
      <c r="CV7" s="106">
        <f>IF(CV$11&lt;=Assumptions!$E$28,1,0)</f>
        <v/>
      </c>
      <c r="CW7" s="106">
        <f>IF(CW$11&lt;=Assumptions!$E$28,1,0)</f>
        <v/>
      </c>
      <c r="CX7" s="106">
        <f>IF(CX$11&lt;=Assumptions!$E$28,1,0)</f>
        <v/>
      </c>
      <c r="CY7" s="106">
        <f>IF(CY$11&lt;=Assumptions!$E$28,1,0)</f>
        <v/>
      </c>
      <c r="CZ7" s="106">
        <f>IF(CZ$11&lt;=Assumptions!$E$28,1,0)</f>
        <v/>
      </c>
      <c r="DA7" s="106">
        <f>IF(DA$11&lt;=Assumptions!$E$28,1,0)</f>
        <v/>
      </c>
      <c r="DB7" s="106">
        <f>IF(DB$11&lt;=Assumptions!$E$28,1,0)</f>
        <v/>
      </c>
      <c r="DC7" s="106">
        <f>IF(DC$11&lt;=Assumptions!$E$28,1,0)</f>
        <v/>
      </c>
      <c r="DD7" s="106">
        <f>IF(DD$11&lt;=Assumptions!$E$28,1,0)</f>
        <v/>
      </c>
      <c r="DE7" s="106">
        <f>IF(DE$11&lt;=Assumptions!$E$28,1,0)</f>
        <v/>
      </c>
      <c r="DF7" s="106">
        <f>IF(DF$11&lt;=Assumptions!$E$28,1,0)</f>
        <v/>
      </c>
      <c r="DG7" s="106">
        <f>IF(DG$11&lt;=Assumptions!$E$28,1,0)</f>
        <v/>
      </c>
      <c r="DH7" s="106">
        <f>IF(DH$11&lt;=Assumptions!$E$28,1,0)</f>
        <v/>
      </c>
      <c r="DI7" s="106">
        <f>IF(DI$11&lt;=Assumptions!$E$28,1,0)</f>
        <v/>
      </c>
      <c r="DJ7" s="106">
        <f>IF(DJ$11&lt;=Assumptions!$E$28,1,0)</f>
        <v/>
      </c>
      <c r="DK7" s="106">
        <f>IF(DK$11&lt;=Assumptions!$E$28,1,0)</f>
        <v/>
      </c>
      <c r="DL7" s="106">
        <f>IF(DL$11&lt;=Assumptions!$E$28,1,0)</f>
        <v/>
      </c>
      <c r="DM7" s="106">
        <f>IF(DM$11&lt;=Assumptions!$E$28,1,0)</f>
        <v/>
      </c>
      <c r="DN7" s="106">
        <f>IF(DN$11&lt;=Assumptions!$E$28,1,0)</f>
        <v/>
      </c>
      <c r="DO7" s="106">
        <f>IF(DO$11&lt;=Assumptions!$E$28,1,0)</f>
        <v/>
      </c>
      <c r="DP7" s="106">
        <f>IF(DP$11&lt;=Assumptions!$E$28,1,0)</f>
        <v/>
      </c>
      <c r="DQ7" s="106">
        <f>IF(DQ$11&lt;=Assumptions!$E$28,1,0)</f>
        <v/>
      </c>
      <c r="DR7" s="106">
        <f>IF(DR$11&lt;=Assumptions!$E$28,1,0)</f>
        <v/>
      </c>
      <c r="DS7" s="106">
        <f>IF(DS$11&lt;=Assumptions!$E$28,1,0)</f>
        <v/>
      </c>
      <c r="DT7" s="106">
        <f>IF(DT$11&lt;=Assumptions!$E$28,1,0)</f>
        <v/>
      </c>
    </row>
    <row r="8" ht="15" customHeight="1" s="148">
      <c r="B8" s="104" t="inlineStr">
        <is>
          <t>Year</t>
        </is>
      </c>
      <c r="C8" s="105" t="n"/>
      <c r="D8" s="106">
        <f>YEAR(D$12)</f>
        <v/>
      </c>
      <c r="E8" s="106">
        <f>YEAR(E$12)</f>
        <v/>
      </c>
      <c r="F8" s="106">
        <f>YEAR(F$12)</f>
        <v/>
      </c>
      <c r="G8" s="106">
        <f>YEAR(G$12)</f>
        <v/>
      </c>
      <c r="H8" s="106">
        <f>YEAR(H$12)</f>
        <v/>
      </c>
      <c r="I8" s="106">
        <f>YEAR(I$12)</f>
        <v/>
      </c>
      <c r="J8" s="106">
        <f>YEAR(J$12)</f>
        <v/>
      </c>
      <c r="K8" s="106">
        <f>YEAR(K$12)</f>
        <v/>
      </c>
      <c r="L8" s="106">
        <f>YEAR(L$12)</f>
        <v/>
      </c>
      <c r="M8" s="106">
        <f>YEAR(M$12)</f>
        <v/>
      </c>
      <c r="N8" s="106">
        <f>YEAR(N$12)</f>
        <v/>
      </c>
      <c r="O8" s="106">
        <f>YEAR(O$12)</f>
        <v/>
      </c>
      <c r="P8" s="106">
        <f>YEAR(P$12)</f>
        <v/>
      </c>
      <c r="Q8" s="106">
        <f>YEAR(Q$12)</f>
        <v/>
      </c>
      <c r="R8" s="106">
        <f>YEAR(R$12)</f>
        <v/>
      </c>
      <c r="S8" s="106">
        <f>YEAR(S$12)</f>
        <v/>
      </c>
      <c r="T8" s="106">
        <f>YEAR(T$12)</f>
        <v/>
      </c>
      <c r="U8" s="106">
        <f>YEAR(U$12)</f>
        <v/>
      </c>
      <c r="V8" s="106">
        <f>YEAR(V$12)</f>
        <v/>
      </c>
      <c r="W8" s="106">
        <f>YEAR(W$12)</f>
        <v/>
      </c>
      <c r="X8" s="106">
        <f>YEAR(X$12)</f>
        <v/>
      </c>
      <c r="Y8" s="106">
        <f>YEAR(Y$12)</f>
        <v/>
      </c>
      <c r="Z8" s="106">
        <f>YEAR(Z$12)</f>
        <v/>
      </c>
      <c r="AA8" s="106">
        <f>YEAR(AA$12)</f>
        <v/>
      </c>
      <c r="AB8" s="106">
        <f>YEAR(AB$12)</f>
        <v/>
      </c>
      <c r="AC8" s="106">
        <f>YEAR(AC$12)</f>
        <v/>
      </c>
      <c r="AD8" s="106">
        <f>YEAR(AD$12)</f>
        <v/>
      </c>
      <c r="AE8" s="106">
        <f>YEAR(AE$12)</f>
        <v/>
      </c>
      <c r="AF8" s="106">
        <f>YEAR(AF$12)</f>
        <v/>
      </c>
      <c r="AG8" s="106">
        <f>YEAR(AG$12)</f>
        <v/>
      </c>
      <c r="AH8" s="106">
        <f>YEAR(AH$12)</f>
        <v/>
      </c>
      <c r="AI8" s="106">
        <f>YEAR(AI$12)</f>
        <v/>
      </c>
      <c r="AJ8" s="106">
        <f>YEAR(AJ$12)</f>
        <v/>
      </c>
      <c r="AK8" s="106">
        <f>YEAR(AK$12)</f>
        <v/>
      </c>
      <c r="AL8" s="106">
        <f>YEAR(AL$12)</f>
        <v/>
      </c>
      <c r="AM8" s="106">
        <f>YEAR(AM$12)</f>
        <v/>
      </c>
      <c r="AN8" s="106">
        <f>YEAR(AN$12)</f>
        <v/>
      </c>
      <c r="AO8" s="106">
        <f>YEAR(AO$12)</f>
        <v/>
      </c>
      <c r="AP8" s="106">
        <f>YEAR(AP$12)</f>
        <v/>
      </c>
      <c r="AQ8" s="106">
        <f>YEAR(AQ$12)</f>
        <v/>
      </c>
      <c r="AR8" s="106">
        <f>YEAR(AR$12)</f>
        <v/>
      </c>
      <c r="AS8" s="106">
        <f>YEAR(AS$12)</f>
        <v/>
      </c>
      <c r="AT8" s="106">
        <f>YEAR(AT$12)</f>
        <v/>
      </c>
      <c r="AU8" s="106">
        <f>YEAR(AU$12)</f>
        <v/>
      </c>
      <c r="AV8" s="106">
        <f>YEAR(AV$12)</f>
        <v/>
      </c>
      <c r="AW8" s="106">
        <f>YEAR(AW$12)</f>
        <v/>
      </c>
      <c r="AX8" s="106">
        <f>YEAR(AX$12)</f>
        <v/>
      </c>
      <c r="AY8" s="106">
        <f>YEAR(AY$12)</f>
        <v/>
      </c>
      <c r="AZ8" s="106">
        <f>YEAR(AZ$12)</f>
        <v/>
      </c>
      <c r="BA8" s="106">
        <f>YEAR(BA$12)</f>
        <v/>
      </c>
      <c r="BB8" s="106">
        <f>YEAR(BB$12)</f>
        <v/>
      </c>
      <c r="BC8" s="106">
        <f>YEAR(BC$12)</f>
        <v/>
      </c>
      <c r="BD8" s="106">
        <f>YEAR(BD$12)</f>
        <v/>
      </c>
      <c r="BE8" s="106">
        <f>YEAR(BE$12)</f>
        <v/>
      </c>
      <c r="BF8" s="106">
        <f>YEAR(BF$12)</f>
        <v/>
      </c>
      <c r="BG8" s="106">
        <f>YEAR(BG$12)</f>
        <v/>
      </c>
      <c r="BH8" s="106">
        <f>YEAR(BH$12)</f>
        <v/>
      </c>
      <c r="BI8" s="106">
        <f>YEAR(BI$12)</f>
        <v/>
      </c>
      <c r="BJ8" s="106">
        <f>YEAR(BJ$12)</f>
        <v/>
      </c>
      <c r="BK8" s="106">
        <f>YEAR(BK$12)</f>
        <v/>
      </c>
      <c r="BL8" s="106">
        <f>YEAR(BL$12)</f>
        <v/>
      </c>
      <c r="BM8" s="106">
        <f>YEAR(BM$12)</f>
        <v/>
      </c>
      <c r="BN8" s="106">
        <f>YEAR(BN$12)</f>
        <v/>
      </c>
      <c r="BO8" s="106">
        <f>YEAR(BO$12)</f>
        <v/>
      </c>
      <c r="BP8" s="106">
        <f>YEAR(BP$12)</f>
        <v/>
      </c>
      <c r="BQ8" s="106">
        <f>YEAR(BQ$12)</f>
        <v/>
      </c>
      <c r="BR8" s="106">
        <f>YEAR(BR$12)</f>
        <v/>
      </c>
      <c r="BS8" s="106">
        <f>YEAR(BS$12)</f>
        <v/>
      </c>
      <c r="BT8" s="106">
        <f>YEAR(BT$12)</f>
        <v/>
      </c>
      <c r="BU8" s="106">
        <f>YEAR(BU$12)</f>
        <v/>
      </c>
      <c r="BV8" s="106">
        <f>YEAR(BV$12)</f>
        <v/>
      </c>
      <c r="BW8" s="106">
        <f>YEAR(BW$12)</f>
        <v/>
      </c>
      <c r="BX8" s="106">
        <f>YEAR(BX$12)</f>
        <v/>
      </c>
      <c r="BY8" s="106">
        <f>YEAR(BY$12)</f>
        <v/>
      </c>
      <c r="BZ8" s="106">
        <f>YEAR(BZ$12)</f>
        <v/>
      </c>
      <c r="CA8" s="106">
        <f>YEAR(CA$12)</f>
        <v/>
      </c>
      <c r="CB8" s="106">
        <f>YEAR(CB$12)</f>
        <v/>
      </c>
      <c r="CC8" s="106">
        <f>YEAR(CC$12)</f>
        <v/>
      </c>
      <c r="CD8" s="106">
        <f>YEAR(CD$12)</f>
        <v/>
      </c>
      <c r="CE8" s="106">
        <f>YEAR(CE$12)</f>
        <v/>
      </c>
      <c r="CF8" s="106">
        <f>YEAR(CF$12)</f>
        <v/>
      </c>
      <c r="CG8" s="106">
        <f>YEAR(CG$12)</f>
        <v/>
      </c>
      <c r="CH8" s="106">
        <f>YEAR(CH$12)</f>
        <v/>
      </c>
      <c r="CI8" s="106">
        <f>YEAR(CI$12)</f>
        <v/>
      </c>
      <c r="CJ8" s="106">
        <f>YEAR(CJ$12)</f>
        <v/>
      </c>
      <c r="CK8" s="106">
        <f>YEAR(CK$12)</f>
        <v/>
      </c>
      <c r="CL8" s="106">
        <f>YEAR(CL$12)</f>
        <v/>
      </c>
      <c r="CM8" s="106">
        <f>YEAR(CM$12)</f>
        <v/>
      </c>
      <c r="CN8" s="106">
        <f>YEAR(CN$12)</f>
        <v/>
      </c>
      <c r="CO8" s="106">
        <f>YEAR(CO$12)</f>
        <v/>
      </c>
      <c r="CP8" s="106">
        <f>YEAR(CP$12)</f>
        <v/>
      </c>
      <c r="CQ8" s="106">
        <f>YEAR(CQ$12)</f>
        <v/>
      </c>
      <c r="CR8" s="106">
        <f>YEAR(CR$12)</f>
        <v/>
      </c>
      <c r="CS8" s="106">
        <f>YEAR(CS$12)</f>
        <v/>
      </c>
      <c r="CT8" s="106">
        <f>YEAR(CT$12)</f>
        <v/>
      </c>
      <c r="CU8" s="106">
        <f>YEAR(CU$12)</f>
        <v/>
      </c>
      <c r="CV8" s="106">
        <f>YEAR(CV$12)</f>
        <v/>
      </c>
      <c r="CW8" s="106">
        <f>YEAR(CW$12)</f>
        <v/>
      </c>
      <c r="CX8" s="106">
        <f>YEAR(CX$12)</f>
        <v/>
      </c>
      <c r="CY8" s="106">
        <f>YEAR(CY$12)</f>
        <v/>
      </c>
      <c r="CZ8" s="106">
        <f>YEAR(CZ$12)</f>
        <v/>
      </c>
      <c r="DA8" s="106">
        <f>YEAR(DA$12)</f>
        <v/>
      </c>
      <c r="DB8" s="106">
        <f>YEAR(DB$12)</f>
        <v/>
      </c>
      <c r="DC8" s="106">
        <f>YEAR(DC$12)</f>
        <v/>
      </c>
      <c r="DD8" s="106">
        <f>YEAR(DD$12)</f>
        <v/>
      </c>
      <c r="DE8" s="106">
        <f>YEAR(DE$12)</f>
        <v/>
      </c>
      <c r="DF8" s="106">
        <f>YEAR(DF$12)</f>
        <v/>
      </c>
      <c r="DG8" s="106">
        <f>YEAR(DG$12)</f>
        <v/>
      </c>
      <c r="DH8" s="106">
        <f>YEAR(DH$12)</f>
        <v/>
      </c>
      <c r="DI8" s="106">
        <f>YEAR(DI$12)</f>
        <v/>
      </c>
      <c r="DJ8" s="106">
        <f>YEAR(DJ$12)</f>
        <v/>
      </c>
      <c r="DK8" s="106">
        <f>YEAR(DK$12)</f>
        <v/>
      </c>
      <c r="DL8" s="106">
        <f>YEAR(DL$12)</f>
        <v/>
      </c>
      <c r="DM8" s="106">
        <f>YEAR(DM$12)</f>
        <v/>
      </c>
      <c r="DN8" s="106">
        <f>YEAR(DN$12)</f>
        <v/>
      </c>
      <c r="DO8" s="106">
        <f>YEAR(DO$12)</f>
        <v/>
      </c>
      <c r="DP8" s="106">
        <f>YEAR(DP$12)</f>
        <v/>
      </c>
      <c r="DQ8" s="106">
        <f>YEAR(DQ$12)</f>
        <v/>
      </c>
      <c r="DR8" s="106">
        <f>YEAR(DR$12)</f>
        <v/>
      </c>
      <c r="DS8" s="106">
        <f>YEAR(DS$12)</f>
        <v/>
      </c>
      <c r="DT8" s="106">
        <f>YEAR(DT$12)</f>
        <v/>
      </c>
    </row>
    <row r="9" ht="15" customHeight="1" s="148">
      <c r="B9" s="104" t="inlineStr">
        <is>
          <t>Year #</t>
        </is>
      </c>
      <c r="C9" s="105" t="n"/>
      <c r="D9" s="106">
        <f>IF(D$11=0,0,INT((D$11-1)/12)+1)</f>
        <v/>
      </c>
      <c r="E9" s="106">
        <f>IF(E$11=0,0,INT((E$11-1)/12)+1)</f>
        <v/>
      </c>
      <c r="F9" s="106">
        <f>IF(F$11=0,0,INT((F$11-1)/12)+1)</f>
        <v/>
      </c>
      <c r="G9" s="106">
        <f>IF(G$11=0,0,INT((G$11-1)/12)+1)</f>
        <v/>
      </c>
      <c r="H9" s="106">
        <f>IF(H$11=0,0,INT((H$11-1)/12)+1)</f>
        <v/>
      </c>
      <c r="I9" s="106">
        <f>IF(I$11=0,0,INT((I$11-1)/12)+1)</f>
        <v/>
      </c>
      <c r="J9" s="106">
        <f>IF(J$11=0,0,INT((J$11-1)/12)+1)</f>
        <v/>
      </c>
      <c r="K9" s="106">
        <f>IF(K$11=0,0,INT((K$11-1)/12)+1)</f>
        <v/>
      </c>
      <c r="L9" s="106">
        <f>IF(L$11=0,0,INT((L$11-1)/12)+1)</f>
        <v/>
      </c>
      <c r="M9" s="106">
        <f>IF(M$11=0,0,INT((M$11-1)/12)+1)</f>
        <v/>
      </c>
      <c r="N9" s="106">
        <f>IF(N$11=0,0,INT((N$11-1)/12)+1)</f>
        <v/>
      </c>
      <c r="O9" s="106">
        <f>IF(O$11=0,0,INT((O$11-1)/12)+1)</f>
        <v/>
      </c>
      <c r="P9" s="106">
        <f>IF(P$11=0,0,INT((P$11-1)/12)+1)</f>
        <v/>
      </c>
      <c r="Q9" s="106">
        <f>IF(Q$11=0,0,INT((Q$11-1)/12)+1)</f>
        <v/>
      </c>
      <c r="R9" s="106">
        <f>IF(R$11=0,0,INT((R$11-1)/12)+1)</f>
        <v/>
      </c>
      <c r="S9" s="106">
        <f>IF(S$11=0,0,INT((S$11-1)/12)+1)</f>
        <v/>
      </c>
      <c r="T9" s="106">
        <f>IF(T$11=0,0,INT((T$11-1)/12)+1)</f>
        <v/>
      </c>
      <c r="U9" s="106">
        <f>IF(U$11=0,0,INT((U$11-1)/12)+1)</f>
        <v/>
      </c>
      <c r="V9" s="106">
        <f>IF(V$11=0,0,INT((V$11-1)/12)+1)</f>
        <v/>
      </c>
      <c r="W9" s="106">
        <f>IF(W$11=0,0,INT((W$11-1)/12)+1)</f>
        <v/>
      </c>
      <c r="X9" s="106">
        <f>IF(X$11=0,0,INT((X$11-1)/12)+1)</f>
        <v/>
      </c>
      <c r="Y9" s="106">
        <f>IF(Y$11=0,0,INT((Y$11-1)/12)+1)</f>
        <v/>
      </c>
      <c r="Z9" s="106">
        <f>IF(Z$11=0,0,INT((Z$11-1)/12)+1)</f>
        <v/>
      </c>
      <c r="AA9" s="106">
        <f>IF(AA$11=0,0,INT((AA$11-1)/12)+1)</f>
        <v/>
      </c>
      <c r="AB9" s="106">
        <f>IF(AB$11=0,0,INT((AB$11-1)/12)+1)</f>
        <v/>
      </c>
      <c r="AC9" s="106">
        <f>IF(AC$11=0,0,INT((AC$11-1)/12)+1)</f>
        <v/>
      </c>
      <c r="AD9" s="106">
        <f>IF(AD$11=0,0,INT((AD$11-1)/12)+1)</f>
        <v/>
      </c>
      <c r="AE9" s="106">
        <f>IF(AE$11=0,0,INT((AE$11-1)/12)+1)</f>
        <v/>
      </c>
      <c r="AF9" s="106">
        <f>IF(AF$11=0,0,INT((AF$11-1)/12)+1)</f>
        <v/>
      </c>
      <c r="AG9" s="106">
        <f>IF(AG$11=0,0,INT((AG$11-1)/12)+1)</f>
        <v/>
      </c>
      <c r="AH9" s="106">
        <f>IF(AH$11=0,0,INT((AH$11-1)/12)+1)</f>
        <v/>
      </c>
      <c r="AI9" s="106">
        <f>IF(AI$11=0,0,INT((AI$11-1)/12)+1)</f>
        <v/>
      </c>
      <c r="AJ9" s="106">
        <f>IF(AJ$11=0,0,INT((AJ$11-1)/12)+1)</f>
        <v/>
      </c>
      <c r="AK9" s="106">
        <f>IF(AK$11=0,0,INT((AK$11-1)/12)+1)</f>
        <v/>
      </c>
      <c r="AL9" s="106">
        <f>IF(AL$11=0,0,INT((AL$11-1)/12)+1)</f>
        <v/>
      </c>
      <c r="AM9" s="106">
        <f>IF(AM$11=0,0,INT((AM$11-1)/12)+1)</f>
        <v/>
      </c>
      <c r="AN9" s="106">
        <f>IF(AN$11=0,0,INT((AN$11-1)/12)+1)</f>
        <v/>
      </c>
      <c r="AO9" s="106">
        <f>IF(AO$11=0,0,INT((AO$11-1)/12)+1)</f>
        <v/>
      </c>
      <c r="AP9" s="106">
        <f>IF(AP$11=0,0,INT((AP$11-1)/12)+1)</f>
        <v/>
      </c>
      <c r="AQ9" s="106">
        <f>IF(AQ$11=0,0,INT((AQ$11-1)/12)+1)</f>
        <v/>
      </c>
      <c r="AR9" s="106">
        <f>IF(AR$11=0,0,INT((AR$11-1)/12)+1)</f>
        <v/>
      </c>
      <c r="AS9" s="106">
        <f>IF(AS$11=0,0,INT((AS$11-1)/12)+1)</f>
        <v/>
      </c>
      <c r="AT9" s="106">
        <f>IF(AT$11=0,0,INT((AT$11-1)/12)+1)</f>
        <v/>
      </c>
      <c r="AU9" s="106">
        <f>IF(AU$11=0,0,INT((AU$11-1)/12)+1)</f>
        <v/>
      </c>
      <c r="AV9" s="106">
        <f>IF(AV$11=0,0,INT((AV$11-1)/12)+1)</f>
        <v/>
      </c>
      <c r="AW9" s="106">
        <f>IF(AW$11=0,0,INT((AW$11-1)/12)+1)</f>
        <v/>
      </c>
      <c r="AX9" s="106">
        <f>IF(AX$11=0,0,INT((AX$11-1)/12)+1)</f>
        <v/>
      </c>
      <c r="AY9" s="106">
        <f>IF(AY$11=0,0,INT((AY$11-1)/12)+1)</f>
        <v/>
      </c>
      <c r="AZ9" s="106">
        <f>IF(AZ$11=0,0,INT((AZ$11-1)/12)+1)</f>
        <v/>
      </c>
      <c r="BA9" s="106">
        <f>IF(BA$11=0,0,INT((BA$11-1)/12)+1)</f>
        <v/>
      </c>
      <c r="BB9" s="106">
        <f>IF(BB$11=0,0,INT((BB$11-1)/12)+1)</f>
        <v/>
      </c>
      <c r="BC9" s="106">
        <f>IF(BC$11=0,0,INT((BC$11-1)/12)+1)</f>
        <v/>
      </c>
      <c r="BD9" s="106">
        <f>IF(BD$11=0,0,INT((BD$11-1)/12)+1)</f>
        <v/>
      </c>
      <c r="BE9" s="106">
        <f>IF(BE$11=0,0,INT((BE$11-1)/12)+1)</f>
        <v/>
      </c>
      <c r="BF9" s="106">
        <f>IF(BF$11=0,0,INT((BF$11-1)/12)+1)</f>
        <v/>
      </c>
      <c r="BG9" s="106">
        <f>IF(BG$11=0,0,INT((BG$11-1)/12)+1)</f>
        <v/>
      </c>
      <c r="BH9" s="106">
        <f>IF(BH$11=0,0,INT((BH$11-1)/12)+1)</f>
        <v/>
      </c>
      <c r="BI9" s="106">
        <f>IF(BI$11=0,0,INT((BI$11-1)/12)+1)</f>
        <v/>
      </c>
      <c r="BJ9" s="106">
        <f>IF(BJ$11=0,0,INT((BJ$11-1)/12)+1)</f>
        <v/>
      </c>
      <c r="BK9" s="106">
        <f>IF(BK$11=0,0,INT((BK$11-1)/12)+1)</f>
        <v/>
      </c>
      <c r="BL9" s="106">
        <f>IF(BL$11=0,0,INT((BL$11-1)/12)+1)</f>
        <v/>
      </c>
      <c r="BM9" s="106">
        <f>IF(BM$11=0,0,INT((BM$11-1)/12)+1)</f>
        <v/>
      </c>
      <c r="BN9" s="106">
        <f>IF(BN$11=0,0,INT((BN$11-1)/12)+1)</f>
        <v/>
      </c>
      <c r="BO9" s="106">
        <f>IF(BO$11=0,0,INT((BO$11-1)/12)+1)</f>
        <v/>
      </c>
      <c r="BP9" s="106">
        <f>IF(BP$11=0,0,INT((BP$11-1)/12)+1)</f>
        <v/>
      </c>
      <c r="BQ9" s="106">
        <f>IF(BQ$11=0,0,INT((BQ$11-1)/12)+1)</f>
        <v/>
      </c>
      <c r="BR9" s="106">
        <f>IF(BR$11=0,0,INT((BR$11-1)/12)+1)</f>
        <v/>
      </c>
      <c r="BS9" s="106">
        <f>IF(BS$11=0,0,INT((BS$11-1)/12)+1)</f>
        <v/>
      </c>
      <c r="BT9" s="106">
        <f>IF(BT$11=0,0,INT((BT$11-1)/12)+1)</f>
        <v/>
      </c>
      <c r="BU9" s="106">
        <f>IF(BU$11=0,0,INT((BU$11-1)/12)+1)</f>
        <v/>
      </c>
      <c r="BV9" s="106">
        <f>IF(BV$11=0,0,INT((BV$11-1)/12)+1)</f>
        <v/>
      </c>
      <c r="BW9" s="106">
        <f>IF(BW$11=0,0,INT((BW$11-1)/12)+1)</f>
        <v/>
      </c>
      <c r="BX9" s="106">
        <f>IF(BX$11=0,0,INT((BX$11-1)/12)+1)</f>
        <v/>
      </c>
      <c r="BY9" s="106">
        <f>IF(BY$11=0,0,INT((BY$11-1)/12)+1)</f>
        <v/>
      </c>
      <c r="BZ9" s="106">
        <f>IF(BZ$11=0,0,INT((BZ$11-1)/12)+1)</f>
        <v/>
      </c>
      <c r="CA9" s="106">
        <f>IF(CA$11=0,0,INT((CA$11-1)/12)+1)</f>
        <v/>
      </c>
      <c r="CB9" s="106">
        <f>IF(CB$11=0,0,INT((CB$11-1)/12)+1)</f>
        <v/>
      </c>
      <c r="CC9" s="106">
        <f>IF(CC$11=0,0,INT((CC$11-1)/12)+1)</f>
        <v/>
      </c>
      <c r="CD9" s="106">
        <f>IF(CD$11=0,0,INT((CD$11-1)/12)+1)</f>
        <v/>
      </c>
      <c r="CE9" s="106">
        <f>IF(CE$11=0,0,INT((CE$11-1)/12)+1)</f>
        <v/>
      </c>
      <c r="CF9" s="106">
        <f>IF(CF$11=0,0,INT((CF$11-1)/12)+1)</f>
        <v/>
      </c>
      <c r="CG9" s="106">
        <f>IF(CG$11=0,0,INT((CG$11-1)/12)+1)</f>
        <v/>
      </c>
      <c r="CH9" s="106">
        <f>IF(CH$11=0,0,INT((CH$11-1)/12)+1)</f>
        <v/>
      </c>
      <c r="CI9" s="106">
        <f>IF(CI$11=0,0,INT((CI$11-1)/12)+1)</f>
        <v/>
      </c>
      <c r="CJ9" s="106">
        <f>IF(CJ$11=0,0,INT((CJ$11-1)/12)+1)</f>
        <v/>
      </c>
      <c r="CK9" s="106">
        <f>IF(CK$11=0,0,INT((CK$11-1)/12)+1)</f>
        <v/>
      </c>
      <c r="CL9" s="106">
        <f>IF(CL$11=0,0,INT((CL$11-1)/12)+1)</f>
        <v/>
      </c>
      <c r="CM9" s="106">
        <f>IF(CM$11=0,0,INT((CM$11-1)/12)+1)</f>
        <v/>
      </c>
      <c r="CN9" s="106">
        <f>IF(CN$11=0,0,INT((CN$11-1)/12)+1)</f>
        <v/>
      </c>
      <c r="CO9" s="106">
        <f>IF(CO$11=0,0,INT((CO$11-1)/12)+1)</f>
        <v/>
      </c>
      <c r="CP9" s="106">
        <f>IF(CP$11=0,0,INT((CP$11-1)/12)+1)</f>
        <v/>
      </c>
      <c r="CQ9" s="106">
        <f>IF(CQ$11=0,0,INT((CQ$11-1)/12)+1)</f>
        <v/>
      </c>
      <c r="CR9" s="106">
        <f>IF(CR$11=0,0,INT((CR$11-1)/12)+1)</f>
        <v/>
      </c>
      <c r="CS9" s="106">
        <f>IF(CS$11=0,0,INT((CS$11-1)/12)+1)</f>
        <v/>
      </c>
      <c r="CT9" s="106">
        <f>IF(CT$11=0,0,INT((CT$11-1)/12)+1)</f>
        <v/>
      </c>
      <c r="CU9" s="106">
        <f>IF(CU$11=0,0,INT((CU$11-1)/12)+1)</f>
        <v/>
      </c>
      <c r="CV9" s="106">
        <f>IF(CV$11=0,0,INT((CV$11-1)/12)+1)</f>
        <v/>
      </c>
      <c r="CW9" s="106">
        <f>IF(CW$11=0,0,INT((CW$11-1)/12)+1)</f>
        <v/>
      </c>
      <c r="CX9" s="106">
        <f>IF(CX$11=0,0,INT((CX$11-1)/12)+1)</f>
        <v/>
      </c>
      <c r="CY9" s="106">
        <f>IF(CY$11=0,0,INT((CY$11-1)/12)+1)</f>
        <v/>
      </c>
      <c r="CZ9" s="106">
        <f>IF(CZ$11=0,0,INT((CZ$11-1)/12)+1)</f>
        <v/>
      </c>
      <c r="DA9" s="106">
        <f>IF(DA$11=0,0,INT((DA$11-1)/12)+1)</f>
        <v/>
      </c>
      <c r="DB9" s="106">
        <f>IF(DB$11=0,0,INT((DB$11-1)/12)+1)</f>
        <v/>
      </c>
      <c r="DC9" s="106">
        <f>IF(DC$11=0,0,INT((DC$11-1)/12)+1)</f>
        <v/>
      </c>
      <c r="DD9" s="106">
        <f>IF(DD$11=0,0,INT((DD$11-1)/12)+1)</f>
        <v/>
      </c>
      <c r="DE9" s="106">
        <f>IF(DE$11=0,0,INT((DE$11-1)/12)+1)</f>
        <v/>
      </c>
      <c r="DF9" s="106">
        <f>IF(DF$11=0,0,INT((DF$11-1)/12)+1)</f>
        <v/>
      </c>
      <c r="DG9" s="106">
        <f>IF(DG$11=0,0,INT((DG$11-1)/12)+1)</f>
        <v/>
      </c>
      <c r="DH9" s="106">
        <f>IF(DH$11=0,0,INT((DH$11-1)/12)+1)</f>
        <v/>
      </c>
      <c r="DI9" s="106">
        <f>IF(DI$11=0,0,INT((DI$11-1)/12)+1)</f>
        <v/>
      </c>
      <c r="DJ9" s="106">
        <f>IF(DJ$11=0,0,INT((DJ$11-1)/12)+1)</f>
        <v/>
      </c>
      <c r="DK9" s="106">
        <f>IF(DK$11=0,0,INT((DK$11-1)/12)+1)</f>
        <v/>
      </c>
      <c r="DL9" s="106">
        <f>IF(DL$11=0,0,INT((DL$11-1)/12)+1)</f>
        <v/>
      </c>
      <c r="DM9" s="106">
        <f>IF(DM$11=0,0,INT((DM$11-1)/12)+1)</f>
        <v/>
      </c>
      <c r="DN9" s="106">
        <f>IF(DN$11=0,0,INT((DN$11-1)/12)+1)</f>
        <v/>
      </c>
      <c r="DO9" s="106">
        <f>IF(DO$11=0,0,INT((DO$11-1)/12)+1)</f>
        <v/>
      </c>
      <c r="DP9" s="106">
        <f>IF(DP$11=0,0,INT((DP$11-1)/12)+1)</f>
        <v/>
      </c>
      <c r="DQ9" s="106">
        <f>IF(DQ$11=0,0,INT((DQ$11-1)/12)+1)</f>
        <v/>
      </c>
      <c r="DR9" s="106">
        <f>IF(DR$11=0,0,INT((DR$11-1)/12)+1)</f>
        <v/>
      </c>
      <c r="DS9" s="106">
        <f>IF(DS$11=0,0,INT((DS$11-1)/12)+1)</f>
        <v/>
      </c>
      <c r="DT9" s="106">
        <f>IF(DT$11=0,0,INT((DT$11-1)/12)+1)</f>
        <v/>
      </c>
    </row>
    <row r="10" ht="15" customHeight="1" s="148">
      <c r="B10" s="104" t="inlineStr">
        <is>
          <t>Quarter #</t>
        </is>
      </c>
      <c r="C10" s="105" t="n"/>
      <c r="D10" s="106">
        <f>IF(D$11=0,0,INT((D$11-1)/3)+1)</f>
        <v/>
      </c>
      <c r="E10" s="106">
        <f>IF(E$11=0,0,INT((E$11-1)/3)+1)</f>
        <v/>
      </c>
      <c r="F10" s="106">
        <f>IF(F$11=0,0,INT((F$11-1)/3)+1)</f>
        <v/>
      </c>
      <c r="G10" s="106">
        <f>IF(G$11=0,0,INT((G$11-1)/3)+1)</f>
        <v/>
      </c>
      <c r="H10" s="106">
        <f>IF(H$11=0,0,INT((H$11-1)/3)+1)</f>
        <v/>
      </c>
      <c r="I10" s="106">
        <f>IF(I$11=0,0,INT((I$11-1)/3)+1)</f>
        <v/>
      </c>
      <c r="J10" s="106">
        <f>IF(J$11=0,0,INT((J$11-1)/3)+1)</f>
        <v/>
      </c>
      <c r="K10" s="106">
        <f>IF(K$11=0,0,INT((K$11-1)/3)+1)</f>
        <v/>
      </c>
      <c r="L10" s="106">
        <f>IF(L$11=0,0,INT((L$11-1)/3)+1)</f>
        <v/>
      </c>
      <c r="M10" s="106">
        <f>IF(M$11=0,0,INT((M$11-1)/3)+1)</f>
        <v/>
      </c>
      <c r="N10" s="106">
        <f>IF(N$11=0,0,INT((N$11-1)/3)+1)</f>
        <v/>
      </c>
      <c r="O10" s="106">
        <f>IF(O$11=0,0,INT((O$11-1)/3)+1)</f>
        <v/>
      </c>
      <c r="P10" s="106">
        <f>IF(P$11=0,0,INT((P$11-1)/3)+1)</f>
        <v/>
      </c>
      <c r="Q10" s="106">
        <f>IF(Q$11=0,0,INT((Q$11-1)/3)+1)</f>
        <v/>
      </c>
      <c r="R10" s="106">
        <f>IF(R$11=0,0,INT((R$11-1)/3)+1)</f>
        <v/>
      </c>
      <c r="S10" s="106">
        <f>IF(S$11=0,0,INT((S$11-1)/3)+1)</f>
        <v/>
      </c>
      <c r="T10" s="106">
        <f>IF(T$11=0,0,INT((T$11-1)/3)+1)</f>
        <v/>
      </c>
      <c r="U10" s="106">
        <f>IF(U$11=0,0,INT((U$11-1)/3)+1)</f>
        <v/>
      </c>
      <c r="V10" s="106">
        <f>IF(V$11=0,0,INT((V$11-1)/3)+1)</f>
        <v/>
      </c>
      <c r="W10" s="106">
        <f>IF(W$11=0,0,INT((W$11-1)/3)+1)</f>
        <v/>
      </c>
      <c r="X10" s="106">
        <f>IF(X$11=0,0,INT((X$11-1)/3)+1)</f>
        <v/>
      </c>
      <c r="Y10" s="106">
        <f>IF(Y$11=0,0,INT((Y$11-1)/3)+1)</f>
        <v/>
      </c>
      <c r="Z10" s="106">
        <f>IF(Z$11=0,0,INT((Z$11-1)/3)+1)</f>
        <v/>
      </c>
      <c r="AA10" s="106">
        <f>IF(AA$11=0,0,INT((AA$11-1)/3)+1)</f>
        <v/>
      </c>
      <c r="AB10" s="106">
        <f>IF(AB$11=0,0,INT((AB$11-1)/3)+1)</f>
        <v/>
      </c>
      <c r="AC10" s="106">
        <f>IF(AC$11=0,0,INT((AC$11-1)/3)+1)</f>
        <v/>
      </c>
      <c r="AD10" s="106">
        <f>IF(AD$11=0,0,INT((AD$11-1)/3)+1)</f>
        <v/>
      </c>
      <c r="AE10" s="106">
        <f>IF(AE$11=0,0,INT((AE$11-1)/3)+1)</f>
        <v/>
      </c>
      <c r="AF10" s="106">
        <f>IF(AF$11=0,0,INT((AF$11-1)/3)+1)</f>
        <v/>
      </c>
      <c r="AG10" s="106">
        <f>IF(AG$11=0,0,INT((AG$11-1)/3)+1)</f>
        <v/>
      </c>
      <c r="AH10" s="106">
        <f>IF(AH$11=0,0,INT((AH$11-1)/3)+1)</f>
        <v/>
      </c>
      <c r="AI10" s="106">
        <f>IF(AI$11=0,0,INT((AI$11-1)/3)+1)</f>
        <v/>
      </c>
      <c r="AJ10" s="106">
        <f>IF(AJ$11=0,0,INT((AJ$11-1)/3)+1)</f>
        <v/>
      </c>
      <c r="AK10" s="106">
        <f>IF(AK$11=0,0,INT((AK$11-1)/3)+1)</f>
        <v/>
      </c>
      <c r="AL10" s="106">
        <f>IF(AL$11=0,0,INT((AL$11-1)/3)+1)</f>
        <v/>
      </c>
      <c r="AM10" s="106">
        <f>IF(AM$11=0,0,INT((AM$11-1)/3)+1)</f>
        <v/>
      </c>
      <c r="AN10" s="106">
        <f>IF(AN$11=0,0,INT((AN$11-1)/3)+1)</f>
        <v/>
      </c>
      <c r="AO10" s="106">
        <f>IF(AO$11=0,0,INT((AO$11-1)/3)+1)</f>
        <v/>
      </c>
      <c r="AP10" s="106">
        <f>IF(AP$11=0,0,INT((AP$11-1)/3)+1)</f>
        <v/>
      </c>
      <c r="AQ10" s="106">
        <f>IF(AQ$11=0,0,INT((AQ$11-1)/3)+1)</f>
        <v/>
      </c>
      <c r="AR10" s="106">
        <f>IF(AR$11=0,0,INT((AR$11-1)/3)+1)</f>
        <v/>
      </c>
      <c r="AS10" s="106">
        <f>IF(AS$11=0,0,INT((AS$11-1)/3)+1)</f>
        <v/>
      </c>
      <c r="AT10" s="106">
        <f>IF(AT$11=0,0,INT((AT$11-1)/3)+1)</f>
        <v/>
      </c>
      <c r="AU10" s="106">
        <f>IF(AU$11=0,0,INT((AU$11-1)/3)+1)</f>
        <v/>
      </c>
      <c r="AV10" s="106">
        <f>IF(AV$11=0,0,INT((AV$11-1)/3)+1)</f>
        <v/>
      </c>
      <c r="AW10" s="106">
        <f>IF(AW$11=0,0,INT((AW$11-1)/3)+1)</f>
        <v/>
      </c>
      <c r="AX10" s="106">
        <f>IF(AX$11=0,0,INT((AX$11-1)/3)+1)</f>
        <v/>
      </c>
      <c r="AY10" s="106">
        <f>IF(AY$11=0,0,INT((AY$11-1)/3)+1)</f>
        <v/>
      </c>
      <c r="AZ10" s="106">
        <f>IF(AZ$11=0,0,INT((AZ$11-1)/3)+1)</f>
        <v/>
      </c>
      <c r="BA10" s="106">
        <f>IF(BA$11=0,0,INT((BA$11-1)/3)+1)</f>
        <v/>
      </c>
      <c r="BB10" s="106">
        <f>IF(BB$11=0,0,INT((BB$11-1)/3)+1)</f>
        <v/>
      </c>
      <c r="BC10" s="106">
        <f>IF(BC$11=0,0,INT((BC$11-1)/3)+1)</f>
        <v/>
      </c>
      <c r="BD10" s="106">
        <f>IF(BD$11=0,0,INT((BD$11-1)/3)+1)</f>
        <v/>
      </c>
      <c r="BE10" s="106">
        <f>IF(BE$11=0,0,INT((BE$11-1)/3)+1)</f>
        <v/>
      </c>
      <c r="BF10" s="106">
        <f>IF(BF$11=0,0,INT((BF$11-1)/3)+1)</f>
        <v/>
      </c>
      <c r="BG10" s="106">
        <f>IF(BG$11=0,0,INT((BG$11-1)/3)+1)</f>
        <v/>
      </c>
      <c r="BH10" s="106">
        <f>IF(BH$11=0,0,INT((BH$11-1)/3)+1)</f>
        <v/>
      </c>
      <c r="BI10" s="106">
        <f>IF(BI$11=0,0,INT((BI$11-1)/3)+1)</f>
        <v/>
      </c>
      <c r="BJ10" s="106">
        <f>IF(BJ$11=0,0,INT((BJ$11-1)/3)+1)</f>
        <v/>
      </c>
      <c r="BK10" s="106">
        <f>IF(BK$11=0,0,INT((BK$11-1)/3)+1)</f>
        <v/>
      </c>
      <c r="BL10" s="106">
        <f>IF(BL$11=0,0,INT((BL$11-1)/3)+1)</f>
        <v/>
      </c>
      <c r="BM10" s="106">
        <f>IF(BM$11=0,0,INT((BM$11-1)/3)+1)</f>
        <v/>
      </c>
      <c r="BN10" s="106">
        <f>IF(BN$11=0,0,INT((BN$11-1)/3)+1)</f>
        <v/>
      </c>
      <c r="BO10" s="106">
        <f>IF(BO$11=0,0,INT((BO$11-1)/3)+1)</f>
        <v/>
      </c>
      <c r="BP10" s="106">
        <f>IF(BP$11=0,0,INT((BP$11-1)/3)+1)</f>
        <v/>
      </c>
      <c r="BQ10" s="106">
        <f>IF(BQ$11=0,0,INT((BQ$11-1)/3)+1)</f>
        <v/>
      </c>
      <c r="BR10" s="106">
        <f>IF(BR$11=0,0,INT((BR$11-1)/3)+1)</f>
        <v/>
      </c>
      <c r="BS10" s="106">
        <f>IF(BS$11=0,0,INT((BS$11-1)/3)+1)</f>
        <v/>
      </c>
      <c r="BT10" s="106">
        <f>IF(BT$11=0,0,INT((BT$11-1)/3)+1)</f>
        <v/>
      </c>
      <c r="BU10" s="106">
        <f>IF(BU$11=0,0,INT((BU$11-1)/3)+1)</f>
        <v/>
      </c>
      <c r="BV10" s="106">
        <f>IF(BV$11=0,0,INT((BV$11-1)/3)+1)</f>
        <v/>
      </c>
      <c r="BW10" s="106">
        <f>IF(BW$11=0,0,INT((BW$11-1)/3)+1)</f>
        <v/>
      </c>
      <c r="BX10" s="106">
        <f>IF(BX$11=0,0,INT((BX$11-1)/3)+1)</f>
        <v/>
      </c>
      <c r="BY10" s="106">
        <f>IF(BY$11=0,0,INT((BY$11-1)/3)+1)</f>
        <v/>
      </c>
      <c r="BZ10" s="106">
        <f>IF(BZ$11=0,0,INT((BZ$11-1)/3)+1)</f>
        <v/>
      </c>
      <c r="CA10" s="106">
        <f>IF(CA$11=0,0,INT((CA$11-1)/3)+1)</f>
        <v/>
      </c>
      <c r="CB10" s="106">
        <f>IF(CB$11=0,0,INT((CB$11-1)/3)+1)</f>
        <v/>
      </c>
      <c r="CC10" s="106">
        <f>IF(CC$11=0,0,INT((CC$11-1)/3)+1)</f>
        <v/>
      </c>
      <c r="CD10" s="106">
        <f>IF(CD$11=0,0,INT((CD$11-1)/3)+1)</f>
        <v/>
      </c>
      <c r="CE10" s="106">
        <f>IF(CE$11=0,0,INT((CE$11-1)/3)+1)</f>
        <v/>
      </c>
      <c r="CF10" s="106">
        <f>IF(CF$11=0,0,INT((CF$11-1)/3)+1)</f>
        <v/>
      </c>
      <c r="CG10" s="106">
        <f>IF(CG$11=0,0,INT((CG$11-1)/3)+1)</f>
        <v/>
      </c>
      <c r="CH10" s="106">
        <f>IF(CH$11=0,0,INT((CH$11-1)/3)+1)</f>
        <v/>
      </c>
      <c r="CI10" s="106">
        <f>IF(CI$11=0,0,INT((CI$11-1)/3)+1)</f>
        <v/>
      </c>
      <c r="CJ10" s="106">
        <f>IF(CJ$11=0,0,INT((CJ$11-1)/3)+1)</f>
        <v/>
      </c>
      <c r="CK10" s="106">
        <f>IF(CK$11=0,0,INT((CK$11-1)/3)+1)</f>
        <v/>
      </c>
      <c r="CL10" s="106">
        <f>IF(CL$11=0,0,INT((CL$11-1)/3)+1)</f>
        <v/>
      </c>
      <c r="CM10" s="106">
        <f>IF(CM$11=0,0,INT((CM$11-1)/3)+1)</f>
        <v/>
      </c>
      <c r="CN10" s="106">
        <f>IF(CN$11=0,0,INT((CN$11-1)/3)+1)</f>
        <v/>
      </c>
      <c r="CO10" s="106">
        <f>IF(CO$11=0,0,INT((CO$11-1)/3)+1)</f>
        <v/>
      </c>
      <c r="CP10" s="106">
        <f>IF(CP$11=0,0,INT((CP$11-1)/3)+1)</f>
        <v/>
      </c>
      <c r="CQ10" s="106">
        <f>IF(CQ$11=0,0,INT((CQ$11-1)/3)+1)</f>
        <v/>
      </c>
      <c r="CR10" s="106">
        <f>IF(CR$11=0,0,INT((CR$11-1)/3)+1)</f>
        <v/>
      </c>
      <c r="CS10" s="106">
        <f>IF(CS$11=0,0,INT((CS$11-1)/3)+1)</f>
        <v/>
      </c>
      <c r="CT10" s="106">
        <f>IF(CT$11=0,0,INT((CT$11-1)/3)+1)</f>
        <v/>
      </c>
      <c r="CU10" s="106">
        <f>IF(CU$11=0,0,INT((CU$11-1)/3)+1)</f>
        <v/>
      </c>
      <c r="CV10" s="106">
        <f>IF(CV$11=0,0,INT((CV$11-1)/3)+1)</f>
        <v/>
      </c>
      <c r="CW10" s="106">
        <f>IF(CW$11=0,0,INT((CW$11-1)/3)+1)</f>
        <v/>
      </c>
      <c r="CX10" s="106">
        <f>IF(CX$11=0,0,INT((CX$11-1)/3)+1)</f>
        <v/>
      </c>
      <c r="CY10" s="106">
        <f>IF(CY$11=0,0,INT((CY$11-1)/3)+1)</f>
        <v/>
      </c>
      <c r="CZ10" s="106">
        <f>IF(CZ$11=0,0,INT((CZ$11-1)/3)+1)</f>
        <v/>
      </c>
      <c r="DA10" s="106">
        <f>IF(DA$11=0,0,INT((DA$11-1)/3)+1)</f>
        <v/>
      </c>
      <c r="DB10" s="106">
        <f>IF(DB$11=0,0,INT((DB$11-1)/3)+1)</f>
        <v/>
      </c>
      <c r="DC10" s="106">
        <f>IF(DC$11=0,0,INT((DC$11-1)/3)+1)</f>
        <v/>
      </c>
      <c r="DD10" s="106">
        <f>IF(DD$11=0,0,INT((DD$11-1)/3)+1)</f>
        <v/>
      </c>
      <c r="DE10" s="106">
        <f>IF(DE$11=0,0,INT((DE$11-1)/3)+1)</f>
        <v/>
      </c>
      <c r="DF10" s="106">
        <f>IF(DF$11=0,0,INT((DF$11-1)/3)+1)</f>
        <v/>
      </c>
      <c r="DG10" s="106">
        <f>IF(DG$11=0,0,INT((DG$11-1)/3)+1)</f>
        <v/>
      </c>
      <c r="DH10" s="106">
        <f>IF(DH$11=0,0,INT((DH$11-1)/3)+1)</f>
        <v/>
      </c>
      <c r="DI10" s="106">
        <f>IF(DI$11=0,0,INT((DI$11-1)/3)+1)</f>
        <v/>
      </c>
      <c r="DJ10" s="106">
        <f>IF(DJ$11=0,0,INT((DJ$11-1)/3)+1)</f>
        <v/>
      </c>
      <c r="DK10" s="106">
        <f>IF(DK$11=0,0,INT((DK$11-1)/3)+1)</f>
        <v/>
      </c>
      <c r="DL10" s="106">
        <f>IF(DL$11=0,0,INT((DL$11-1)/3)+1)</f>
        <v/>
      </c>
      <c r="DM10" s="106">
        <f>IF(DM$11=0,0,INT((DM$11-1)/3)+1)</f>
        <v/>
      </c>
      <c r="DN10" s="106">
        <f>IF(DN$11=0,0,INT((DN$11-1)/3)+1)</f>
        <v/>
      </c>
      <c r="DO10" s="106">
        <f>IF(DO$11=0,0,INT((DO$11-1)/3)+1)</f>
        <v/>
      </c>
      <c r="DP10" s="106">
        <f>IF(DP$11=0,0,INT((DP$11-1)/3)+1)</f>
        <v/>
      </c>
      <c r="DQ10" s="106">
        <f>IF(DQ$11=0,0,INT((DQ$11-1)/3)+1)</f>
        <v/>
      </c>
      <c r="DR10" s="106">
        <f>IF(DR$11=0,0,INT((DR$11-1)/3)+1)</f>
        <v/>
      </c>
      <c r="DS10" s="106">
        <f>IF(DS$11=0,0,INT((DS$11-1)/3)+1)</f>
        <v/>
      </c>
      <c r="DT10" s="106">
        <f>IF(DT$11=0,0,INT((DT$11-1)/3)+1)</f>
        <v/>
      </c>
    </row>
    <row r="11" ht="15" customHeight="1" s="148">
      <c r="B11" s="104" t="inlineStr">
        <is>
          <t>Month</t>
        </is>
      </c>
      <c r="C11" s="105" t="n"/>
      <c r="D11" s="106" t="n">
        <v>0</v>
      </c>
      <c r="E11" s="106" t="n">
        <v>1</v>
      </c>
      <c r="F11" s="106" t="n">
        <v>2</v>
      </c>
      <c r="G11" s="106" t="n">
        <v>3</v>
      </c>
      <c r="H11" s="106" t="n">
        <v>4</v>
      </c>
      <c r="I11" s="106" t="n">
        <v>5</v>
      </c>
      <c r="J11" s="106" t="n">
        <v>6</v>
      </c>
      <c r="K11" s="106" t="n">
        <v>7</v>
      </c>
      <c r="L11" s="106" t="n">
        <v>8</v>
      </c>
      <c r="M11" s="106" t="n">
        <v>9</v>
      </c>
      <c r="N11" s="106" t="n">
        <v>10</v>
      </c>
      <c r="O11" s="106" t="n">
        <v>11</v>
      </c>
      <c r="P11" s="106" t="n">
        <v>12</v>
      </c>
      <c r="Q11" s="106" t="n">
        <v>13</v>
      </c>
      <c r="R11" s="106" t="n">
        <v>14</v>
      </c>
      <c r="S11" s="106" t="n">
        <v>15</v>
      </c>
      <c r="T11" s="106" t="n">
        <v>16</v>
      </c>
      <c r="U11" s="106" t="n">
        <v>17</v>
      </c>
      <c r="V11" s="106" t="n">
        <v>18</v>
      </c>
      <c r="W11" s="106" t="n">
        <v>19</v>
      </c>
      <c r="X11" s="106" t="n">
        <v>20</v>
      </c>
      <c r="Y11" s="106" t="n">
        <v>21</v>
      </c>
      <c r="Z11" s="106" t="n">
        <v>22</v>
      </c>
      <c r="AA11" s="106" t="n">
        <v>23</v>
      </c>
      <c r="AB11" s="106" t="n">
        <v>24</v>
      </c>
      <c r="AC11" s="106" t="n">
        <v>25</v>
      </c>
      <c r="AD11" s="106" t="n">
        <v>26</v>
      </c>
      <c r="AE11" s="106" t="n">
        <v>27</v>
      </c>
      <c r="AF11" s="106" t="n">
        <v>28</v>
      </c>
      <c r="AG11" s="106" t="n">
        <v>29</v>
      </c>
      <c r="AH11" s="106" t="n">
        <v>30</v>
      </c>
      <c r="AI11" s="106" t="n">
        <v>31</v>
      </c>
      <c r="AJ11" s="106" t="n">
        <v>32</v>
      </c>
      <c r="AK11" s="106" t="n">
        <v>33</v>
      </c>
      <c r="AL11" s="106" t="n">
        <v>34</v>
      </c>
      <c r="AM11" s="106" t="n">
        <v>35</v>
      </c>
      <c r="AN11" s="106" t="n">
        <v>36</v>
      </c>
      <c r="AO11" s="106" t="n">
        <v>37</v>
      </c>
      <c r="AP11" s="106" t="n">
        <v>38</v>
      </c>
      <c r="AQ11" s="106" t="n">
        <v>39</v>
      </c>
      <c r="AR11" s="106" t="n">
        <v>40</v>
      </c>
      <c r="AS11" s="106" t="n">
        <v>41</v>
      </c>
      <c r="AT11" s="106" t="n">
        <v>42</v>
      </c>
      <c r="AU11" s="106" t="n">
        <v>43</v>
      </c>
      <c r="AV11" s="106" t="n">
        <v>44</v>
      </c>
      <c r="AW11" s="106" t="n">
        <v>45</v>
      </c>
      <c r="AX11" s="106" t="n">
        <v>46</v>
      </c>
      <c r="AY11" s="106" t="n">
        <v>47</v>
      </c>
      <c r="AZ11" s="106" t="n">
        <v>48</v>
      </c>
      <c r="BA11" s="106" t="n">
        <v>49</v>
      </c>
      <c r="BB11" s="106" t="n">
        <v>50</v>
      </c>
      <c r="BC11" s="106" t="n">
        <v>51</v>
      </c>
      <c r="BD11" s="106" t="n">
        <v>52</v>
      </c>
      <c r="BE11" s="106" t="n">
        <v>53</v>
      </c>
      <c r="BF11" s="106" t="n">
        <v>54</v>
      </c>
      <c r="BG11" s="106" t="n">
        <v>55</v>
      </c>
      <c r="BH11" s="106" t="n">
        <v>56</v>
      </c>
      <c r="BI11" s="106" t="n">
        <v>57</v>
      </c>
      <c r="BJ11" s="106" t="n">
        <v>58</v>
      </c>
      <c r="BK11" s="106" t="n">
        <v>59</v>
      </c>
      <c r="BL11" s="106" t="n">
        <v>60</v>
      </c>
      <c r="BM11" s="106" t="n">
        <v>61</v>
      </c>
      <c r="BN11" s="106" t="n">
        <v>62</v>
      </c>
      <c r="BO11" s="106" t="n">
        <v>63</v>
      </c>
      <c r="BP11" s="106" t="n">
        <v>64</v>
      </c>
      <c r="BQ11" s="106" t="n">
        <v>65</v>
      </c>
      <c r="BR11" s="106" t="n">
        <v>66</v>
      </c>
      <c r="BS11" s="106" t="n">
        <v>67</v>
      </c>
      <c r="BT11" s="106" t="n">
        <v>68</v>
      </c>
      <c r="BU11" s="106" t="n">
        <v>69</v>
      </c>
      <c r="BV11" s="106" t="n">
        <v>70</v>
      </c>
      <c r="BW11" s="106" t="n">
        <v>71</v>
      </c>
      <c r="BX11" s="106" t="n">
        <v>72</v>
      </c>
      <c r="BY11" s="106" t="n">
        <v>73</v>
      </c>
      <c r="BZ11" s="106" t="n">
        <v>74</v>
      </c>
      <c r="CA11" s="106" t="n">
        <v>75</v>
      </c>
      <c r="CB11" s="106" t="n">
        <v>76</v>
      </c>
      <c r="CC11" s="106" t="n">
        <v>77</v>
      </c>
      <c r="CD11" s="106" t="n">
        <v>78</v>
      </c>
      <c r="CE11" s="106" t="n">
        <v>79</v>
      </c>
      <c r="CF11" s="106" t="n">
        <v>80</v>
      </c>
      <c r="CG11" s="106" t="n">
        <v>81</v>
      </c>
      <c r="CH11" s="106" t="n">
        <v>82</v>
      </c>
      <c r="CI11" s="106" t="n">
        <v>83</v>
      </c>
      <c r="CJ11" s="106" t="n">
        <v>84</v>
      </c>
      <c r="CK11" s="106" t="n">
        <v>85</v>
      </c>
      <c r="CL11" s="106" t="n">
        <v>86</v>
      </c>
      <c r="CM11" s="106" t="n">
        <v>87</v>
      </c>
      <c r="CN11" s="106" t="n">
        <v>88</v>
      </c>
      <c r="CO11" s="106" t="n">
        <v>89</v>
      </c>
      <c r="CP11" s="106" t="n">
        <v>90</v>
      </c>
      <c r="CQ11" s="106" t="n">
        <v>91</v>
      </c>
      <c r="CR11" s="106" t="n">
        <v>92</v>
      </c>
      <c r="CS11" s="106" t="n">
        <v>93</v>
      </c>
      <c r="CT11" s="106" t="n">
        <v>94</v>
      </c>
      <c r="CU11" s="106" t="n">
        <v>95</v>
      </c>
      <c r="CV11" s="106" t="n">
        <v>96</v>
      </c>
      <c r="CW11" s="106" t="n">
        <v>97</v>
      </c>
      <c r="CX11" s="106" t="n">
        <v>98</v>
      </c>
      <c r="CY11" s="106" t="n">
        <v>99</v>
      </c>
      <c r="CZ11" s="106" t="n">
        <v>100</v>
      </c>
      <c r="DA11" s="106" t="n">
        <v>101</v>
      </c>
      <c r="DB11" s="106" t="n">
        <v>102</v>
      </c>
      <c r="DC11" s="106" t="n">
        <v>103</v>
      </c>
      <c r="DD11" s="106" t="n">
        <v>104</v>
      </c>
      <c r="DE11" s="106" t="n">
        <v>105</v>
      </c>
      <c r="DF11" s="106" t="n">
        <v>106</v>
      </c>
      <c r="DG11" s="106" t="n">
        <v>107</v>
      </c>
      <c r="DH11" s="106" t="n">
        <v>108</v>
      </c>
      <c r="DI11" s="106" t="n">
        <v>109</v>
      </c>
      <c r="DJ11" s="106" t="n">
        <v>110</v>
      </c>
      <c r="DK11" s="106" t="n">
        <v>111</v>
      </c>
      <c r="DL11" s="106" t="n">
        <v>112</v>
      </c>
      <c r="DM11" s="106" t="n">
        <v>113</v>
      </c>
      <c r="DN11" s="106" t="n">
        <v>114</v>
      </c>
      <c r="DO11" s="106" t="n">
        <v>115</v>
      </c>
      <c r="DP11" s="106" t="n">
        <v>116</v>
      </c>
      <c r="DQ11" s="106" t="n">
        <v>117</v>
      </c>
      <c r="DR11" s="106" t="n">
        <v>118</v>
      </c>
      <c r="DS11" s="106" t="n">
        <v>119</v>
      </c>
      <c r="DT11" s="106" t="n">
        <v>120</v>
      </c>
    </row>
    <row r="12" ht="18" customHeight="1" s="148">
      <c r="A12" s="107" t="inlineStr">
        <is>
          <t>Date</t>
        </is>
      </c>
      <c r="C12" s="108" t="inlineStr">
        <is>
          <t>TOTAL</t>
        </is>
      </c>
      <c r="D12" s="109">
        <f>EDATE(Assumptions!$F$11,0)</f>
        <v/>
      </c>
      <c r="E12" s="109">
        <f>EDATE(Assumptions!$F$11,1)</f>
        <v/>
      </c>
      <c r="F12" s="109">
        <f>EDATE(Assumptions!$F$11,2)</f>
        <v/>
      </c>
      <c r="G12" s="109">
        <f>EDATE(Assumptions!$F$11,3)</f>
        <v/>
      </c>
      <c r="H12" s="109">
        <f>EDATE(Assumptions!$F$11,4)</f>
        <v/>
      </c>
      <c r="I12" s="109">
        <f>EDATE(Assumptions!$F$11,5)</f>
        <v/>
      </c>
      <c r="J12" s="109">
        <f>EDATE(Assumptions!$F$11,6)</f>
        <v/>
      </c>
      <c r="K12" s="109">
        <f>EDATE(Assumptions!$F$11,7)</f>
        <v/>
      </c>
      <c r="L12" s="109">
        <f>EDATE(Assumptions!$F$11,8)</f>
        <v/>
      </c>
      <c r="M12" s="109">
        <f>EDATE(Assumptions!$F$11,9)</f>
        <v/>
      </c>
      <c r="N12" s="109">
        <f>EDATE(Assumptions!$F$11,10)</f>
        <v/>
      </c>
      <c r="O12" s="109">
        <f>EDATE(Assumptions!$F$11,11)</f>
        <v/>
      </c>
      <c r="P12" s="109">
        <f>EDATE(Assumptions!$F$11,12)</f>
        <v/>
      </c>
      <c r="Q12" s="109">
        <f>EDATE(Assumptions!$F$11,13)</f>
        <v/>
      </c>
      <c r="R12" s="109">
        <f>EDATE(Assumptions!$F$11,14)</f>
        <v/>
      </c>
      <c r="S12" s="109">
        <f>EDATE(Assumptions!$F$11,15)</f>
        <v/>
      </c>
      <c r="T12" s="109">
        <f>EDATE(Assumptions!$F$11,16)</f>
        <v/>
      </c>
      <c r="U12" s="109">
        <f>EDATE(Assumptions!$F$11,17)</f>
        <v/>
      </c>
      <c r="V12" s="109">
        <f>EDATE(Assumptions!$F$11,18)</f>
        <v/>
      </c>
      <c r="W12" s="109">
        <f>EDATE(Assumptions!$F$11,19)</f>
        <v/>
      </c>
      <c r="X12" s="109">
        <f>EDATE(Assumptions!$F$11,20)</f>
        <v/>
      </c>
      <c r="Y12" s="109">
        <f>EDATE(Assumptions!$F$11,21)</f>
        <v/>
      </c>
      <c r="Z12" s="109">
        <f>EDATE(Assumptions!$F$11,22)</f>
        <v/>
      </c>
      <c r="AA12" s="109">
        <f>EDATE(Assumptions!$F$11,23)</f>
        <v/>
      </c>
      <c r="AB12" s="109">
        <f>EDATE(Assumptions!$F$11,24)</f>
        <v/>
      </c>
      <c r="AC12" s="109">
        <f>EDATE(Assumptions!$F$11,25)</f>
        <v/>
      </c>
      <c r="AD12" s="109">
        <f>EDATE(Assumptions!$F$11,26)</f>
        <v/>
      </c>
      <c r="AE12" s="109">
        <f>EDATE(Assumptions!$F$11,27)</f>
        <v/>
      </c>
      <c r="AF12" s="109">
        <f>EDATE(Assumptions!$F$11,28)</f>
        <v/>
      </c>
      <c r="AG12" s="109">
        <f>EDATE(Assumptions!$F$11,29)</f>
        <v/>
      </c>
      <c r="AH12" s="109">
        <f>EDATE(Assumptions!$F$11,30)</f>
        <v/>
      </c>
      <c r="AI12" s="109">
        <f>EDATE(Assumptions!$F$11,31)</f>
        <v/>
      </c>
      <c r="AJ12" s="109">
        <f>EDATE(Assumptions!$F$11,32)</f>
        <v/>
      </c>
      <c r="AK12" s="109">
        <f>EDATE(Assumptions!$F$11,33)</f>
        <v/>
      </c>
      <c r="AL12" s="109">
        <f>EDATE(Assumptions!$F$11,34)</f>
        <v/>
      </c>
      <c r="AM12" s="109">
        <f>EDATE(Assumptions!$F$11,35)</f>
        <v/>
      </c>
      <c r="AN12" s="109">
        <f>EDATE(Assumptions!$F$11,36)</f>
        <v/>
      </c>
      <c r="AO12" s="109">
        <f>EDATE(Assumptions!$F$11,37)</f>
        <v/>
      </c>
      <c r="AP12" s="109">
        <f>EDATE(Assumptions!$F$11,38)</f>
        <v/>
      </c>
      <c r="AQ12" s="109">
        <f>EDATE(Assumptions!$F$11,39)</f>
        <v/>
      </c>
      <c r="AR12" s="109">
        <f>EDATE(Assumptions!$F$11,40)</f>
        <v/>
      </c>
      <c r="AS12" s="109">
        <f>EDATE(Assumptions!$F$11,41)</f>
        <v/>
      </c>
      <c r="AT12" s="109">
        <f>EDATE(Assumptions!$F$11,42)</f>
        <v/>
      </c>
      <c r="AU12" s="109">
        <f>EDATE(Assumptions!$F$11,43)</f>
        <v/>
      </c>
      <c r="AV12" s="109">
        <f>EDATE(Assumptions!$F$11,44)</f>
        <v/>
      </c>
      <c r="AW12" s="109">
        <f>EDATE(Assumptions!$F$11,45)</f>
        <v/>
      </c>
      <c r="AX12" s="109">
        <f>EDATE(Assumptions!$F$11,46)</f>
        <v/>
      </c>
      <c r="AY12" s="109">
        <f>EDATE(Assumptions!$F$11,47)</f>
        <v/>
      </c>
      <c r="AZ12" s="109">
        <f>EDATE(Assumptions!$F$11,48)</f>
        <v/>
      </c>
      <c r="BA12" s="109">
        <f>EDATE(Assumptions!$F$11,49)</f>
        <v/>
      </c>
      <c r="BB12" s="109">
        <f>EDATE(Assumptions!$F$11,50)</f>
        <v/>
      </c>
      <c r="BC12" s="109">
        <f>EDATE(Assumptions!$F$11,51)</f>
        <v/>
      </c>
      <c r="BD12" s="109">
        <f>EDATE(Assumptions!$F$11,52)</f>
        <v/>
      </c>
      <c r="BE12" s="109">
        <f>EDATE(Assumptions!$F$11,53)</f>
        <v/>
      </c>
      <c r="BF12" s="109">
        <f>EDATE(Assumptions!$F$11,54)</f>
        <v/>
      </c>
      <c r="BG12" s="109">
        <f>EDATE(Assumptions!$F$11,55)</f>
        <v/>
      </c>
      <c r="BH12" s="109">
        <f>EDATE(Assumptions!$F$11,56)</f>
        <v/>
      </c>
      <c r="BI12" s="109">
        <f>EDATE(Assumptions!$F$11,57)</f>
        <v/>
      </c>
      <c r="BJ12" s="109">
        <f>EDATE(Assumptions!$F$11,58)</f>
        <v/>
      </c>
      <c r="BK12" s="109">
        <f>EDATE(Assumptions!$F$11,59)</f>
        <v/>
      </c>
      <c r="BL12" s="109">
        <f>EDATE(Assumptions!$F$11,60)</f>
        <v/>
      </c>
      <c r="BM12" s="109">
        <f>EDATE(Assumptions!$F$11,61)</f>
        <v/>
      </c>
      <c r="BN12" s="109">
        <f>EDATE(Assumptions!$F$11,62)</f>
        <v/>
      </c>
      <c r="BO12" s="109">
        <f>EDATE(Assumptions!$F$11,63)</f>
        <v/>
      </c>
      <c r="BP12" s="109">
        <f>EDATE(Assumptions!$F$11,64)</f>
        <v/>
      </c>
      <c r="BQ12" s="109">
        <f>EDATE(Assumptions!$F$11,65)</f>
        <v/>
      </c>
      <c r="BR12" s="109">
        <f>EDATE(Assumptions!$F$11,66)</f>
        <v/>
      </c>
      <c r="BS12" s="109">
        <f>EDATE(Assumptions!$F$11,67)</f>
        <v/>
      </c>
      <c r="BT12" s="109">
        <f>EDATE(Assumptions!$F$11,68)</f>
        <v/>
      </c>
      <c r="BU12" s="109">
        <f>EDATE(Assumptions!$F$11,69)</f>
        <v/>
      </c>
      <c r="BV12" s="109">
        <f>EDATE(Assumptions!$F$11,70)</f>
        <v/>
      </c>
      <c r="BW12" s="109">
        <f>EDATE(Assumptions!$F$11,71)</f>
        <v/>
      </c>
      <c r="BX12" s="109">
        <f>EDATE(Assumptions!$F$11,72)</f>
        <v/>
      </c>
      <c r="BY12" s="109">
        <f>EDATE(Assumptions!$F$11,73)</f>
        <v/>
      </c>
      <c r="BZ12" s="109">
        <f>EDATE(Assumptions!$F$11,74)</f>
        <v/>
      </c>
      <c r="CA12" s="109">
        <f>EDATE(Assumptions!$F$11,75)</f>
        <v/>
      </c>
      <c r="CB12" s="109">
        <f>EDATE(Assumptions!$F$11,76)</f>
        <v/>
      </c>
      <c r="CC12" s="109">
        <f>EDATE(Assumptions!$F$11,77)</f>
        <v/>
      </c>
      <c r="CD12" s="109">
        <f>EDATE(Assumptions!$F$11,78)</f>
        <v/>
      </c>
      <c r="CE12" s="109">
        <f>EDATE(Assumptions!$F$11,79)</f>
        <v/>
      </c>
      <c r="CF12" s="109">
        <f>EDATE(Assumptions!$F$11,80)</f>
        <v/>
      </c>
      <c r="CG12" s="109">
        <f>EDATE(Assumptions!$F$11,81)</f>
        <v/>
      </c>
      <c r="CH12" s="109">
        <f>EDATE(Assumptions!$F$11,82)</f>
        <v/>
      </c>
      <c r="CI12" s="109">
        <f>EDATE(Assumptions!$F$11,83)</f>
        <v/>
      </c>
      <c r="CJ12" s="109">
        <f>EDATE(Assumptions!$F$11,84)</f>
        <v/>
      </c>
      <c r="CK12" s="109">
        <f>EDATE(Assumptions!$F$11,85)</f>
        <v/>
      </c>
      <c r="CL12" s="109">
        <f>EDATE(Assumptions!$F$11,86)</f>
        <v/>
      </c>
      <c r="CM12" s="109">
        <f>EDATE(Assumptions!$F$11,87)</f>
        <v/>
      </c>
      <c r="CN12" s="109">
        <f>EDATE(Assumptions!$F$11,88)</f>
        <v/>
      </c>
      <c r="CO12" s="109">
        <f>EDATE(Assumptions!$F$11,89)</f>
        <v/>
      </c>
      <c r="CP12" s="109">
        <f>EDATE(Assumptions!$F$11,90)</f>
        <v/>
      </c>
      <c r="CQ12" s="109">
        <f>EDATE(Assumptions!$F$11,91)</f>
        <v/>
      </c>
      <c r="CR12" s="109">
        <f>EDATE(Assumptions!$F$11,92)</f>
        <v/>
      </c>
      <c r="CS12" s="109">
        <f>EDATE(Assumptions!$F$11,93)</f>
        <v/>
      </c>
      <c r="CT12" s="109">
        <f>EDATE(Assumptions!$F$11,94)</f>
        <v/>
      </c>
      <c r="CU12" s="109">
        <f>EDATE(Assumptions!$F$11,95)</f>
        <v/>
      </c>
      <c r="CV12" s="109">
        <f>EDATE(Assumptions!$F$11,96)</f>
        <v/>
      </c>
      <c r="CW12" s="109">
        <f>EDATE(Assumptions!$F$11,97)</f>
        <v/>
      </c>
      <c r="CX12" s="109">
        <f>EDATE(Assumptions!$F$11,98)</f>
        <v/>
      </c>
      <c r="CY12" s="109">
        <f>EDATE(Assumptions!$F$11,99)</f>
        <v/>
      </c>
      <c r="CZ12" s="109">
        <f>EDATE(Assumptions!$F$11,100)</f>
        <v/>
      </c>
      <c r="DA12" s="109">
        <f>EDATE(Assumptions!$F$11,101)</f>
        <v/>
      </c>
      <c r="DB12" s="109">
        <f>EDATE(Assumptions!$F$11,102)</f>
        <v/>
      </c>
      <c r="DC12" s="109">
        <f>EDATE(Assumptions!$F$11,103)</f>
        <v/>
      </c>
      <c r="DD12" s="109">
        <f>EDATE(Assumptions!$F$11,104)</f>
        <v/>
      </c>
      <c r="DE12" s="109">
        <f>EDATE(Assumptions!$F$11,105)</f>
        <v/>
      </c>
      <c r="DF12" s="109">
        <f>EDATE(Assumptions!$F$11,106)</f>
        <v/>
      </c>
      <c r="DG12" s="109">
        <f>EDATE(Assumptions!$F$11,107)</f>
        <v/>
      </c>
      <c r="DH12" s="109">
        <f>EDATE(Assumptions!$F$11,108)</f>
        <v/>
      </c>
      <c r="DI12" s="109">
        <f>EDATE(Assumptions!$F$11,109)</f>
        <v/>
      </c>
      <c r="DJ12" s="109">
        <f>EDATE(Assumptions!$F$11,110)</f>
        <v/>
      </c>
      <c r="DK12" s="109">
        <f>EDATE(Assumptions!$F$11,111)</f>
        <v/>
      </c>
      <c r="DL12" s="109">
        <f>EDATE(Assumptions!$F$11,112)</f>
        <v/>
      </c>
      <c r="DM12" s="109">
        <f>EDATE(Assumptions!$F$11,113)</f>
        <v/>
      </c>
      <c r="DN12" s="109">
        <f>EDATE(Assumptions!$F$11,114)</f>
        <v/>
      </c>
      <c r="DO12" s="109">
        <f>EDATE(Assumptions!$F$11,115)</f>
        <v/>
      </c>
      <c r="DP12" s="109">
        <f>EDATE(Assumptions!$F$11,116)</f>
        <v/>
      </c>
      <c r="DQ12" s="109">
        <f>EDATE(Assumptions!$F$11,117)</f>
        <v/>
      </c>
      <c r="DR12" s="109">
        <f>EDATE(Assumptions!$F$11,118)</f>
        <v/>
      </c>
      <c r="DS12" s="109">
        <f>EDATE(Assumptions!$F$11,119)</f>
        <v/>
      </c>
      <c r="DT12" s="109">
        <f>EDATE(Assumptions!$F$11,120)</f>
        <v/>
      </c>
    </row>
    <row r="14" ht="15" customHeight="1" s="148">
      <c r="A14" s="110" t="inlineStr">
        <is>
          <t>General Property Information:</t>
        </is>
      </c>
      <c r="C14" s="111">
        <f>SUM(D14:DT14)</f>
        <v/>
      </c>
      <c r="D14" s="111" t="n"/>
      <c r="E14" s="111" t="n"/>
      <c r="F14" s="111" t="n"/>
      <c r="G14" s="111" t="n"/>
      <c r="H14" s="111" t="n"/>
      <c r="I14" s="111" t="n"/>
      <c r="J14" s="111" t="n"/>
      <c r="K14" s="111" t="n"/>
      <c r="L14" s="111" t="n"/>
      <c r="M14" s="111" t="n"/>
      <c r="N14" s="111" t="n"/>
      <c r="O14" s="111" t="n"/>
      <c r="P14" s="111" t="n"/>
      <c r="Q14" s="111" t="n"/>
      <c r="R14" s="111" t="n"/>
      <c r="S14" s="111" t="n"/>
      <c r="T14" s="111" t="n"/>
      <c r="U14" s="111" t="n"/>
      <c r="V14" s="111" t="n"/>
      <c r="W14" s="111" t="n"/>
      <c r="X14" s="111" t="n"/>
      <c r="Y14" s="111" t="n"/>
      <c r="Z14" s="111" t="n"/>
      <c r="AA14" s="111" t="n"/>
      <c r="AB14" s="111" t="n"/>
      <c r="AC14" s="111" t="n"/>
      <c r="AD14" s="111" t="n"/>
      <c r="AE14" s="111" t="n"/>
      <c r="AF14" s="111" t="n"/>
      <c r="AG14" s="111" t="n"/>
      <c r="AH14" s="111" t="n"/>
      <c r="AI14" s="111" t="n"/>
      <c r="AJ14" s="111" t="n"/>
      <c r="AK14" s="111" t="n"/>
      <c r="AL14" s="111" t="n"/>
      <c r="AM14" s="111" t="n"/>
      <c r="AN14" s="111" t="n"/>
      <c r="AO14" s="111" t="n"/>
      <c r="AP14" s="111" t="n"/>
      <c r="AQ14" s="111" t="n"/>
      <c r="AR14" s="111" t="n"/>
      <c r="AS14" s="111" t="n"/>
      <c r="AT14" s="111" t="n"/>
      <c r="AU14" s="111" t="n"/>
      <c r="AV14" s="111" t="n"/>
      <c r="AW14" s="111" t="n"/>
      <c r="AX14" s="111" t="n"/>
      <c r="AY14" s="111" t="n"/>
      <c r="AZ14" s="111" t="n"/>
      <c r="BA14" s="111" t="n"/>
      <c r="BB14" s="111" t="n"/>
      <c r="BC14" s="111" t="n"/>
      <c r="BD14" s="111" t="n"/>
      <c r="BE14" s="111" t="n"/>
      <c r="BF14" s="111" t="n"/>
      <c r="BG14" s="111" t="n"/>
      <c r="BH14" s="111" t="n"/>
      <c r="BI14" s="111" t="n"/>
      <c r="BJ14" s="111" t="n"/>
      <c r="BK14" s="111" t="n"/>
      <c r="BL14" s="111" t="n"/>
      <c r="BM14" s="111" t="n"/>
      <c r="BN14" s="111" t="n"/>
      <c r="BO14" s="111" t="n"/>
      <c r="BP14" s="111" t="n"/>
      <c r="BQ14" s="111" t="n"/>
      <c r="BR14" s="111" t="n"/>
      <c r="BS14" s="111" t="n"/>
      <c r="BT14" s="111" t="n"/>
      <c r="BU14" s="111" t="n"/>
      <c r="BV14" s="111" t="n"/>
      <c r="BW14" s="111" t="n"/>
      <c r="BX14" s="111" t="n"/>
      <c r="BY14" s="111" t="n"/>
      <c r="BZ14" s="111" t="n"/>
      <c r="CA14" s="111" t="n"/>
      <c r="CB14" s="111" t="n"/>
      <c r="CC14" s="111" t="n"/>
      <c r="CD14" s="111" t="n"/>
      <c r="CE14" s="111" t="n"/>
      <c r="CF14" s="111" t="n"/>
      <c r="CG14" s="111" t="n"/>
      <c r="CH14" s="111" t="n"/>
      <c r="CI14" s="111" t="n"/>
      <c r="CJ14" s="111" t="n"/>
      <c r="CK14" s="111" t="n"/>
      <c r="CL14" s="111" t="n"/>
      <c r="CM14" s="111" t="n"/>
      <c r="CN14" s="111" t="n"/>
      <c r="CO14" s="111" t="n"/>
      <c r="CP14" s="111" t="n"/>
      <c r="CQ14" s="111" t="n"/>
      <c r="CR14" s="111" t="n"/>
      <c r="CS14" s="111" t="n"/>
      <c r="CT14" s="111" t="n"/>
      <c r="CU14" s="111" t="n"/>
      <c r="CV14" s="111" t="n"/>
      <c r="CW14" s="111" t="n"/>
      <c r="CX14" s="111" t="n"/>
      <c r="CY14" s="111" t="n"/>
      <c r="CZ14" s="111" t="n"/>
      <c r="DA14" s="111" t="n"/>
      <c r="DB14" s="111" t="n"/>
      <c r="DC14" s="111" t="n"/>
      <c r="DD14" s="111" t="n"/>
      <c r="DE14" s="111" t="n"/>
      <c r="DF14" s="111" t="n"/>
      <c r="DG14" s="111" t="n"/>
      <c r="DH14" s="111" t="n"/>
      <c r="DI14" s="111" t="n"/>
      <c r="DJ14" s="111" t="n"/>
      <c r="DK14" s="111" t="n"/>
      <c r="DL14" s="111" t="n"/>
      <c r="DM14" s="111" t="n"/>
      <c r="DN14" s="111" t="n"/>
      <c r="DO14" s="111" t="n"/>
      <c r="DP14" s="111" t="n"/>
      <c r="DQ14" s="111" t="n"/>
      <c r="DR14" s="111" t="n"/>
      <c r="DS14" s="111" t="n"/>
      <c r="DT14" s="111" t="n"/>
    </row>
    <row r="15" ht="15" customHeight="1" s="148">
      <c r="A15" s="112" t="inlineStr">
        <is>
          <t>Total Occupied SF</t>
        </is>
      </c>
      <c r="C15" s="111">
        <f>SUM(D15:DT15)</f>
        <v/>
      </c>
      <c r="D15" s="111">
        <f>SUM(D155,D157,D159,D161,D163)+SUM(D165,D167,D169,D171,D173)</f>
        <v/>
      </c>
      <c r="E15" s="111">
        <f>SUM(E155,E157,E159,E161,E163)+SUM(E165,E167,E169,E171,E173)</f>
        <v/>
      </c>
      <c r="F15" s="111">
        <f>SUM(F155,F157,F159,F161,F163)+SUM(F165,F167,F169,F171,F173)</f>
        <v/>
      </c>
      <c r="G15" s="111">
        <f>SUM(G155,G157,G159,G161,G163)+SUM(G165,G167,G169,G171,G173)</f>
        <v/>
      </c>
      <c r="H15" s="111">
        <f>SUM(H155,H157,H159,H161,H163)+SUM(H165,H167,H169,H171,H173)</f>
        <v/>
      </c>
      <c r="I15" s="111">
        <f>SUM(I155,I157,I159,I161,I163)+SUM(I165,I167,I169,I171,I173)</f>
        <v/>
      </c>
      <c r="J15" s="111">
        <f>SUM(J155,J157,J159,J161,J163)+SUM(J165,J167,J169,J171,J173)</f>
        <v/>
      </c>
      <c r="K15" s="111">
        <f>SUM(K155,K157,K159,K161,K163)+SUM(K165,K167,K169,K171,K173)</f>
        <v/>
      </c>
      <c r="L15" s="111">
        <f>SUM(L155,L157,L159,L161,L163)+SUM(L165,L167,L169,L171,L173)</f>
        <v/>
      </c>
      <c r="M15" s="111">
        <f>SUM(M155,M157,M159,M161,M163)+SUM(M165,M167,M169,M171,M173)</f>
        <v/>
      </c>
      <c r="N15" s="111">
        <f>SUM(N155,N157,N159,N161,N163)+SUM(N165,N167,N169,N171,N173)</f>
        <v/>
      </c>
      <c r="O15" s="111">
        <f>SUM(O155,O157,O159,O161,O163)+SUM(O165,O167,O169,O171,O173)</f>
        <v/>
      </c>
      <c r="P15" s="111">
        <f>SUM(P155,P157,P159,P161,P163)+SUM(P165,P167,P169,P171,P173)</f>
        <v/>
      </c>
      <c r="Q15" s="111">
        <f>SUM(Q155,Q157,Q159,Q161,Q163)+SUM(Q165,Q167,Q169,Q171,Q173)</f>
        <v/>
      </c>
      <c r="R15" s="111">
        <f>SUM(R155,R157,R159,R161,R163)+SUM(R165,R167,R169,R171,R173)</f>
        <v/>
      </c>
      <c r="S15" s="111">
        <f>SUM(S155,S157,S159,S161,S163)+SUM(S165,S167,S169,S171,S173)</f>
        <v/>
      </c>
      <c r="T15" s="111">
        <f>SUM(T155,T157,T159,T161,T163)+SUM(T165,T167,T169,T171,T173)</f>
        <v/>
      </c>
      <c r="U15" s="111">
        <f>SUM(U155,U157,U159,U161,U163)+SUM(U165,U167,U169,U171,U173)</f>
        <v/>
      </c>
      <c r="V15" s="111">
        <f>SUM(V155,V157,V159,V161,V163)+SUM(V165,V167,V169,V171,V173)</f>
        <v/>
      </c>
      <c r="W15" s="111">
        <f>SUM(W155,W157,W159,W161,W163)+SUM(W165,W167,W169,W171,W173)</f>
        <v/>
      </c>
      <c r="X15" s="111">
        <f>SUM(X155,X157,X159,X161,X163)+SUM(X165,X167,X169,X171,X173)</f>
        <v/>
      </c>
      <c r="Y15" s="111">
        <f>SUM(Y155,Y157,Y159,Y161,Y163)+SUM(Y165,Y167,Y169,Y171,Y173)</f>
        <v/>
      </c>
      <c r="Z15" s="111">
        <f>SUM(Z155,Z157,Z159,Z161,Z163)+SUM(Z165,Z167,Z169,Z171,Z173)</f>
        <v/>
      </c>
      <c r="AA15" s="111">
        <f>SUM(AA155,AA157,AA159,AA161,AA163)+SUM(AA165,AA167,AA169,AA171,AA173)</f>
        <v/>
      </c>
      <c r="AB15" s="111">
        <f>SUM(AB155,AB157,AB159,AB161,AB163)+SUM(AB165,AB167,AB169,AB171,AB173)</f>
        <v/>
      </c>
      <c r="AC15" s="111">
        <f>SUM(AC155,AC157,AC159,AC161,AC163)+SUM(AC165,AC167,AC169,AC171,AC173)</f>
        <v/>
      </c>
      <c r="AD15" s="111">
        <f>SUM(AD155,AD157,AD159,AD161,AD163)+SUM(AD165,AD167,AD169,AD171,AD173)</f>
        <v/>
      </c>
      <c r="AE15" s="111">
        <f>SUM(AE155,AE157,AE159,AE161,AE163)+SUM(AE165,AE167,AE169,AE171,AE173)</f>
        <v/>
      </c>
      <c r="AF15" s="111">
        <f>SUM(AF155,AF157,AF159,AF161,AF163)+SUM(AF165,AF167,AF169,AF171,AF173)</f>
        <v/>
      </c>
      <c r="AG15" s="111">
        <f>SUM(AG155,AG157,AG159,AG161,AG163)+SUM(AG165,AG167,AG169,AG171,AG173)</f>
        <v/>
      </c>
      <c r="AH15" s="111">
        <f>SUM(AH155,AH157,AH159,AH161,AH163)+SUM(AH165,AH167,AH169,AH171,AH173)</f>
        <v/>
      </c>
      <c r="AI15" s="111">
        <f>SUM(AI155,AI157,AI159,AI161,AI163)+SUM(AI165,AI167,AI169,AI171,AI173)</f>
        <v/>
      </c>
      <c r="AJ15" s="111">
        <f>SUM(AJ155,AJ157,AJ159,AJ161,AJ163)+SUM(AJ165,AJ167,AJ169,AJ171,AJ173)</f>
        <v/>
      </c>
      <c r="AK15" s="111">
        <f>SUM(AK155,AK157,AK159,AK161,AK163)+SUM(AK165,AK167,AK169,AK171,AK173)</f>
        <v/>
      </c>
      <c r="AL15" s="111">
        <f>SUM(AL155,AL157,AL159,AL161,AL163)+SUM(AL165,AL167,AL169,AL171,AL173)</f>
        <v/>
      </c>
      <c r="AM15" s="111">
        <f>SUM(AM155,AM157,AM159,AM161,AM163)+SUM(AM165,AM167,AM169,AM171,AM173)</f>
        <v/>
      </c>
      <c r="AN15" s="111">
        <f>SUM(AN155,AN157,AN159,AN161,AN163)+SUM(AN165,AN167,AN169,AN171,AN173)</f>
        <v/>
      </c>
      <c r="AO15" s="111">
        <f>SUM(AO155,AO157,AO159,AO161,AO163)+SUM(AO165,AO167,AO169,AO171,AO173)</f>
        <v/>
      </c>
      <c r="AP15" s="111">
        <f>SUM(AP155,AP157,AP159,AP161,AP163)+SUM(AP165,AP167,AP169,AP171,AP173)</f>
        <v/>
      </c>
      <c r="AQ15" s="111">
        <f>SUM(AQ155,AQ157,AQ159,AQ161,AQ163)+SUM(AQ165,AQ167,AQ169,AQ171,AQ173)</f>
        <v/>
      </c>
      <c r="AR15" s="111">
        <f>SUM(AR155,AR157,AR159,AR161,AR163)+SUM(AR165,AR167,AR169,AR171,AR173)</f>
        <v/>
      </c>
      <c r="AS15" s="111">
        <f>SUM(AS155,AS157,AS159,AS161,AS163)+SUM(AS165,AS167,AS169,AS171,AS173)</f>
        <v/>
      </c>
      <c r="AT15" s="111">
        <f>SUM(AT155,AT157,AT159,AT161,AT163)+SUM(AT165,AT167,AT169,AT171,AT173)</f>
        <v/>
      </c>
      <c r="AU15" s="111">
        <f>SUM(AU155,AU157,AU159,AU161,AU163)+SUM(AU165,AU167,AU169,AU171,AU173)</f>
        <v/>
      </c>
      <c r="AV15" s="111">
        <f>SUM(AV155,AV157,AV159,AV161,AV163)+SUM(AV165,AV167,AV169,AV171,AV173)</f>
        <v/>
      </c>
      <c r="AW15" s="111">
        <f>SUM(AW155,AW157,AW159,AW161,AW163)+SUM(AW165,AW167,AW169,AW171,AW173)</f>
        <v/>
      </c>
      <c r="AX15" s="111">
        <f>SUM(AX155,AX157,AX159,AX161,AX163)+SUM(AX165,AX167,AX169,AX171,AX173)</f>
        <v/>
      </c>
      <c r="AY15" s="111">
        <f>SUM(AY155,AY157,AY159,AY161,AY163)+SUM(AY165,AY167,AY169,AY171,AY173)</f>
        <v/>
      </c>
      <c r="AZ15" s="111">
        <f>SUM(AZ155,AZ157,AZ159,AZ161,AZ163)+SUM(AZ165,AZ167,AZ169,AZ171,AZ173)</f>
        <v/>
      </c>
      <c r="BA15" s="111">
        <f>SUM(BA155,BA157,BA159,BA161,BA163)+SUM(BA165,BA167,BA169,BA171,BA173)</f>
        <v/>
      </c>
      <c r="BB15" s="111">
        <f>SUM(BB155,BB157,BB159,BB161,BB163)+SUM(BB165,BB167,BB169,BB171,BB173)</f>
        <v/>
      </c>
      <c r="BC15" s="111">
        <f>SUM(BC155,BC157,BC159,BC161,BC163)+SUM(BC165,BC167,BC169,BC171,BC173)</f>
        <v/>
      </c>
      <c r="BD15" s="111">
        <f>SUM(BD155,BD157,BD159,BD161,BD163)+SUM(BD165,BD167,BD169,BD171,BD173)</f>
        <v/>
      </c>
      <c r="BE15" s="111">
        <f>SUM(BE155,BE157,BE159,BE161,BE163)+SUM(BE165,BE167,BE169,BE171,BE173)</f>
        <v/>
      </c>
      <c r="BF15" s="111">
        <f>SUM(BF155,BF157,BF159,BF161,BF163)+SUM(BF165,BF167,BF169,BF171,BF173)</f>
        <v/>
      </c>
      <c r="BG15" s="111">
        <f>SUM(BG155,BG157,BG159,BG161,BG163)+SUM(BG165,BG167,BG169,BG171,BG173)</f>
        <v/>
      </c>
      <c r="BH15" s="111">
        <f>SUM(BH155,BH157,BH159,BH161,BH163)+SUM(BH165,BH167,BH169,BH171,BH173)</f>
        <v/>
      </c>
      <c r="BI15" s="111">
        <f>SUM(BI155,BI157,BI159,BI161,BI163)+SUM(BI165,BI167,BI169,BI171,BI173)</f>
        <v/>
      </c>
      <c r="BJ15" s="111">
        <f>SUM(BJ155,BJ157,BJ159,BJ161,BJ163)+SUM(BJ165,BJ167,BJ169,BJ171,BJ173)</f>
        <v/>
      </c>
      <c r="BK15" s="111">
        <f>SUM(BK155,BK157,BK159,BK161,BK163)+SUM(BK165,BK167,BK169,BK171,BK173)</f>
        <v/>
      </c>
      <c r="BL15" s="111">
        <f>SUM(BL155,BL157,BL159,BL161,BL163)+SUM(BL165,BL167,BL169,BL171,BL173)</f>
        <v/>
      </c>
      <c r="BM15" s="111">
        <f>SUM(BM155,BM157,BM159,BM161,BM163)+SUM(BM165,BM167,BM169,BM171,BM173)</f>
        <v/>
      </c>
      <c r="BN15" s="111">
        <f>SUM(BN155,BN157,BN159,BN161,BN163)+SUM(BN165,BN167,BN169,BN171,BN173)</f>
        <v/>
      </c>
      <c r="BO15" s="111">
        <f>SUM(BO155,BO157,BO159,BO161,BO163)+SUM(BO165,BO167,BO169,BO171,BO173)</f>
        <v/>
      </c>
      <c r="BP15" s="111">
        <f>SUM(BP155,BP157,BP159,BP161,BP163)+SUM(BP165,BP167,BP169,BP171,BP173)</f>
        <v/>
      </c>
      <c r="BQ15" s="111">
        <f>SUM(BQ155,BQ157,BQ159,BQ161,BQ163)+SUM(BQ165,BQ167,BQ169,BQ171,BQ173)</f>
        <v/>
      </c>
      <c r="BR15" s="111">
        <f>SUM(BR155,BR157,BR159,BR161,BR163)+SUM(BR165,BR167,BR169,BR171,BR173)</f>
        <v/>
      </c>
      <c r="BS15" s="111">
        <f>SUM(BS155,BS157,BS159,BS161,BS163)+SUM(BS165,BS167,BS169,BS171,BS173)</f>
        <v/>
      </c>
      <c r="BT15" s="111">
        <f>SUM(BT155,BT157,BT159,BT161,BT163)+SUM(BT165,BT167,BT169,BT171,BT173)</f>
        <v/>
      </c>
      <c r="BU15" s="111">
        <f>SUM(BU155,BU157,BU159,BU161,BU163)+SUM(BU165,BU167,BU169,BU171,BU173)</f>
        <v/>
      </c>
      <c r="BV15" s="111">
        <f>SUM(BV155,BV157,BV159,BV161,BV163)+SUM(BV165,BV167,BV169,BV171,BV173)</f>
        <v/>
      </c>
      <c r="BW15" s="111">
        <f>SUM(BW155,BW157,BW159,BW161,BW163)+SUM(BW165,BW167,BW169,BW171,BW173)</f>
        <v/>
      </c>
      <c r="BX15" s="111">
        <f>SUM(BX155,BX157,BX159,BX161,BX163)+SUM(BX165,BX167,BX169,BX171,BX173)</f>
        <v/>
      </c>
      <c r="BY15" s="111">
        <f>SUM(BY155,BY157,BY159,BY161,BY163)+SUM(BY165,BY167,BY169,BY171,BY173)</f>
        <v/>
      </c>
      <c r="BZ15" s="111">
        <f>SUM(BZ155,BZ157,BZ159,BZ161,BZ163)+SUM(BZ165,BZ167,BZ169,BZ171,BZ173)</f>
        <v/>
      </c>
      <c r="CA15" s="111">
        <f>SUM(CA155,CA157,CA159,CA161,CA163)+SUM(CA165,CA167,CA169,CA171,CA173)</f>
        <v/>
      </c>
      <c r="CB15" s="111">
        <f>SUM(CB155,CB157,CB159,CB161,CB163)+SUM(CB165,CB167,CB169,CB171,CB173)</f>
        <v/>
      </c>
      <c r="CC15" s="111">
        <f>SUM(CC155,CC157,CC159,CC161,CC163)+SUM(CC165,CC167,CC169,CC171,CC173)</f>
        <v/>
      </c>
      <c r="CD15" s="111">
        <f>SUM(CD155,CD157,CD159,CD161,CD163)+SUM(CD165,CD167,CD169,CD171,CD173)</f>
        <v/>
      </c>
      <c r="CE15" s="111">
        <f>SUM(CE155,CE157,CE159,CE161,CE163)+SUM(CE165,CE167,CE169,CE171,CE173)</f>
        <v/>
      </c>
      <c r="CF15" s="111">
        <f>SUM(CF155,CF157,CF159,CF161,CF163)+SUM(CF165,CF167,CF169,CF171,CF173)</f>
        <v/>
      </c>
      <c r="CG15" s="111">
        <f>SUM(CG155,CG157,CG159,CG161,CG163)+SUM(CG165,CG167,CG169,CG171,CG173)</f>
        <v/>
      </c>
      <c r="CH15" s="111">
        <f>SUM(CH155,CH157,CH159,CH161,CH163)+SUM(CH165,CH167,CH169,CH171,CH173)</f>
        <v/>
      </c>
      <c r="CI15" s="111">
        <f>SUM(CI155,CI157,CI159,CI161,CI163)+SUM(CI165,CI167,CI169,CI171,CI173)</f>
        <v/>
      </c>
      <c r="CJ15" s="111">
        <f>SUM(CJ155,CJ157,CJ159,CJ161,CJ163)+SUM(CJ165,CJ167,CJ169,CJ171,CJ173)</f>
        <v/>
      </c>
      <c r="CK15" s="111">
        <f>SUM(CK155,CK157,CK159,CK161,CK163)+SUM(CK165,CK167,CK169,CK171,CK173)</f>
        <v/>
      </c>
      <c r="CL15" s="111">
        <f>SUM(CL155,CL157,CL159,CL161,CL163)+SUM(CL165,CL167,CL169,CL171,CL173)</f>
        <v/>
      </c>
      <c r="CM15" s="111">
        <f>SUM(CM155,CM157,CM159,CM161,CM163)+SUM(CM165,CM167,CM169,CM171,CM173)</f>
        <v/>
      </c>
      <c r="CN15" s="111">
        <f>SUM(CN155,CN157,CN159,CN161,CN163)+SUM(CN165,CN167,CN169,CN171,CN173)</f>
        <v/>
      </c>
      <c r="CO15" s="111">
        <f>SUM(CO155,CO157,CO159,CO161,CO163)+SUM(CO165,CO167,CO169,CO171,CO173)</f>
        <v/>
      </c>
      <c r="CP15" s="111">
        <f>SUM(CP155,CP157,CP159,CP161,CP163)+SUM(CP165,CP167,CP169,CP171,CP173)</f>
        <v/>
      </c>
      <c r="CQ15" s="111">
        <f>SUM(CQ155,CQ157,CQ159,CQ161,CQ163)+SUM(CQ165,CQ167,CQ169,CQ171,CQ173)</f>
        <v/>
      </c>
      <c r="CR15" s="111">
        <f>SUM(CR155,CR157,CR159,CR161,CR163)+SUM(CR165,CR167,CR169,CR171,CR173)</f>
        <v/>
      </c>
      <c r="CS15" s="111">
        <f>SUM(CS155,CS157,CS159,CS161,CS163)+SUM(CS165,CS167,CS169,CS171,CS173)</f>
        <v/>
      </c>
      <c r="CT15" s="111">
        <f>SUM(CT155,CT157,CT159,CT161,CT163)+SUM(CT165,CT167,CT169,CT171,CT173)</f>
        <v/>
      </c>
      <c r="CU15" s="111">
        <f>SUM(CU155,CU157,CU159,CU161,CU163)+SUM(CU165,CU167,CU169,CU171,CU173)</f>
        <v/>
      </c>
      <c r="CV15" s="111">
        <f>SUM(CV155,CV157,CV159,CV161,CV163)+SUM(CV165,CV167,CV169,CV171,CV173)</f>
        <v/>
      </c>
      <c r="CW15" s="111">
        <f>SUM(CW155,CW157,CW159,CW161,CW163)+SUM(CW165,CW167,CW169,CW171,CW173)</f>
        <v/>
      </c>
      <c r="CX15" s="111">
        <f>SUM(CX155,CX157,CX159,CX161,CX163)+SUM(CX165,CX167,CX169,CX171,CX173)</f>
        <v/>
      </c>
      <c r="CY15" s="111">
        <f>SUM(CY155,CY157,CY159,CY161,CY163)+SUM(CY165,CY167,CY169,CY171,CY173)</f>
        <v/>
      </c>
      <c r="CZ15" s="111">
        <f>SUM(CZ155,CZ157,CZ159,CZ161,CZ163)+SUM(CZ165,CZ167,CZ169,CZ171,CZ173)</f>
        <v/>
      </c>
      <c r="DA15" s="111">
        <f>SUM(DA155,DA157,DA159,DA161,DA163)+SUM(DA165,DA167,DA169,DA171,DA173)</f>
        <v/>
      </c>
      <c r="DB15" s="111">
        <f>SUM(DB155,DB157,DB159,DB161,DB163)+SUM(DB165,DB167,DB169,DB171,DB173)</f>
        <v/>
      </c>
      <c r="DC15" s="111">
        <f>SUM(DC155,DC157,DC159,DC161,DC163)+SUM(DC165,DC167,DC169,DC171,DC173)</f>
        <v/>
      </c>
      <c r="DD15" s="111">
        <f>SUM(DD155,DD157,DD159,DD161,DD163)+SUM(DD165,DD167,DD169,DD171,DD173)</f>
        <v/>
      </c>
      <c r="DE15" s="111">
        <f>SUM(DE155,DE157,DE159,DE161,DE163)+SUM(DE165,DE167,DE169,DE171,DE173)</f>
        <v/>
      </c>
      <c r="DF15" s="111">
        <f>SUM(DF155,DF157,DF159,DF161,DF163)+SUM(DF165,DF167,DF169,DF171,DF173)</f>
        <v/>
      </c>
      <c r="DG15" s="111">
        <f>SUM(DG155,DG157,DG159,DG161,DG163)+SUM(DG165,DG167,DG169,DG171,DG173)</f>
        <v/>
      </c>
      <c r="DH15" s="111">
        <f>SUM(DH155,DH157,DH159,DH161,DH163)+SUM(DH165,DH167,DH169,DH171,DH173)</f>
        <v/>
      </c>
      <c r="DI15" s="111">
        <f>SUM(DI155,DI157,DI159,DI161,DI163)+SUM(DI165,DI167,DI169,DI171,DI173)</f>
        <v/>
      </c>
      <c r="DJ15" s="111">
        <f>SUM(DJ155,DJ157,DJ159,DJ161,DJ163)+SUM(DJ165,DJ167,DJ169,DJ171,DJ173)</f>
        <v/>
      </c>
      <c r="DK15" s="111">
        <f>SUM(DK155,DK157,DK159,DK161,DK163)+SUM(DK165,DK167,DK169,DK171,DK173)</f>
        <v/>
      </c>
      <c r="DL15" s="111">
        <f>SUM(DL155,DL157,DL159,DL161,DL163)+SUM(DL165,DL167,DL169,DL171,DL173)</f>
        <v/>
      </c>
      <c r="DM15" s="111">
        <f>SUM(DM155,DM157,DM159,DM161,DM163)+SUM(DM165,DM167,DM169,DM171,DM173)</f>
        <v/>
      </c>
      <c r="DN15" s="111">
        <f>SUM(DN155,DN157,DN159,DN161,DN163)+SUM(DN165,DN167,DN169,DN171,DN173)</f>
        <v/>
      </c>
      <c r="DO15" s="111">
        <f>SUM(DO155,DO157,DO159,DO161,DO163)+SUM(DO165,DO167,DO169,DO171,DO173)</f>
        <v/>
      </c>
      <c r="DP15" s="111">
        <f>SUM(DP155,DP157,DP159,DP161,DP163)+SUM(DP165,DP167,DP169,DP171,DP173)</f>
        <v/>
      </c>
      <c r="DQ15" s="111">
        <f>SUM(DQ155,DQ157,DQ159,DQ161,DQ163)+SUM(DQ165,DQ167,DQ169,DQ171,DQ173)</f>
        <v/>
      </c>
      <c r="DR15" s="111">
        <f>SUM(DR155,DR157,DR159,DR161,DR163)+SUM(DR165,DR167,DR169,DR171,DR173)</f>
        <v/>
      </c>
      <c r="DS15" s="111">
        <f>SUM(DS155,DS157,DS159,DS161,DS163)+SUM(DS165,DS167,DS169,DS171,DS173)</f>
        <v/>
      </c>
      <c r="DT15" s="111">
        <f>SUM(DT155,DT157,DT159,DT161,DT163)+SUM(DT165,DT167,DT169,DT171,DT173)</f>
        <v/>
      </c>
    </row>
    <row r="16" ht="15" customHeight="1" s="148">
      <c r="A16" s="112" t="inlineStr">
        <is>
          <t>Average Occupancy - Leasable SF</t>
        </is>
      </c>
      <c r="C16" s="113">
        <f>SUM(D16:DT16)</f>
        <v/>
      </c>
      <c r="D16" s="113">
        <f>IF(Assumptions!$F$13=0,0,D$15/Assumptions!$F$13)</f>
        <v/>
      </c>
      <c r="E16" s="113">
        <f>IF(Assumptions!$F$13=0,0,E$15/Assumptions!$F$13)</f>
        <v/>
      </c>
      <c r="F16" s="113">
        <f>IF(Assumptions!$F$13=0,0,F$15/Assumptions!$F$13)</f>
        <v/>
      </c>
      <c r="G16" s="113">
        <f>IF(Assumptions!$F$13=0,0,G$15/Assumptions!$F$13)</f>
        <v/>
      </c>
      <c r="H16" s="113">
        <f>IF(Assumptions!$F$13=0,0,H$15/Assumptions!$F$13)</f>
        <v/>
      </c>
      <c r="I16" s="113">
        <f>IF(Assumptions!$F$13=0,0,I$15/Assumptions!$F$13)</f>
        <v/>
      </c>
      <c r="J16" s="113">
        <f>IF(Assumptions!$F$13=0,0,J$15/Assumptions!$F$13)</f>
        <v/>
      </c>
      <c r="K16" s="113">
        <f>IF(Assumptions!$F$13=0,0,K$15/Assumptions!$F$13)</f>
        <v/>
      </c>
      <c r="L16" s="113">
        <f>IF(Assumptions!$F$13=0,0,L$15/Assumptions!$F$13)</f>
        <v/>
      </c>
      <c r="M16" s="113">
        <f>IF(Assumptions!$F$13=0,0,M$15/Assumptions!$F$13)</f>
        <v/>
      </c>
      <c r="N16" s="113">
        <f>IF(Assumptions!$F$13=0,0,N$15/Assumptions!$F$13)</f>
        <v/>
      </c>
      <c r="O16" s="113">
        <f>IF(Assumptions!$F$13=0,0,O$15/Assumptions!$F$13)</f>
        <v/>
      </c>
      <c r="P16" s="113">
        <f>IF(Assumptions!$F$13=0,0,P$15/Assumptions!$F$13)</f>
        <v/>
      </c>
      <c r="Q16" s="113">
        <f>IF(Assumptions!$F$13=0,0,Q$15/Assumptions!$F$13)</f>
        <v/>
      </c>
      <c r="R16" s="113">
        <f>IF(Assumptions!$F$13=0,0,R$15/Assumptions!$F$13)</f>
        <v/>
      </c>
      <c r="S16" s="113">
        <f>IF(Assumptions!$F$13=0,0,S$15/Assumptions!$F$13)</f>
        <v/>
      </c>
      <c r="T16" s="113">
        <f>IF(Assumptions!$F$13=0,0,T$15/Assumptions!$F$13)</f>
        <v/>
      </c>
      <c r="U16" s="113">
        <f>IF(Assumptions!$F$13=0,0,U$15/Assumptions!$F$13)</f>
        <v/>
      </c>
      <c r="V16" s="113">
        <f>IF(Assumptions!$F$13=0,0,V$15/Assumptions!$F$13)</f>
        <v/>
      </c>
      <c r="W16" s="113">
        <f>IF(Assumptions!$F$13=0,0,W$15/Assumptions!$F$13)</f>
        <v/>
      </c>
      <c r="X16" s="113">
        <f>IF(Assumptions!$F$13=0,0,X$15/Assumptions!$F$13)</f>
        <v/>
      </c>
      <c r="Y16" s="113">
        <f>IF(Assumptions!$F$13=0,0,Y$15/Assumptions!$F$13)</f>
        <v/>
      </c>
      <c r="Z16" s="113">
        <f>IF(Assumptions!$F$13=0,0,Z$15/Assumptions!$F$13)</f>
        <v/>
      </c>
      <c r="AA16" s="113">
        <f>IF(Assumptions!$F$13=0,0,AA$15/Assumptions!$F$13)</f>
        <v/>
      </c>
      <c r="AB16" s="113">
        <f>IF(Assumptions!$F$13=0,0,AB$15/Assumptions!$F$13)</f>
        <v/>
      </c>
      <c r="AC16" s="113">
        <f>IF(Assumptions!$F$13=0,0,AC$15/Assumptions!$F$13)</f>
        <v/>
      </c>
      <c r="AD16" s="113">
        <f>IF(Assumptions!$F$13=0,0,AD$15/Assumptions!$F$13)</f>
        <v/>
      </c>
      <c r="AE16" s="113">
        <f>IF(Assumptions!$F$13=0,0,AE$15/Assumptions!$F$13)</f>
        <v/>
      </c>
      <c r="AF16" s="113">
        <f>IF(Assumptions!$F$13=0,0,AF$15/Assumptions!$F$13)</f>
        <v/>
      </c>
      <c r="AG16" s="113">
        <f>IF(Assumptions!$F$13=0,0,AG$15/Assumptions!$F$13)</f>
        <v/>
      </c>
      <c r="AH16" s="113">
        <f>IF(Assumptions!$F$13=0,0,AH$15/Assumptions!$F$13)</f>
        <v/>
      </c>
      <c r="AI16" s="113">
        <f>IF(Assumptions!$F$13=0,0,AI$15/Assumptions!$F$13)</f>
        <v/>
      </c>
      <c r="AJ16" s="113">
        <f>IF(Assumptions!$F$13=0,0,AJ$15/Assumptions!$F$13)</f>
        <v/>
      </c>
      <c r="AK16" s="113">
        <f>IF(Assumptions!$F$13=0,0,AK$15/Assumptions!$F$13)</f>
        <v/>
      </c>
      <c r="AL16" s="113">
        <f>IF(Assumptions!$F$13=0,0,AL$15/Assumptions!$F$13)</f>
        <v/>
      </c>
      <c r="AM16" s="113">
        <f>IF(Assumptions!$F$13=0,0,AM$15/Assumptions!$F$13)</f>
        <v/>
      </c>
      <c r="AN16" s="113">
        <f>IF(Assumptions!$F$13=0,0,AN$15/Assumptions!$F$13)</f>
        <v/>
      </c>
      <c r="AO16" s="113">
        <f>IF(Assumptions!$F$13=0,0,AO$15/Assumptions!$F$13)</f>
        <v/>
      </c>
      <c r="AP16" s="113">
        <f>IF(Assumptions!$F$13=0,0,AP$15/Assumptions!$F$13)</f>
        <v/>
      </c>
      <c r="AQ16" s="113">
        <f>IF(Assumptions!$F$13=0,0,AQ$15/Assumptions!$F$13)</f>
        <v/>
      </c>
      <c r="AR16" s="113">
        <f>IF(Assumptions!$F$13=0,0,AR$15/Assumptions!$F$13)</f>
        <v/>
      </c>
      <c r="AS16" s="113">
        <f>IF(Assumptions!$F$13=0,0,AS$15/Assumptions!$F$13)</f>
        <v/>
      </c>
      <c r="AT16" s="113">
        <f>IF(Assumptions!$F$13=0,0,AT$15/Assumptions!$F$13)</f>
        <v/>
      </c>
      <c r="AU16" s="113">
        <f>IF(Assumptions!$F$13=0,0,AU$15/Assumptions!$F$13)</f>
        <v/>
      </c>
      <c r="AV16" s="113">
        <f>IF(Assumptions!$F$13=0,0,AV$15/Assumptions!$F$13)</f>
        <v/>
      </c>
      <c r="AW16" s="113">
        <f>IF(Assumptions!$F$13=0,0,AW$15/Assumptions!$F$13)</f>
        <v/>
      </c>
      <c r="AX16" s="113">
        <f>IF(Assumptions!$F$13=0,0,AX$15/Assumptions!$F$13)</f>
        <v/>
      </c>
      <c r="AY16" s="113">
        <f>IF(Assumptions!$F$13=0,0,AY$15/Assumptions!$F$13)</f>
        <v/>
      </c>
      <c r="AZ16" s="113">
        <f>IF(Assumptions!$F$13=0,0,AZ$15/Assumptions!$F$13)</f>
        <v/>
      </c>
      <c r="BA16" s="113">
        <f>IF(Assumptions!$F$13=0,0,BA$15/Assumptions!$F$13)</f>
        <v/>
      </c>
      <c r="BB16" s="113">
        <f>IF(Assumptions!$F$13=0,0,BB$15/Assumptions!$F$13)</f>
        <v/>
      </c>
      <c r="BC16" s="113">
        <f>IF(Assumptions!$F$13=0,0,BC$15/Assumptions!$F$13)</f>
        <v/>
      </c>
      <c r="BD16" s="113">
        <f>IF(Assumptions!$F$13=0,0,BD$15/Assumptions!$F$13)</f>
        <v/>
      </c>
      <c r="BE16" s="113">
        <f>IF(Assumptions!$F$13=0,0,BE$15/Assumptions!$F$13)</f>
        <v/>
      </c>
      <c r="BF16" s="113">
        <f>IF(Assumptions!$F$13=0,0,BF$15/Assumptions!$F$13)</f>
        <v/>
      </c>
      <c r="BG16" s="113">
        <f>IF(Assumptions!$F$13=0,0,BG$15/Assumptions!$F$13)</f>
        <v/>
      </c>
      <c r="BH16" s="113">
        <f>IF(Assumptions!$F$13=0,0,BH$15/Assumptions!$F$13)</f>
        <v/>
      </c>
      <c r="BI16" s="113">
        <f>IF(Assumptions!$F$13=0,0,BI$15/Assumptions!$F$13)</f>
        <v/>
      </c>
      <c r="BJ16" s="113">
        <f>IF(Assumptions!$F$13=0,0,BJ$15/Assumptions!$F$13)</f>
        <v/>
      </c>
      <c r="BK16" s="113">
        <f>IF(Assumptions!$F$13=0,0,BK$15/Assumptions!$F$13)</f>
        <v/>
      </c>
      <c r="BL16" s="113">
        <f>IF(Assumptions!$F$13=0,0,BL$15/Assumptions!$F$13)</f>
        <v/>
      </c>
      <c r="BM16" s="113">
        <f>IF(Assumptions!$F$13=0,0,BM$15/Assumptions!$F$13)</f>
        <v/>
      </c>
      <c r="BN16" s="113">
        <f>IF(Assumptions!$F$13=0,0,BN$15/Assumptions!$F$13)</f>
        <v/>
      </c>
      <c r="BO16" s="113">
        <f>IF(Assumptions!$F$13=0,0,BO$15/Assumptions!$F$13)</f>
        <v/>
      </c>
      <c r="BP16" s="113">
        <f>IF(Assumptions!$F$13=0,0,BP$15/Assumptions!$F$13)</f>
        <v/>
      </c>
      <c r="BQ16" s="113">
        <f>IF(Assumptions!$F$13=0,0,BQ$15/Assumptions!$F$13)</f>
        <v/>
      </c>
      <c r="BR16" s="113">
        <f>IF(Assumptions!$F$13=0,0,BR$15/Assumptions!$F$13)</f>
        <v/>
      </c>
      <c r="BS16" s="113">
        <f>IF(Assumptions!$F$13=0,0,BS$15/Assumptions!$F$13)</f>
        <v/>
      </c>
      <c r="BT16" s="113">
        <f>IF(Assumptions!$F$13=0,0,BT$15/Assumptions!$F$13)</f>
        <v/>
      </c>
      <c r="BU16" s="113">
        <f>IF(Assumptions!$F$13=0,0,BU$15/Assumptions!$F$13)</f>
        <v/>
      </c>
      <c r="BV16" s="113">
        <f>IF(Assumptions!$F$13=0,0,BV$15/Assumptions!$F$13)</f>
        <v/>
      </c>
      <c r="BW16" s="113">
        <f>IF(Assumptions!$F$13=0,0,BW$15/Assumptions!$F$13)</f>
        <v/>
      </c>
      <c r="BX16" s="113">
        <f>IF(Assumptions!$F$13=0,0,BX$15/Assumptions!$F$13)</f>
        <v/>
      </c>
      <c r="BY16" s="113">
        <f>IF(Assumptions!$F$13=0,0,BY$15/Assumptions!$F$13)</f>
        <v/>
      </c>
      <c r="BZ16" s="113">
        <f>IF(Assumptions!$F$13=0,0,BZ$15/Assumptions!$F$13)</f>
        <v/>
      </c>
      <c r="CA16" s="113">
        <f>IF(Assumptions!$F$13=0,0,CA$15/Assumptions!$F$13)</f>
        <v/>
      </c>
      <c r="CB16" s="113">
        <f>IF(Assumptions!$F$13=0,0,CB$15/Assumptions!$F$13)</f>
        <v/>
      </c>
      <c r="CC16" s="113">
        <f>IF(Assumptions!$F$13=0,0,CC$15/Assumptions!$F$13)</f>
        <v/>
      </c>
      <c r="CD16" s="113">
        <f>IF(Assumptions!$F$13=0,0,CD$15/Assumptions!$F$13)</f>
        <v/>
      </c>
      <c r="CE16" s="113">
        <f>IF(Assumptions!$F$13=0,0,CE$15/Assumptions!$F$13)</f>
        <v/>
      </c>
      <c r="CF16" s="113">
        <f>IF(Assumptions!$F$13=0,0,CF$15/Assumptions!$F$13)</f>
        <v/>
      </c>
      <c r="CG16" s="113">
        <f>IF(Assumptions!$F$13=0,0,CG$15/Assumptions!$F$13)</f>
        <v/>
      </c>
      <c r="CH16" s="113">
        <f>IF(Assumptions!$F$13=0,0,CH$15/Assumptions!$F$13)</f>
        <v/>
      </c>
      <c r="CI16" s="113">
        <f>IF(Assumptions!$F$13=0,0,CI$15/Assumptions!$F$13)</f>
        <v/>
      </c>
      <c r="CJ16" s="113">
        <f>IF(Assumptions!$F$13=0,0,CJ$15/Assumptions!$F$13)</f>
        <v/>
      </c>
      <c r="CK16" s="113">
        <f>IF(Assumptions!$F$13=0,0,CK$15/Assumptions!$F$13)</f>
        <v/>
      </c>
      <c r="CL16" s="113">
        <f>IF(Assumptions!$F$13=0,0,CL$15/Assumptions!$F$13)</f>
        <v/>
      </c>
      <c r="CM16" s="113">
        <f>IF(Assumptions!$F$13=0,0,CM$15/Assumptions!$F$13)</f>
        <v/>
      </c>
      <c r="CN16" s="113">
        <f>IF(Assumptions!$F$13=0,0,CN$15/Assumptions!$F$13)</f>
        <v/>
      </c>
      <c r="CO16" s="113">
        <f>IF(Assumptions!$F$13=0,0,CO$15/Assumptions!$F$13)</f>
        <v/>
      </c>
      <c r="CP16" s="113">
        <f>IF(Assumptions!$F$13=0,0,CP$15/Assumptions!$F$13)</f>
        <v/>
      </c>
      <c r="CQ16" s="113">
        <f>IF(Assumptions!$F$13=0,0,CQ$15/Assumptions!$F$13)</f>
        <v/>
      </c>
      <c r="CR16" s="113">
        <f>IF(Assumptions!$F$13=0,0,CR$15/Assumptions!$F$13)</f>
        <v/>
      </c>
      <c r="CS16" s="113">
        <f>IF(Assumptions!$F$13=0,0,CS$15/Assumptions!$F$13)</f>
        <v/>
      </c>
      <c r="CT16" s="113">
        <f>IF(Assumptions!$F$13=0,0,CT$15/Assumptions!$F$13)</f>
        <v/>
      </c>
      <c r="CU16" s="113">
        <f>IF(Assumptions!$F$13=0,0,CU$15/Assumptions!$F$13)</f>
        <v/>
      </c>
      <c r="CV16" s="113">
        <f>IF(Assumptions!$F$13=0,0,CV$15/Assumptions!$F$13)</f>
        <v/>
      </c>
      <c r="CW16" s="113">
        <f>IF(Assumptions!$F$13=0,0,CW$15/Assumptions!$F$13)</f>
        <v/>
      </c>
      <c r="CX16" s="113">
        <f>IF(Assumptions!$F$13=0,0,CX$15/Assumptions!$F$13)</f>
        <v/>
      </c>
      <c r="CY16" s="113">
        <f>IF(Assumptions!$F$13=0,0,CY$15/Assumptions!$F$13)</f>
        <v/>
      </c>
      <c r="CZ16" s="113">
        <f>IF(Assumptions!$F$13=0,0,CZ$15/Assumptions!$F$13)</f>
        <v/>
      </c>
      <c r="DA16" s="113">
        <f>IF(Assumptions!$F$13=0,0,DA$15/Assumptions!$F$13)</f>
        <v/>
      </c>
      <c r="DB16" s="113">
        <f>IF(Assumptions!$F$13=0,0,DB$15/Assumptions!$F$13)</f>
        <v/>
      </c>
      <c r="DC16" s="113">
        <f>IF(Assumptions!$F$13=0,0,DC$15/Assumptions!$F$13)</f>
        <v/>
      </c>
      <c r="DD16" s="113">
        <f>IF(Assumptions!$F$13=0,0,DD$15/Assumptions!$F$13)</f>
        <v/>
      </c>
      <c r="DE16" s="113">
        <f>IF(Assumptions!$F$13=0,0,DE$15/Assumptions!$F$13)</f>
        <v/>
      </c>
      <c r="DF16" s="113">
        <f>IF(Assumptions!$F$13=0,0,DF$15/Assumptions!$F$13)</f>
        <v/>
      </c>
      <c r="DG16" s="113">
        <f>IF(Assumptions!$F$13=0,0,DG$15/Assumptions!$F$13)</f>
        <v/>
      </c>
      <c r="DH16" s="113">
        <f>IF(Assumptions!$F$13=0,0,DH$15/Assumptions!$F$13)</f>
        <v/>
      </c>
      <c r="DI16" s="113">
        <f>IF(Assumptions!$F$13=0,0,DI$15/Assumptions!$F$13)</f>
        <v/>
      </c>
      <c r="DJ16" s="113">
        <f>IF(Assumptions!$F$13=0,0,DJ$15/Assumptions!$F$13)</f>
        <v/>
      </c>
      <c r="DK16" s="113">
        <f>IF(Assumptions!$F$13=0,0,DK$15/Assumptions!$F$13)</f>
        <v/>
      </c>
      <c r="DL16" s="113">
        <f>IF(Assumptions!$F$13=0,0,DL$15/Assumptions!$F$13)</f>
        <v/>
      </c>
      <c r="DM16" s="113">
        <f>IF(Assumptions!$F$13=0,0,DM$15/Assumptions!$F$13)</f>
        <v/>
      </c>
      <c r="DN16" s="113">
        <f>IF(Assumptions!$F$13=0,0,DN$15/Assumptions!$F$13)</f>
        <v/>
      </c>
      <c r="DO16" s="113">
        <f>IF(Assumptions!$F$13=0,0,DO$15/Assumptions!$F$13)</f>
        <v/>
      </c>
      <c r="DP16" s="113">
        <f>IF(Assumptions!$F$13=0,0,DP$15/Assumptions!$F$13)</f>
        <v/>
      </c>
      <c r="DQ16" s="113">
        <f>IF(Assumptions!$F$13=0,0,DQ$15/Assumptions!$F$13)</f>
        <v/>
      </c>
      <c r="DR16" s="113">
        <f>IF(Assumptions!$F$13=0,0,DR$15/Assumptions!$F$13)</f>
        <v/>
      </c>
      <c r="DS16" s="113">
        <f>IF(Assumptions!$F$13=0,0,DS$15/Assumptions!$F$13)</f>
        <v/>
      </c>
      <c r="DT16" s="113">
        <f>IF(Assumptions!$F$13=0,0,DT$15/Assumptions!$F$13)</f>
        <v/>
      </c>
    </row>
    <row r="17" ht="15" customHeight="1" s="148">
      <c r="A17" s="112" t="inlineStr">
        <is>
          <t>Leases Expiring - SF</t>
        </is>
      </c>
      <c r="C17" s="111">
        <f>SUM(D17:DT17)</f>
        <v/>
      </c>
      <c r="D17" s="111">
        <f>IF(D$11=FC141,'Rent Roll'!$B$9,0)+IF(D$11=FC142,'Rent Roll'!$B$10,0)+IF(D$11=FC143,'Rent Roll'!$B$11,0)+IF(D$11=FC144,'Rent Roll'!$B$12,0)+IF(D$11=FC145,'Rent Roll'!$B$13,0)+IF(D$11=FC146,'Rent Roll'!$B$36,0)+IF(D$11=FC147,'Rent Roll'!$B$37,0)+IF(D$11=FC148,'Rent Roll'!$B$38,0)+IF(D$11=FC149,'Rent Roll'!$B$39,0)+IF(D$11=FC150,'Rent Roll'!$B$40,0)</f>
        <v/>
      </c>
      <c r="E17" s="111">
        <f>IF(E$11=FC141,'Rent Roll'!$B$9,0)+IF(E$11=FC142,'Rent Roll'!$B$10,0)+IF(E$11=FC143,'Rent Roll'!$B$11,0)+IF(E$11=FC144,'Rent Roll'!$B$12,0)+IF(E$11=FC145,'Rent Roll'!$B$13,0)+IF(E$11=FC146,'Rent Roll'!$B$36,0)+IF(E$11=FC147,'Rent Roll'!$B$37,0)+IF(E$11=FC148,'Rent Roll'!$B$38,0)+IF(E$11=FC149,'Rent Roll'!$B$39,0)+IF(E$11=FC150,'Rent Roll'!$B$40,0)</f>
        <v/>
      </c>
      <c r="F17" s="111">
        <f>IF(F$11=FC141,'Rent Roll'!$B$9,0)+IF(F$11=FC142,'Rent Roll'!$B$10,0)+IF(F$11=FC143,'Rent Roll'!$B$11,0)+IF(F$11=FC144,'Rent Roll'!$B$12,0)+IF(F$11=FC145,'Rent Roll'!$B$13,0)+IF(F$11=FC146,'Rent Roll'!$B$36,0)+IF(F$11=FC147,'Rent Roll'!$B$37,0)+IF(F$11=FC148,'Rent Roll'!$B$38,0)+IF(F$11=FC149,'Rent Roll'!$B$39,0)+IF(F$11=FC150,'Rent Roll'!$B$40,0)</f>
        <v/>
      </c>
      <c r="G17" s="111">
        <f>IF(G$11=FC141,'Rent Roll'!$B$9,0)+IF(G$11=FC142,'Rent Roll'!$B$10,0)+IF(G$11=FC143,'Rent Roll'!$B$11,0)+IF(G$11=FC144,'Rent Roll'!$B$12,0)+IF(G$11=FC145,'Rent Roll'!$B$13,0)+IF(G$11=FC146,'Rent Roll'!$B$36,0)+IF(G$11=FC147,'Rent Roll'!$B$37,0)+IF(G$11=FC148,'Rent Roll'!$B$38,0)+IF(G$11=FC149,'Rent Roll'!$B$39,0)+IF(G$11=FC150,'Rent Roll'!$B$40,0)</f>
        <v/>
      </c>
      <c r="H17" s="111">
        <f>IF(H$11=FC141,'Rent Roll'!$B$9,0)+IF(H$11=FC142,'Rent Roll'!$B$10,0)+IF(H$11=FC143,'Rent Roll'!$B$11,0)+IF(H$11=FC144,'Rent Roll'!$B$12,0)+IF(H$11=FC145,'Rent Roll'!$B$13,0)+IF(H$11=FC146,'Rent Roll'!$B$36,0)+IF(H$11=FC147,'Rent Roll'!$B$37,0)+IF(H$11=FC148,'Rent Roll'!$B$38,0)+IF(H$11=FC149,'Rent Roll'!$B$39,0)+IF(H$11=FC150,'Rent Roll'!$B$40,0)</f>
        <v/>
      </c>
      <c r="I17" s="111">
        <f>IF(I$11=FC141,'Rent Roll'!$B$9,0)+IF(I$11=FC142,'Rent Roll'!$B$10,0)+IF(I$11=FC143,'Rent Roll'!$B$11,0)+IF(I$11=FC144,'Rent Roll'!$B$12,0)+IF(I$11=FC145,'Rent Roll'!$B$13,0)+IF(I$11=FC146,'Rent Roll'!$B$36,0)+IF(I$11=FC147,'Rent Roll'!$B$37,0)+IF(I$11=FC148,'Rent Roll'!$B$38,0)+IF(I$11=FC149,'Rent Roll'!$B$39,0)+IF(I$11=FC150,'Rent Roll'!$B$40,0)</f>
        <v/>
      </c>
      <c r="J17" s="111">
        <f>IF(J$11=FC141,'Rent Roll'!$B$9,0)+IF(J$11=FC142,'Rent Roll'!$B$10,0)+IF(J$11=FC143,'Rent Roll'!$B$11,0)+IF(J$11=FC144,'Rent Roll'!$B$12,0)+IF(J$11=FC145,'Rent Roll'!$B$13,0)+IF(J$11=FC146,'Rent Roll'!$B$36,0)+IF(J$11=FC147,'Rent Roll'!$B$37,0)+IF(J$11=FC148,'Rent Roll'!$B$38,0)+IF(J$11=FC149,'Rent Roll'!$B$39,0)+IF(J$11=FC150,'Rent Roll'!$B$40,0)</f>
        <v/>
      </c>
      <c r="K17" s="111">
        <f>IF(K$11=FC141,'Rent Roll'!$B$9,0)+IF(K$11=FC142,'Rent Roll'!$B$10,0)+IF(K$11=FC143,'Rent Roll'!$B$11,0)+IF(K$11=FC144,'Rent Roll'!$B$12,0)+IF(K$11=FC145,'Rent Roll'!$B$13,0)+IF(K$11=FC146,'Rent Roll'!$B$36,0)+IF(K$11=FC147,'Rent Roll'!$B$37,0)+IF(K$11=FC148,'Rent Roll'!$B$38,0)+IF(K$11=FC149,'Rent Roll'!$B$39,0)+IF(K$11=FC150,'Rent Roll'!$B$40,0)</f>
        <v/>
      </c>
      <c r="L17" s="111">
        <f>IF(L$11=FC141,'Rent Roll'!$B$9,0)+IF(L$11=FC142,'Rent Roll'!$B$10,0)+IF(L$11=FC143,'Rent Roll'!$B$11,0)+IF(L$11=FC144,'Rent Roll'!$B$12,0)+IF(L$11=FC145,'Rent Roll'!$B$13,0)+IF(L$11=FC146,'Rent Roll'!$B$36,0)+IF(L$11=FC147,'Rent Roll'!$B$37,0)+IF(L$11=FC148,'Rent Roll'!$B$38,0)+IF(L$11=FC149,'Rent Roll'!$B$39,0)+IF(L$11=FC150,'Rent Roll'!$B$40,0)</f>
        <v/>
      </c>
      <c r="M17" s="111">
        <f>IF(M$11=FC141,'Rent Roll'!$B$9,0)+IF(M$11=FC142,'Rent Roll'!$B$10,0)+IF(M$11=FC143,'Rent Roll'!$B$11,0)+IF(M$11=FC144,'Rent Roll'!$B$12,0)+IF(M$11=FC145,'Rent Roll'!$B$13,0)+IF(M$11=FC146,'Rent Roll'!$B$36,0)+IF(M$11=FC147,'Rent Roll'!$B$37,0)+IF(M$11=FC148,'Rent Roll'!$B$38,0)+IF(M$11=FC149,'Rent Roll'!$B$39,0)+IF(M$11=FC150,'Rent Roll'!$B$40,0)</f>
        <v/>
      </c>
      <c r="N17" s="111">
        <f>IF(N$11=FC141,'Rent Roll'!$B$9,0)+IF(N$11=FC142,'Rent Roll'!$B$10,0)+IF(N$11=FC143,'Rent Roll'!$B$11,0)+IF(N$11=FC144,'Rent Roll'!$B$12,0)+IF(N$11=FC145,'Rent Roll'!$B$13,0)+IF(N$11=FC146,'Rent Roll'!$B$36,0)+IF(N$11=FC147,'Rent Roll'!$B$37,0)+IF(N$11=FC148,'Rent Roll'!$B$38,0)+IF(N$11=FC149,'Rent Roll'!$B$39,0)+IF(N$11=FC150,'Rent Roll'!$B$40,0)</f>
        <v/>
      </c>
      <c r="O17" s="111">
        <f>IF(O$11=FC141,'Rent Roll'!$B$9,0)+IF(O$11=FC142,'Rent Roll'!$B$10,0)+IF(O$11=FC143,'Rent Roll'!$B$11,0)+IF(O$11=FC144,'Rent Roll'!$B$12,0)+IF(O$11=FC145,'Rent Roll'!$B$13,0)+IF(O$11=FC146,'Rent Roll'!$B$36,0)+IF(O$11=FC147,'Rent Roll'!$B$37,0)+IF(O$11=FC148,'Rent Roll'!$B$38,0)+IF(O$11=FC149,'Rent Roll'!$B$39,0)+IF(O$11=FC150,'Rent Roll'!$B$40,0)</f>
        <v/>
      </c>
      <c r="P17" s="111">
        <f>IF(P$11=FC141,'Rent Roll'!$B$9,0)+IF(P$11=FC142,'Rent Roll'!$B$10,0)+IF(P$11=FC143,'Rent Roll'!$B$11,0)+IF(P$11=FC144,'Rent Roll'!$B$12,0)+IF(P$11=FC145,'Rent Roll'!$B$13,0)+IF(P$11=FC146,'Rent Roll'!$B$36,0)+IF(P$11=FC147,'Rent Roll'!$B$37,0)+IF(P$11=FC148,'Rent Roll'!$B$38,0)+IF(P$11=FC149,'Rent Roll'!$B$39,0)+IF(P$11=FC150,'Rent Roll'!$B$40,0)</f>
        <v/>
      </c>
      <c r="Q17" s="111">
        <f>IF(Q$11=FC141,'Rent Roll'!$B$9,0)+IF(Q$11=FC142,'Rent Roll'!$B$10,0)+IF(Q$11=FC143,'Rent Roll'!$B$11,0)+IF(Q$11=FC144,'Rent Roll'!$B$12,0)+IF(Q$11=FC145,'Rent Roll'!$B$13,0)+IF(Q$11=FC146,'Rent Roll'!$B$36,0)+IF(Q$11=FC147,'Rent Roll'!$B$37,0)+IF(Q$11=FC148,'Rent Roll'!$B$38,0)+IF(Q$11=FC149,'Rent Roll'!$B$39,0)+IF(Q$11=FC150,'Rent Roll'!$B$40,0)</f>
        <v/>
      </c>
      <c r="R17" s="111">
        <f>IF(R$11=FC141,'Rent Roll'!$B$9,0)+IF(R$11=FC142,'Rent Roll'!$B$10,0)+IF(R$11=FC143,'Rent Roll'!$B$11,0)+IF(R$11=FC144,'Rent Roll'!$B$12,0)+IF(R$11=FC145,'Rent Roll'!$B$13,0)+IF(R$11=FC146,'Rent Roll'!$B$36,0)+IF(R$11=FC147,'Rent Roll'!$B$37,0)+IF(R$11=FC148,'Rent Roll'!$B$38,0)+IF(R$11=FC149,'Rent Roll'!$B$39,0)+IF(R$11=FC150,'Rent Roll'!$B$40,0)</f>
        <v/>
      </c>
      <c r="S17" s="111">
        <f>IF(S$11=FC141,'Rent Roll'!$B$9,0)+IF(S$11=FC142,'Rent Roll'!$B$10,0)+IF(S$11=FC143,'Rent Roll'!$B$11,0)+IF(S$11=FC144,'Rent Roll'!$B$12,0)+IF(S$11=FC145,'Rent Roll'!$B$13,0)+IF(S$11=FC146,'Rent Roll'!$B$36,0)+IF(S$11=FC147,'Rent Roll'!$B$37,0)+IF(S$11=FC148,'Rent Roll'!$B$38,0)+IF(S$11=FC149,'Rent Roll'!$B$39,0)+IF(S$11=FC150,'Rent Roll'!$B$40,0)</f>
        <v/>
      </c>
      <c r="T17" s="111">
        <f>IF(T$11=FC141,'Rent Roll'!$B$9,0)+IF(T$11=FC142,'Rent Roll'!$B$10,0)+IF(T$11=FC143,'Rent Roll'!$B$11,0)+IF(T$11=FC144,'Rent Roll'!$B$12,0)+IF(T$11=FC145,'Rent Roll'!$B$13,0)+IF(T$11=FC146,'Rent Roll'!$B$36,0)+IF(T$11=FC147,'Rent Roll'!$B$37,0)+IF(T$11=FC148,'Rent Roll'!$B$38,0)+IF(T$11=FC149,'Rent Roll'!$B$39,0)+IF(T$11=FC150,'Rent Roll'!$B$40,0)</f>
        <v/>
      </c>
      <c r="U17" s="111">
        <f>IF(U$11=FC141,'Rent Roll'!$B$9,0)+IF(U$11=FC142,'Rent Roll'!$B$10,0)+IF(U$11=FC143,'Rent Roll'!$B$11,0)+IF(U$11=FC144,'Rent Roll'!$B$12,0)+IF(U$11=FC145,'Rent Roll'!$B$13,0)+IF(U$11=FC146,'Rent Roll'!$B$36,0)+IF(U$11=FC147,'Rent Roll'!$B$37,0)+IF(U$11=FC148,'Rent Roll'!$B$38,0)+IF(U$11=FC149,'Rent Roll'!$B$39,0)+IF(U$11=FC150,'Rent Roll'!$B$40,0)</f>
        <v/>
      </c>
      <c r="V17" s="111">
        <f>IF(V$11=FC141,'Rent Roll'!$B$9,0)+IF(V$11=FC142,'Rent Roll'!$B$10,0)+IF(V$11=FC143,'Rent Roll'!$B$11,0)+IF(V$11=FC144,'Rent Roll'!$B$12,0)+IF(V$11=FC145,'Rent Roll'!$B$13,0)+IF(V$11=FC146,'Rent Roll'!$B$36,0)+IF(V$11=FC147,'Rent Roll'!$B$37,0)+IF(V$11=FC148,'Rent Roll'!$B$38,0)+IF(V$11=FC149,'Rent Roll'!$B$39,0)+IF(V$11=FC150,'Rent Roll'!$B$40,0)</f>
        <v/>
      </c>
      <c r="W17" s="111">
        <f>IF(W$11=FC141,'Rent Roll'!$B$9,0)+IF(W$11=FC142,'Rent Roll'!$B$10,0)+IF(W$11=FC143,'Rent Roll'!$B$11,0)+IF(W$11=FC144,'Rent Roll'!$B$12,0)+IF(W$11=FC145,'Rent Roll'!$B$13,0)+IF(W$11=FC146,'Rent Roll'!$B$36,0)+IF(W$11=FC147,'Rent Roll'!$B$37,0)+IF(W$11=FC148,'Rent Roll'!$B$38,0)+IF(W$11=FC149,'Rent Roll'!$B$39,0)+IF(W$11=FC150,'Rent Roll'!$B$40,0)</f>
        <v/>
      </c>
      <c r="X17" s="111">
        <f>IF(X$11=FC141,'Rent Roll'!$B$9,0)+IF(X$11=FC142,'Rent Roll'!$B$10,0)+IF(X$11=FC143,'Rent Roll'!$B$11,0)+IF(X$11=FC144,'Rent Roll'!$B$12,0)+IF(X$11=FC145,'Rent Roll'!$B$13,0)+IF(X$11=FC146,'Rent Roll'!$B$36,0)+IF(X$11=FC147,'Rent Roll'!$B$37,0)+IF(X$11=FC148,'Rent Roll'!$B$38,0)+IF(X$11=FC149,'Rent Roll'!$B$39,0)+IF(X$11=FC150,'Rent Roll'!$B$40,0)</f>
        <v/>
      </c>
      <c r="Y17" s="111">
        <f>IF(Y$11=FC141,'Rent Roll'!$B$9,0)+IF(Y$11=FC142,'Rent Roll'!$B$10,0)+IF(Y$11=FC143,'Rent Roll'!$B$11,0)+IF(Y$11=FC144,'Rent Roll'!$B$12,0)+IF(Y$11=FC145,'Rent Roll'!$B$13,0)+IF(Y$11=FC146,'Rent Roll'!$B$36,0)+IF(Y$11=FC147,'Rent Roll'!$B$37,0)+IF(Y$11=FC148,'Rent Roll'!$B$38,0)+IF(Y$11=FC149,'Rent Roll'!$B$39,0)+IF(Y$11=FC150,'Rent Roll'!$B$40,0)</f>
        <v/>
      </c>
      <c r="Z17" s="111">
        <f>IF(Z$11=FC141,'Rent Roll'!$B$9,0)+IF(Z$11=FC142,'Rent Roll'!$B$10,0)+IF(Z$11=FC143,'Rent Roll'!$B$11,0)+IF(Z$11=FC144,'Rent Roll'!$B$12,0)+IF(Z$11=FC145,'Rent Roll'!$B$13,0)+IF(Z$11=FC146,'Rent Roll'!$B$36,0)+IF(Z$11=FC147,'Rent Roll'!$B$37,0)+IF(Z$11=FC148,'Rent Roll'!$B$38,0)+IF(Z$11=FC149,'Rent Roll'!$B$39,0)+IF(Z$11=FC150,'Rent Roll'!$B$40,0)</f>
        <v/>
      </c>
      <c r="AA17" s="111">
        <f>IF(AA$11=FC141,'Rent Roll'!$B$9,0)+IF(AA$11=FC142,'Rent Roll'!$B$10,0)+IF(AA$11=FC143,'Rent Roll'!$B$11,0)+IF(AA$11=FC144,'Rent Roll'!$B$12,0)+IF(AA$11=FC145,'Rent Roll'!$B$13,0)+IF(AA$11=FC146,'Rent Roll'!$B$36,0)+IF(AA$11=FC147,'Rent Roll'!$B$37,0)+IF(AA$11=FC148,'Rent Roll'!$B$38,0)+IF(AA$11=FC149,'Rent Roll'!$B$39,0)+IF(AA$11=FC150,'Rent Roll'!$B$40,0)</f>
        <v/>
      </c>
      <c r="AB17" s="111">
        <f>IF(AB$11=FC141,'Rent Roll'!$B$9,0)+IF(AB$11=FC142,'Rent Roll'!$B$10,0)+IF(AB$11=FC143,'Rent Roll'!$B$11,0)+IF(AB$11=FC144,'Rent Roll'!$B$12,0)+IF(AB$11=FC145,'Rent Roll'!$B$13,0)+IF(AB$11=FC146,'Rent Roll'!$B$36,0)+IF(AB$11=FC147,'Rent Roll'!$B$37,0)+IF(AB$11=FC148,'Rent Roll'!$B$38,0)+IF(AB$11=FC149,'Rent Roll'!$B$39,0)+IF(AB$11=FC150,'Rent Roll'!$B$40,0)</f>
        <v/>
      </c>
      <c r="AC17" s="111">
        <f>IF(AC$11=FC141,'Rent Roll'!$B$9,0)+IF(AC$11=FC142,'Rent Roll'!$B$10,0)+IF(AC$11=FC143,'Rent Roll'!$B$11,0)+IF(AC$11=FC144,'Rent Roll'!$B$12,0)+IF(AC$11=FC145,'Rent Roll'!$B$13,0)+IF(AC$11=FC146,'Rent Roll'!$B$36,0)+IF(AC$11=FC147,'Rent Roll'!$B$37,0)+IF(AC$11=FC148,'Rent Roll'!$B$38,0)+IF(AC$11=FC149,'Rent Roll'!$B$39,0)+IF(AC$11=FC150,'Rent Roll'!$B$40,0)</f>
        <v/>
      </c>
      <c r="AD17" s="111">
        <f>IF(AD$11=FC141,'Rent Roll'!$B$9,0)+IF(AD$11=FC142,'Rent Roll'!$B$10,0)+IF(AD$11=FC143,'Rent Roll'!$B$11,0)+IF(AD$11=FC144,'Rent Roll'!$B$12,0)+IF(AD$11=FC145,'Rent Roll'!$B$13,0)+IF(AD$11=FC146,'Rent Roll'!$B$36,0)+IF(AD$11=FC147,'Rent Roll'!$B$37,0)+IF(AD$11=FC148,'Rent Roll'!$B$38,0)+IF(AD$11=FC149,'Rent Roll'!$B$39,0)+IF(AD$11=FC150,'Rent Roll'!$B$40,0)</f>
        <v/>
      </c>
      <c r="AE17" s="111">
        <f>IF(AE$11=FC141,'Rent Roll'!$B$9,0)+IF(AE$11=FC142,'Rent Roll'!$B$10,0)+IF(AE$11=FC143,'Rent Roll'!$B$11,0)+IF(AE$11=FC144,'Rent Roll'!$B$12,0)+IF(AE$11=FC145,'Rent Roll'!$B$13,0)+IF(AE$11=FC146,'Rent Roll'!$B$36,0)+IF(AE$11=FC147,'Rent Roll'!$B$37,0)+IF(AE$11=FC148,'Rent Roll'!$B$38,0)+IF(AE$11=FC149,'Rent Roll'!$B$39,0)+IF(AE$11=FC150,'Rent Roll'!$B$40,0)</f>
        <v/>
      </c>
      <c r="AF17" s="111">
        <f>IF(AF$11=FC141,'Rent Roll'!$B$9,0)+IF(AF$11=FC142,'Rent Roll'!$B$10,0)+IF(AF$11=FC143,'Rent Roll'!$B$11,0)+IF(AF$11=FC144,'Rent Roll'!$B$12,0)+IF(AF$11=FC145,'Rent Roll'!$B$13,0)+IF(AF$11=FC146,'Rent Roll'!$B$36,0)+IF(AF$11=FC147,'Rent Roll'!$B$37,0)+IF(AF$11=FC148,'Rent Roll'!$B$38,0)+IF(AF$11=FC149,'Rent Roll'!$B$39,0)+IF(AF$11=FC150,'Rent Roll'!$B$40,0)</f>
        <v/>
      </c>
      <c r="AG17" s="111">
        <f>IF(AG$11=FC141,'Rent Roll'!$B$9,0)+IF(AG$11=FC142,'Rent Roll'!$B$10,0)+IF(AG$11=FC143,'Rent Roll'!$B$11,0)+IF(AG$11=FC144,'Rent Roll'!$B$12,0)+IF(AG$11=FC145,'Rent Roll'!$B$13,0)+IF(AG$11=FC146,'Rent Roll'!$B$36,0)+IF(AG$11=FC147,'Rent Roll'!$B$37,0)+IF(AG$11=FC148,'Rent Roll'!$B$38,0)+IF(AG$11=FC149,'Rent Roll'!$B$39,0)+IF(AG$11=FC150,'Rent Roll'!$B$40,0)</f>
        <v/>
      </c>
      <c r="AH17" s="111">
        <f>IF(AH$11=FC141,'Rent Roll'!$B$9,0)+IF(AH$11=FC142,'Rent Roll'!$B$10,0)+IF(AH$11=FC143,'Rent Roll'!$B$11,0)+IF(AH$11=FC144,'Rent Roll'!$B$12,0)+IF(AH$11=FC145,'Rent Roll'!$B$13,0)+IF(AH$11=FC146,'Rent Roll'!$B$36,0)+IF(AH$11=FC147,'Rent Roll'!$B$37,0)+IF(AH$11=FC148,'Rent Roll'!$B$38,0)+IF(AH$11=FC149,'Rent Roll'!$B$39,0)+IF(AH$11=FC150,'Rent Roll'!$B$40,0)</f>
        <v/>
      </c>
      <c r="AI17" s="111">
        <f>IF(AI$11=FC141,'Rent Roll'!$B$9,0)+IF(AI$11=FC142,'Rent Roll'!$B$10,0)+IF(AI$11=FC143,'Rent Roll'!$B$11,0)+IF(AI$11=FC144,'Rent Roll'!$B$12,0)+IF(AI$11=FC145,'Rent Roll'!$B$13,0)+IF(AI$11=FC146,'Rent Roll'!$B$36,0)+IF(AI$11=FC147,'Rent Roll'!$B$37,0)+IF(AI$11=FC148,'Rent Roll'!$B$38,0)+IF(AI$11=FC149,'Rent Roll'!$B$39,0)+IF(AI$11=FC150,'Rent Roll'!$B$40,0)</f>
        <v/>
      </c>
      <c r="AJ17" s="111">
        <f>IF(AJ$11=FC141,'Rent Roll'!$B$9,0)+IF(AJ$11=FC142,'Rent Roll'!$B$10,0)+IF(AJ$11=FC143,'Rent Roll'!$B$11,0)+IF(AJ$11=FC144,'Rent Roll'!$B$12,0)+IF(AJ$11=FC145,'Rent Roll'!$B$13,0)+IF(AJ$11=FC146,'Rent Roll'!$B$36,0)+IF(AJ$11=FC147,'Rent Roll'!$B$37,0)+IF(AJ$11=FC148,'Rent Roll'!$B$38,0)+IF(AJ$11=FC149,'Rent Roll'!$B$39,0)+IF(AJ$11=FC150,'Rent Roll'!$B$40,0)</f>
        <v/>
      </c>
      <c r="AK17" s="111">
        <f>IF(AK$11=FC141,'Rent Roll'!$B$9,0)+IF(AK$11=FC142,'Rent Roll'!$B$10,0)+IF(AK$11=FC143,'Rent Roll'!$B$11,0)+IF(AK$11=FC144,'Rent Roll'!$B$12,0)+IF(AK$11=FC145,'Rent Roll'!$B$13,0)+IF(AK$11=FC146,'Rent Roll'!$B$36,0)+IF(AK$11=FC147,'Rent Roll'!$B$37,0)+IF(AK$11=FC148,'Rent Roll'!$B$38,0)+IF(AK$11=FC149,'Rent Roll'!$B$39,0)+IF(AK$11=FC150,'Rent Roll'!$B$40,0)</f>
        <v/>
      </c>
      <c r="AL17" s="111">
        <f>IF(AL$11=FC141,'Rent Roll'!$B$9,0)+IF(AL$11=FC142,'Rent Roll'!$B$10,0)+IF(AL$11=FC143,'Rent Roll'!$B$11,0)+IF(AL$11=FC144,'Rent Roll'!$B$12,0)+IF(AL$11=FC145,'Rent Roll'!$B$13,0)+IF(AL$11=FC146,'Rent Roll'!$B$36,0)+IF(AL$11=FC147,'Rent Roll'!$B$37,0)+IF(AL$11=FC148,'Rent Roll'!$B$38,0)+IF(AL$11=FC149,'Rent Roll'!$B$39,0)+IF(AL$11=FC150,'Rent Roll'!$B$40,0)</f>
        <v/>
      </c>
      <c r="AM17" s="111">
        <f>IF(AM$11=FC141,'Rent Roll'!$B$9,0)+IF(AM$11=FC142,'Rent Roll'!$B$10,0)+IF(AM$11=FC143,'Rent Roll'!$B$11,0)+IF(AM$11=FC144,'Rent Roll'!$B$12,0)+IF(AM$11=FC145,'Rent Roll'!$B$13,0)+IF(AM$11=FC146,'Rent Roll'!$B$36,0)+IF(AM$11=FC147,'Rent Roll'!$B$37,0)+IF(AM$11=FC148,'Rent Roll'!$B$38,0)+IF(AM$11=FC149,'Rent Roll'!$B$39,0)+IF(AM$11=FC150,'Rent Roll'!$B$40,0)</f>
        <v/>
      </c>
      <c r="AN17" s="111">
        <f>IF(AN$11=FC141,'Rent Roll'!$B$9,0)+IF(AN$11=FC142,'Rent Roll'!$B$10,0)+IF(AN$11=FC143,'Rent Roll'!$B$11,0)+IF(AN$11=FC144,'Rent Roll'!$B$12,0)+IF(AN$11=FC145,'Rent Roll'!$B$13,0)+IF(AN$11=FC146,'Rent Roll'!$B$36,0)+IF(AN$11=FC147,'Rent Roll'!$B$37,0)+IF(AN$11=FC148,'Rent Roll'!$B$38,0)+IF(AN$11=FC149,'Rent Roll'!$B$39,0)+IF(AN$11=FC150,'Rent Roll'!$B$40,0)</f>
        <v/>
      </c>
      <c r="AO17" s="111">
        <f>IF(AO$11=FC141,'Rent Roll'!$B$9,0)+IF(AO$11=FC142,'Rent Roll'!$B$10,0)+IF(AO$11=FC143,'Rent Roll'!$B$11,0)+IF(AO$11=FC144,'Rent Roll'!$B$12,0)+IF(AO$11=FC145,'Rent Roll'!$B$13,0)+IF(AO$11=FC146,'Rent Roll'!$B$36,0)+IF(AO$11=FC147,'Rent Roll'!$B$37,0)+IF(AO$11=FC148,'Rent Roll'!$B$38,0)+IF(AO$11=FC149,'Rent Roll'!$B$39,0)+IF(AO$11=FC150,'Rent Roll'!$B$40,0)</f>
        <v/>
      </c>
      <c r="AP17" s="111">
        <f>IF(AP$11=FC141,'Rent Roll'!$B$9,0)+IF(AP$11=FC142,'Rent Roll'!$B$10,0)+IF(AP$11=FC143,'Rent Roll'!$B$11,0)+IF(AP$11=FC144,'Rent Roll'!$B$12,0)+IF(AP$11=FC145,'Rent Roll'!$B$13,0)+IF(AP$11=FC146,'Rent Roll'!$B$36,0)+IF(AP$11=FC147,'Rent Roll'!$B$37,0)+IF(AP$11=FC148,'Rent Roll'!$B$38,0)+IF(AP$11=FC149,'Rent Roll'!$B$39,0)+IF(AP$11=FC150,'Rent Roll'!$B$40,0)</f>
        <v/>
      </c>
      <c r="AQ17" s="111">
        <f>IF(AQ$11=FC141,'Rent Roll'!$B$9,0)+IF(AQ$11=FC142,'Rent Roll'!$B$10,0)+IF(AQ$11=FC143,'Rent Roll'!$B$11,0)+IF(AQ$11=FC144,'Rent Roll'!$B$12,0)+IF(AQ$11=FC145,'Rent Roll'!$B$13,0)+IF(AQ$11=FC146,'Rent Roll'!$B$36,0)+IF(AQ$11=FC147,'Rent Roll'!$B$37,0)+IF(AQ$11=FC148,'Rent Roll'!$B$38,0)+IF(AQ$11=FC149,'Rent Roll'!$B$39,0)+IF(AQ$11=FC150,'Rent Roll'!$B$40,0)</f>
        <v/>
      </c>
      <c r="AR17" s="111">
        <f>IF(AR$11=FC141,'Rent Roll'!$B$9,0)+IF(AR$11=FC142,'Rent Roll'!$B$10,0)+IF(AR$11=FC143,'Rent Roll'!$B$11,0)+IF(AR$11=FC144,'Rent Roll'!$B$12,0)+IF(AR$11=FC145,'Rent Roll'!$B$13,0)+IF(AR$11=FC146,'Rent Roll'!$B$36,0)+IF(AR$11=FC147,'Rent Roll'!$B$37,0)+IF(AR$11=FC148,'Rent Roll'!$B$38,0)+IF(AR$11=FC149,'Rent Roll'!$B$39,0)+IF(AR$11=FC150,'Rent Roll'!$B$40,0)</f>
        <v/>
      </c>
      <c r="AS17" s="111">
        <f>IF(AS$11=FC141,'Rent Roll'!$B$9,0)+IF(AS$11=FC142,'Rent Roll'!$B$10,0)+IF(AS$11=FC143,'Rent Roll'!$B$11,0)+IF(AS$11=FC144,'Rent Roll'!$B$12,0)+IF(AS$11=FC145,'Rent Roll'!$B$13,0)+IF(AS$11=FC146,'Rent Roll'!$B$36,0)+IF(AS$11=FC147,'Rent Roll'!$B$37,0)+IF(AS$11=FC148,'Rent Roll'!$B$38,0)+IF(AS$11=FC149,'Rent Roll'!$B$39,0)+IF(AS$11=FC150,'Rent Roll'!$B$40,0)</f>
        <v/>
      </c>
      <c r="AT17" s="111">
        <f>IF(AT$11=FC141,'Rent Roll'!$B$9,0)+IF(AT$11=FC142,'Rent Roll'!$B$10,0)+IF(AT$11=FC143,'Rent Roll'!$B$11,0)+IF(AT$11=FC144,'Rent Roll'!$B$12,0)+IF(AT$11=FC145,'Rent Roll'!$B$13,0)+IF(AT$11=FC146,'Rent Roll'!$B$36,0)+IF(AT$11=FC147,'Rent Roll'!$B$37,0)+IF(AT$11=FC148,'Rent Roll'!$B$38,0)+IF(AT$11=FC149,'Rent Roll'!$B$39,0)+IF(AT$11=FC150,'Rent Roll'!$B$40,0)</f>
        <v/>
      </c>
      <c r="AU17" s="111">
        <f>IF(AU$11=FC141,'Rent Roll'!$B$9,0)+IF(AU$11=FC142,'Rent Roll'!$B$10,0)+IF(AU$11=FC143,'Rent Roll'!$B$11,0)+IF(AU$11=FC144,'Rent Roll'!$B$12,0)+IF(AU$11=FC145,'Rent Roll'!$B$13,0)+IF(AU$11=FC146,'Rent Roll'!$B$36,0)+IF(AU$11=FC147,'Rent Roll'!$B$37,0)+IF(AU$11=FC148,'Rent Roll'!$B$38,0)+IF(AU$11=FC149,'Rent Roll'!$B$39,0)+IF(AU$11=FC150,'Rent Roll'!$B$40,0)</f>
        <v/>
      </c>
      <c r="AV17" s="111">
        <f>IF(AV$11=FC141,'Rent Roll'!$B$9,0)+IF(AV$11=FC142,'Rent Roll'!$B$10,0)+IF(AV$11=FC143,'Rent Roll'!$B$11,0)+IF(AV$11=FC144,'Rent Roll'!$B$12,0)+IF(AV$11=FC145,'Rent Roll'!$B$13,0)+IF(AV$11=FC146,'Rent Roll'!$B$36,0)+IF(AV$11=FC147,'Rent Roll'!$B$37,0)+IF(AV$11=FC148,'Rent Roll'!$B$38,0)+IF(AV$11=FC149,'Rent Roll'!$B$39,0)+IF(AV$11=FC150,'Rent Roll'!$B$40,0)</f>
        <v/>
      </c>
      <c r="AW17" s="111">
        <f>IF(AW$11=FC141,'Rent Roll'!$B$9,0)+IF(AW$11=FC142,'Rent Roll'!$B$10,0)+IF(AW$11=FC143,'Rent Roll'!$B$11,0)+IF(AW$11=FC144,'Rent Roll'!$B$12,0)+IF(AW$11=FC145,'Rent Roll'!$B$13,0)+IF(AW$11=FC146,'Rent Roll'!$B$36,0)+IF(AW$11=FC147,'Rent Roll'!$B$37,0)+IF(AW$11=FC148,'Rent Roll'!$B$38,0)+IF(AW$11=FC149,'Rent Roll'!$B$39,0)+IF(AW$11=FC150,'Rent Roll'!$B$40,0)</f>
        <v/>
      </c>
      <c r="AX17" s="111">
        <f>IF(AX$11=FC141,'Rent Roll'!$B$9,0)+IF(AX$11=FC142,'Rent Roll'!$B$10,0)+IF(AX$11=FC143,'Rent Roll'!$B$11,0)+IF(AX$11=FC144,'Rent Roll'!$B$12,0)+IF(AX$11=FC145,'Rent Roll'!$B$13,0)+IF(AX$11=FC146,'Rent Roll'!$B$36,0)+IF(AX$11=FC147,'Rent Roll'!$B$37,0)+IF(AX$11=FC148,'Rent Roll'!$B$38,0)+IF(AX$11=FC149,'Rent Roll'!$B$39,0)+IF(AX$11=FC150,'Rent Roll'!$B$40,0)</f>
        <v/>
      </c>
      <c r="AY17" s="111">
        <f>IF(AY$11=FC141,'Rent Roll'!$B$9,0)+IF(AY$11=FC142,'Rent Roll'!$B$10,0)+IF(AY$11=FC143,'Rent Roll'!$B$11,0)+IF(AY$11=FC144,'Rent Roll'!$B$12,0)+IF(AY$11=FC145,'Rent Roll'!$B$13,0)+IF(AY$11=FC146,'Rent Roll'!$B$36,0)+IF(AY$11=FC147,'Rent Roll'!$B$37,0)+IF(AY$11=FC148,'Rent Roll'!$B$38,0)+IF(AY$11=FC149,'Rent Roll'!$B$39,0)+IF(AY$11=FC150,'Rent Roll'!$B$40,0)</f>
        <v/>
      </c>
      <c r="AZ17" s="111">
        <f>IF(AZ$11=FC141,'Rent Roll'!$B$9,0)+IF(AZ$11=FC142,'Rent Roll'!$B$10,0)+IF(AZ$11=FC143,'Rent Roll'!$B$11,0)+IF(AZ$11=FC144,'Rent Roll'!$B$12,0)+IF(AZ$11=FC145,'Rent Roll'!$B$13,0)+IF(AZ$11=FC146,'Rent Roll'!$B$36,0)+IF(AZ$11=FC147,'Rent Roll'!$B$37,0)+IF(AZ$11=FC148,'Rent Roll'!$B$38,0)+IF(AZ$11=FC149,'Rent Roll'!$B$39,0)+IF(AZ$11=FC150,'Rent Roll'!$B$40,0)</f>
        <v/>
      </c>
      <c r="BA17" s="111">
        <f>IF(BA$11=FC141,'Rent Roll'!$B$9,0)+IF(BA$11=FC142,'Rent Roll'!$B$10,0)+IF(BA$11=FC143,'Rent Roll'!$B$11,0)+IF(BA$11=FC144,'Rent Roll'!$B$12,0)+IF(BA$11=FC145,'Rent Roll'!$B$13,0)+IF(BA$11=FC146,'Rent Roll'!$B$36,0)+IF(BA$11=FC147,'Rent Roll'!$B$37,0)+IF(BA$11=FC148,'Rent Roll'!$B$38,0)+IF(BA$11=FC149,'Rent Roll'!$B$39,0)+IF(BA$11=FC150,'Rent Roll'!$B$40,0)</f>
        <v/>
      </c>
      <c r="BB17" s="111">
        <f>IF(BB$11=FC141,'Rent Roll'!$B$9,0)+IF(BB$11=FC142,'Rent Roll'!$B$10,0)+IF(BB$11=FC143,'Rent Roll'!$B$11,0)+IF(BB$11=FC144,'Rent Roll'!$B$12,0)+IF(BB$11=FC145,'Rent Roll'!$B$13,0)+IF(BB$11=FC146,'Rent Roll'!$B$36,0)+IF(BB$11=FC147,'Rent Roll'!$B$37,0)+IF(BB$11=FC148,'Rent Roll'!$B$38,0)+IF(BB$11=FC149,'Rent Roll'!$B$39,0)+IF(BB$11=FC150,'Rent Roll'!$B$40,0)</f>
        <v/>
      </c>
      <c r="BC17" s="111">
        <f>IF(BC$11=FC141,'Rent Roll'!$B$9,0)+IF(BC$11=FC142,'Rent Roll'!$B$10,0)+IF(BC$11=FC143,'Rent Roll'!$B$11,0)+IF(BC$11=FC144,'Rent Roll'!$B$12,0)+IF(BC$11=FC145,'Rent Roll'!$B$13,0)+IF(BC$11=FC146,'Rent Roll'!$B$36,0)+IF(BC$11=FC147,'Rent Roll'!$B$37,0)+IF(BC$11=FC148,'Rent Roll'!$B$38,0)+IF(BC$11=FC149,'Rent Roll'!$B$39,0)+IF(BC$11=FC150,'Rent Roll'!$B$40,0)</f>
        <v/>
      </c>
      <c r="BD17" s="111">
        <f>IF(BD$11=FC141,'Rent Roll'!$B$9,0)+IF(BD$11=FC142,'Rent Roll'!$B$10,0)+IF(BD$11=FC143,'Rent Roll'!$B$11,0)+IF(BD$11=FC144,'Rent Roll'!$B$12,0)+IF(BD$11=FC145,'Rent Roll'!$B$13,0)+IF(BD$11=FC146,'Rent Roll'!$B$36,0)+IF(BD$11=FC147,'Rent Roll'!$B$37,0)+IF(BD$11=FC148,'Rent Roll'!$B$38,0)+IF(BD$11=FC149,'Rent Roll'!$B$39,0)+IF(BD$11=FC150,'Rent Roll'!$B$40,0)</f>
        <v/>
      </c>
      <c r="BE17" s="111">
        <f>IF(BE$11=FC141,'Rent Roll'!$B$9,0)+IF(BE$11=FC142,'Rent Roll'!$B$10,0)+IF(BE$11=FC143,'Rent Roll'!$B$11,0)+IF(BE$11=FC144,'Rent Roll'!$B$12,0)+IF(BE$11=FC145,'Rent Roll'!$B$13,0)+IF(BE$11=FC146,'Rent Roll'!$B$36,0)+IF(BE$11=FC147,'Rent Roll'!$B$37,0)+IF(BE$11=FC148,'Rent Roll'!$B$38,0)+IF(BE$11=FC149,'Rent Roll'!$B$39,0)+IF(BE$11=FC150,'Rent Roll'!$B$40,0)</f>
        <v/>
      </c>
      <c r="BF17" s="111">
        <f>IF(BF$11=FC141,'Rent Roll'!$B$9,0)+IF(BF$11=FC142,'Rent Roll'!$B$10,0)+IF(BF$11=FC143,'Rent Roll'!$B$11,0)+IF(BF$11=FC144,'Rent Roll'!$B$12,0)+IF(BF$11=FC145,'Rent Roll'!$B$13,0)+IF(BF$11=FC146,'Rent Roll'!$B$36,0)+IF(BF$11=FC147,'Rent Roll'!$B$37,0)+IF(BF$11=FC148,'Rent Roll'!$B$38,0)+IF(BF$11=FC149,'Rent Roll'!$B$39,0)+IF(BF$11=FC150,'Rent Roll'!$B$40,0)</f>
        <v/>
      </c>
      <c r="BG17" s="111">
        <f>IF(BG$11=FC141,'Rent Roll'!$B$9,0)+IF(BG$11=FC142,'Rent Roll'!$B$10,0)+IF(BG$11=FC143,'Rent Roll'!$B$11,0)+IF(BG$11=FC144,'Rent Roll'!$B$12,0)+IF(BG$11=FC145,'Rent Roll'!$B$13,0)+IF(BG$11=FC146,'Rent Roll'!$B$36,0)+IF(BG$11=FC147,'Rent Roll'!$B$37,0)+IF(BG$11=FC148,'Rent Roll'!$B$38,0)+IF(BG$11=FC149,'Rent Roll'!$B$39,0)+IF(BG$11=FC150,'Rent Roll'!$B$40,0)</f>
        <v/>
      </c>
      <c r="BH17" s="111">
        <f>IF(BH$11=FC141,'Rent Roll'!$B$9,0)+IF(BH$11=FC142,'Rent Roll'!$B$10,0)+IF(BH$11=FC143,'Rent Roll'!$B$11,0)+IF(BH$11=FC144,'Rent Roll'!$B$12,0)+IF(BH$11=FC145,'Rent Roll'!$B$13,0)+IF(BH$11=FC146,'Rent Roll'!$B$36,0)+IF(BH$11=FC147,'Rent Roll'!$B$37,0)+IF(BH$11=FC148,'Rent Roll'!$B$38,0)+IF(BH$11=FC149,'Rent Roll'!$B$39,0)+IF(BH$11=FC150,'Rent Roll'!$B$40,0)</f>
        <v/>
      </c>
      <c r="BI17" s="111">
        <f>IF(BI$11=FC141,'Rent Roll'!$B$9,0)+IF(BI$11=FC142,'Rent Roll'!$B$10,0)+IF(BI$11=FC143,'Rent Roll'!$B$11,0)+IF(BI$11=FC144,'Rent Roll'!$B$12,0)+IF(BI$11=FC145,'Rent Roll'!$B$13,0)+IF(BI$11=FC146,'Rent Roll'!$B$36,0)+IF(BI$11=FC147,'Rent Roll'!$B$37,0)+IF(BI$11=FC148,'Rent Roll'!$B$38,0)+IF(BI$11=FC149,'Rent Roll'!$B$39,0)+IF(BI$11=FC150,'Rent Roll'!$B$40,0)</f>
        <v/>
      </c>
      <c r="BJ17" s="111">
        <f>IF(BJ$11=FC141,'Rent Roll'!$B$9,0)+IF(BJ$11=FC142,'Rent Roll'!$B$10,0)+IF(BJ$11=FC143,'Rent Roll'!$B$11,0)+IF(BJ$11=FC144,'Rent Roll'!$B$12,0)+IF(BJ$11=FC145,'Rent Roll'!$B$13,0)+IF(BJ$11=FC146,'Rent Roll'!$B$36,0)+IF(BJ$11=FC147,'Rent Roll'!$B$37,0)+IF(BJ$11=FC148,'Rent Roll'!$B$38,0)+IF(BJ$11=FC149,'Rent Roll'!$B$39,0)+IF(BJ$11=FC150,'Rent Roll'!$B$40,0)</f>
        <v/>
      </c>
      <c r="BK17" s="111">
        <f>IF(BK$11=FC141,'Rent Roll'!$B$9,0)+IF(BK$11=FC142,'Rent Roll'!$B$10,0)+IF(BK$11=FC143,'Rent Roll'!$B$11,0)+IF(BK$11=FC144,'Rent Roll'!$B$12,0)+IF(BK$11=FC145,'Rent Roll'!$B$13,0)+IF(BK$11=FC146,'Rent Roll'!$B$36,0)+IF(BK$11=FC147,'Rent Roll'!$B$37,0)+IF(BK$11=FC148,'Rent Roll'!$B$38,0)+IF(BK$11=FC149,'Rent Roll'!$B$39,0)+IF(BK$11=FC150,'Rent Roll'!$B$40,0)</f>
        <v/>
      </c>
      <c r="BL17" s="111">
        <f>IF(BL$11=FC141,'Rent Roll'!$B$9,0)+IF(BL$11=FC142,'Rent Roll'!$B$10,0)+IF(BL$11=FC143,'Rent Roll'!$B$11,0)+IF(BL$11=FC144,'Rent Roll'!$B$12,0)+IF(BL$11=FC145,'Rent Roll'!$B$13,0)+IF(BL$11=FC146,'Rent Roll'!$B$36,0)+IF(BL$11=FC147,'Rent Roll'!$B$37,0)+IF(BL$11=FC148,'Rent Roll'!$B$38,0)+IF(BL$11=FC149,'Rent Roll'!$B$39,0)+IF(BL$11=FC150,'Rent Roll'!$B$40,0)</f>
        <v/>
      </c>
      <c r="BM17" s="111">
        <f>IF(BM$11=FD141,'Rent Roll'!$B$9,0)+IF(BM$11=FD142,'Rent Roll'!$B$10,0)+IF(BM$11=FD143,'Rent Roll'!$B$11,0)+IF(BM$11=FD144,'Rent Roll'!$B$12,0)+IF(BM$11=FD145,'Rent Roll'!$B$13,0)+IF(BM$11=FD146,'Rent Roll'!$B$36,0)+IF(BM$11=FD147,'Rent Roll'!$B$37,0)+IF(BM$11=FD148,'Rent Roll'!$B$38,0)+IF(BM$11=FD149,'Rent Roll'!$B$39,0)+IF(BM$11=FD150,'Rent Roll'!$B$40,0)</f>
        <v/>
      </c>
      <c r="BN17" s="111">
        <f>IF(BN$11=FE141,'Rent Roll'!$B$9,0)+IF(BN$11=FE142,'Rent Roll'!$B$10,0)+IF(BN$11=FE143,'Rent Roll'!$B$11,0)+IF(BN$11=FE144,'Rent Roll'!$B$12,0)+IF(BN$11=FE145,'Rent Roll'!$B$13,0)+IF(BN$11=FE146,'Rent Roll'!$B$36,0)+IF(BN$11=FE147,'Rent Roll'!$B$37,0)+IF(BN$11=FE148,'Rent Roll'!$B$38,0)+IF(BN$11=FE149,'Rent Roll'!$B$39,0)+IF(BN$11=FE150,'Rent Roll'!$B$40,0)</f>
        <v/>
      </c>
      <c r="BO17" s="111">
        <f>IF(BO$11=FF141,'Rent Roll'!$B$9,0)+IF(BO$11=FF142,'Rent Roll'!$B$10,0)+IF(BO$11=FF143,'Rent Roll'!$B$11,0)+IF(BO$11=FF144,'Rent Roll'!$B$12,0)+IF(BO$11=FF145,'Rent Roll'!$B$13,0)+IF(BO$11=FF146,'Rent Roll'!$B$36,0)+IF(BO$11=FF147,'Rent Roll'!$B$37,0)+IF(BO$11=FF148,'Rent Roll'!$B$38,0)+IF(BO$11=FF149,'Rent Roll'!$B$39,0)+IF(BO$11=FF150,'Rent Roll'!$B$40,0)</f>
        <v/>
      </c>
      <c r="BP17" s="111">
        <f>IF(BP$11=FG141,'Rent Roll'!$B$9,0)+IF(BP$11=FG142,'Rent Roll'!$B$10,0)+IF(BP$11=FG143,'Rent Roll'!$B$11,0)+IF(BP$11=FG144,'Rent Roll'!$B$12,0)+IF(BP$11=FG145,'Rent Roll'!$B$13,0)+IF(BP$11=FG146,'Rent Roll'!$B$36,0)+IF(BP$11=FG147,'Rent Roll'!$B$37,0)+IF(BP$11=FG148,'Rent Roll'!$B$38,0)+IF(BP$11=FG149,'Rent Roll'!$B$39,0)+IF(BP$11=FG150,'Rent Roll'!$B$40,0)</f>
        <v/>
      </c>
      <c r="BQ17" s="111">
        <f>IF(BQ$11=FH141,'Rent Roll'!$B$9,0)+IF(BQ$11=FH142,'Rent Roll'!$B$10,0)+IF(BQ$11=FH143,'Rent Roll'!$B$11,0)+IF(BQ$11=FH144,'Rent Roll'!$B$12,0)+IF(BQ$11=FH145,'Rent Roll'!$B$13,0)+IF(BQ$11=FH146,'Rent Roll'!$B$36,0)+IF(BQ$11=FH147,'Rent Roll'!$B$37,0)+IF(BQ$11=FH148,'Rent Roll'!$B$38,0)+IF(BQ$11=FH149,'Rent Roll'!$B$39,0)+IF(BQ$11=FH150,'Rent Roll'!$B$40,0)</f>
        <v/>
      </c>
      <c r="BR17" s="111">
        <f>IF(BR$11=FI141,'Rent Roll'!$B$9,0)+IF(BR$11=FI142,'Rent Roll'!$B$10,0)+IF(BR$11=FI143,'Rent Roll'!$B$11,0)+IF(BR$11=FI144,'Rent Roll'!$B$12,0)+IF(BR$11=FI145,'Rent Roll'!$B$13,0)+IF(BR$11=FI146,'Rent Roll'!$B$36,0)+IF(BR$11=FI147,'Rent Roll'!$B$37,0)+IF(BR$11=FI148,'Rent Roll'!$B$38,0)+IF(BR$11=FI149,'Rent Roll'!$B$39,0)+IF(BR$11=FI150,'Rent Roll'!$B$40,0)</f>
        <v/>
      </c>
      <c r="BS17" s="111">
        <f>IF(BS$11=FJ141,'Rent Roll'!$B$9,0)+IF(BS$11=FJ142,'Rent Roll'!$B$10,0)+IF(BS$11=FJ143,'Rent Roll'!$B$11,0)+IF(BS$11=FJ144,'Rent Roll'!$B$12,0)+IF(BS$11=FJ145,'Rent Roll'!$B$13,0)+IF(BS$11=FJ146,'Rent Roll'!$B$36,0)+IF(BS$11=FJ147,'Rent Roll'!$B$37,0)+IF(BS$11=FJ148,'Rent Roll'!$B$38,0)+IF(BS$11=FJ149,'Rent Roll'!$B$39,0)+IF(BS$11=FJ150,'Rent Roll'!$B$40,0)</f>
        <v/>
      </c>
      <c r="BT17" s="111">
        <f>IF(BT$11=FK141,'Rent Roll'!$B$9,0)+IF(BT$11=FK142,'Rent Roll'!$B$10,0)+IF(BT$11=FK143,'Rent Roll'!$B$11,0)+IF(BT$11=FK144,'Rent Roll'!$B$12,0)+IF(BT$11=FK145,'Rent Roll'!$B$13,0)+IF(BT$11=FK146,'Rent Roll'!$B$36,0)+IF(BT$11=FK147,'Rent Roll'!$B$37,0)+IF(BT$11=FK148,'Rent Roll'!$B$38,0)+IF(BT$11=FK149,'Rent Roll'!$B$39,0)+IF(BT$11=FK150,'Rent Roll'!$B$40,0)</f>
        <v/>
      </c>
      <c r="BU17" s="111">
        <f>IF(BU$11=FL141,'Rent Roll'!$B$9,0)+IF(BU$11=FL142,'Rent Roll'!$B$10,0)+IF(BU$11=FL143,'Rent Roll'!$B$11,0)+IF(BU$11=FL144,'Rent Roll'!$B$12,0)+IF(BU$11=FL145,'Rent Roll'!$B$13,0)+IF(BU$11=FL146,'Rent Roll'!$B$36,0)+IF(BU$11=FL147,'Rent Roll'!$B$37,0)+IF(BU$11=FL148,'Rent Roll'!$B$38,0)+IF(BU$11=FL149,'Rent Roll'!$B$39,0)+IF(BU$11=FL150,'Rent Roll'!$B$40,0)</f>
        <v/>
      </c>
      <c r="BV17" s="111">
        <f>IF(BV$11=FM141,'Rent Roll'!$B$9,0)+IF(BV$11=FM142,'Rent Roll'!$B$10,0)+IF(BV$11=FM143,'Rent Roll'!$B$11,0)+IF(BV$11=FM144,'Rent Roll'!$B$12,0)+IF(BV$11=FM145,'Rent Roll'!$B$13,0)+IF(BV$11=FM146,'Rent Roll'!$B$36,0)+IF(BV$11=FM147,'Rent Roll'!$B$37,0)+IF(BV$11=FM148,'Rent Roll'!$B$38,0)+IF(BV$11=FM149,'Rent Roll'!$B$39,0)+IF(BV$11=FM150,'Rent Roll'!$B$40,0)</f>
        <v/>
      </c>
      <c r="BW17" s="111">
        <f>IF(BW$11=FN141,'Rent Roll'!$B$9,0)+IF(BW$11=FN142,'Rent Roll'!$B$10,0)+IF(BW$11=FN143,'Rent Roll'!$B$11,0)+IF(BW$11=FN144,'Rent Roll'!$B$12,0)+IF(BW$11=FN145,'Rent Roll'!$B$13,0)+IF(BW$11=FN146,'Rent Roll'!$B$36,0)+IF(BW$11=FN147,'Rent Roll'!$B$37,0)+IF(BW$11=FN148,'Rent Roll'!$B$38,0)+IF(BW$11=FN149,'Rent Roll'!$B$39,0)+IF(BW$11=FN150,'Rent Roll'!$B$40,0)</f>
        <v/>
      </c>
      <c r="BX17" s="111">
        <f>IF(BX$11=FO141,'Rent Roll'!$B$9,0)+IF(BX$11=FO142,'Rent Roll'!$B$10,0)+IF(BX$11=FO143,'Rent Roll'!$B$11,0)+IF(BX$11=FO144,'Rent Roll'!$B$12,0)+IF(BX$11=FO145,'Rent Roll'!$B$13,0)+IF(BX$11=FO146,'Rent Roll'!$B$36,0)+IF(BX$11=FO147,'Rent Roll'!$B$37,0)+IF(BX$11=FO148,'Rent Roll'!$B$38,0)+IF(BX$11=FO149,'Rent Roll'!$B$39,0)+IF(BX$11=FO150,'Rent Roll'!$B$40,0)</f>
        <v/>
      </c>
      <c r="BY17" s="111">
        <f>IF(BY$11=FP141,'Rent Roll'!$B$9,0)+IF(BY$11=FP142,'Rent Roll'!$B$10,0)+IF(BY$11=FP143,'Rent Roll'!$B$11,0)+IF(BY$11=FP144,'Rent Roll'!$B$12,0)+IF(BY$11=FP145,'Rent Roll'!$B$13,0)+IF(BY$11=FP146,'Rent Roll'!$B$36,0)+IF(BY$11=FP147,'Rent Roll'!$B$37,0)+IF(BY$11=FP148,'Rent Roll'!$B$38,0)+IF(BY$11=FP149,'Rent Roll'!$B$39,0)+IF(BY$11=FP150,'Rent Roll'!$B$40,0)</f>
        <v/>
      </c>
      <c r="BZ17" s="111">
        <f>IF(BZ$11=FQ141,'Rent Roll'!$B$9,0)+IF(BZ$11=FQ142,'Rent Roll'!$B$10,0)+IF(BZ$11=FQ143,'Rent Roll'!$B$11,0)+IF(BZ$11=FQ144,'Rent Roll'!$B$12,0)+IF(BZ$11=FQ145,'Rent Roll'!$B$13,0)+IF(BZ$11=FQ146,'Rent Roll'!$B$36,0)+IF(BZ$11=FQ147,'Rent Roll'!$B$37,0)+IF(BZ$11=FQ148,'Rent Roll'!$B$38,0)+IF(BZ$11=FQ149,'Rent Roll'!$B$39,0)+IF(BZ$11=FQ150,'Rent Roll'!$B$40,0)</f>
        <v/>
      </c>
      <c r="CA17" s="111">
        <f>IF(CA$11=FR141,'Rent Roll'!$B$9,0)+IF(CA$11=FR142,'Rent Roll'!$B$10,0)+IF(CA$11=FR143,'Rent Roll'!$B$11,0)+IF(CA$11=FR144,'Rent Roll'!$B$12,0)+IF(CA$11=FR145,'Rent Roll'!$B$13,0)+IF(CA$11=FR146,'Rent Roll'!$B$36,0)+IF(CA$11=FR147,'Rent Roll'!$B$37,0)+IF(CA$11=FR148,'Rent Roll'!$B$38,0)+IF(CA$11=FR149,'Rent Roll'!$B$39,0)+IF(CA$11=FR150,'Rent Roll'!$B$40,0)</f>
        <v/>
      </c>
      <c r="CB17" s="111">
        <f>IF(CB$11=FS141,'Rent Roll'!$B$9,0)+IF(CB$11=FS142,'Rent Roll'!$B$10,0)+IF(CB$11=FS143,'Rent Roll'!$B$11,0)+IF(CB$11=FS144,'Rent Roll'!$B$12,0)+IF(CB$11=FS145,'Rent Roll'!$B$13,0)+IF(CB$11=FS146,'Rent Roll'!$B$36,0)+IF(CB$11=FS147,'Rent Roll'!$B$37,0)+IF(CB$11=FS148,'Rent Roll'!$B$38,0)+IF(CB$11=FS149,'Rent Roll'!$B$39,0)+IF(CB$11=FS150,'Rent Roll'!$B$40,0)</f>
        <v/>
      </c>
      <c r="CC17" s="111">
        <f>IF(CC$11=FT141,'Rent Roll'!$B$9,0)+IF(CC$11=FT142,'Rent Roll'!$B$10,0)+IF(CC$11=FT143,'Rent Roll'!$B$11,0)+IF(CC$11=FT144,'Rent Roll'!$B$12,0)+IF(CC$11=FT145,'Rent Roll'!$B$13,0)+IF(CC$11=FT146,'Rent Roll'!$B$36,0)+IF(CC$11=FT147,'Rent Roll'!$B$37,0)+IF(CC$11=FT148,'Rent Roll'!$B$38,0)+IF(CC$11=FT149,'Rent Roll'!$B$39,0)+IF(CC$11=FT150,'Rent Roll'!$B$40,0)</f>
        <v/>
      </c>
      <c r="CD17" s="111">
        <f>IF(CD$11=FU141,'Rent Roll'!$B$9,0)+IF(CD$11=FU142,'Rent Roll'!$B$10,0)+IF(CD$11=FU143,'Rent Roll'!$B$11,0)+IF(CD$11=FU144,'Rent Roll'!$B$12,0)+IF(CD$11=FU145,'Rent Roll'!$B$13,0)+IF(CD$11=FU146,'Rent Roll'!$B$36,0)+IF(CD$11=FU147,'Rent Roll'!$B$37,0)+IF(CD$11=FU148,'Rent Roll'!$B$38,0)+IF(CD$11=FU149,'Rent Roll'!$B$39,0)+IF(CD$11=FU150,'Rent Roll'!$B$40,0)</f>
        <v/>
      </c>
      <c r="CE17" s="111">
        <f>IF(CE$11=FV141,'Rent Roll'!$B$9,0)+IF(CE$11=FV142,'Rent Roll'!$B$10,0)+IF(CE$11=FV143,'Rent Roll'!$B$11,0)+IF(CE$11=FV144,'Rent Roll'!$B$12,0)+IF(CE$11=FV145,'Rent Roll'!$B$13,0)+IF(CE$11=FV146,'Rent Roll'!$B$36,0)+IF(CE$11=FV147,'Rent Roll'!$B$37,0)+IF(CE$11=FV148,'Rent Roll'!$B$38,0)+IF(CE$11=FV149,'Rent Roll'!$B$39,0)+IF(CE$11=FV150,'Rent Roll'!$B$40,0)</f>
        <v/>
      </c>
      <c r="CF17" s="111">
        <f>IF(CF$11=FW141,'Rent Roll'!$B$9,0)+IF(CF$11=FW142,'Rent Roll'!$B$10,0)+IF(CF$11=FW143,'Rent Roll'!$B$11,0)+IF(CF$11=FW144,'Rent Roll'!$B$12,0)+IF(CF$11=FW145,'Rent Roll'!$B$13,0)+IF(CF$11=FW146,'Rent Roll'!$B$36,0)+IF(CF$11=FW147,'Rent Roll'!$B$37,0)+IF(CF$11=FW148,'Rent Roll'!$B$38,0)+IF(CF$11=FW149,'Rent Roll'!$B$39,0)+IF(CF$11=FW150,'Rent Roll'!$B$40,0)</f>
        <v/>
      </c>
      <c r="CG17" s="111">
        <f>IF(CG$11=FX141,'Rent Roll'!$B$9,0)+IF(CG$11=FX142,'Rent Roll'!$B$10,0)+IF(CG$11=FX143,'Rent Roll'!$B$11,0)+IF(CG$11=FX144,'Rent Roll'!$B$12,0)+IF(CG$11=FX145,'Rent Roll'!$B$13,0)+IF(CG$11=FX146,'Rent Roll'!$B$36,0)+IF(CG$11=FX147,'Rent Roll'!$B$37,0)+IF(CG$11=FX148,'Rent Roll'!$B$38,0)+IF(CG$11=FX149,'Rent Roll'!$B$39,0)+IF(CG$11=FX150,'Rent Roll'!$B$40,0)</f>
        <v/>
      </c>
      <c r="CH17" s="111">
        <f>IF(CH$11=FY141,'Rent Roll'!$B$9,0)+IF(CH$11=FY142,'Rent Roll'!$B$10,0)+IF(CH$11=FY143,'Rent Roll'!$B$11,0)+IF(CH$11=FY144,'Rent Roll'!$B$12,0)+IF(CH$11=FY145,'Rent Roll'!$B$13,0)+IF(CH$11=FY146,'Rent Roll'!$B$36,0)+IF(CH$11=FY147,'Rent Roll'!$B$37,0)+IF(CH$11=FY148,'Rent Roll'!$B$38,0)+IF(CH$11=FY149,'Rent Roll'!$B$39,0)+IF(CH$11=FY150,'Rent Roll'!$B$40,0)</f>
        <v/>
      </c>
      <c r="CI17" s="111">
        <f>IF(CI$11=FZ141,'Rent Roll'!$B$9,0)+IF(CI$11=FZ142,'Rent Roll'!$B$10,0)+IF(CI$11=FZ143,'Rent Roll'!$B$11,0)+IF(CI$11=FZ144,'Rent Roll'!$B$12,0)+IF(CI$11=FZ145,'Rent Roll'!$B$13,0)+IF(CI$11=FZ146,'Rent Roll'!$B$36,0)+IF(CI$11=FZ147,'Rent Roll'!$B$37,0)+IF(CI$11=FZ148,'Rent Roll'!$B$38,0)+IF(CI$11=FZ149,'Rent Roll'!$B$39,0)+IF(CI$11=FZ150,'Rent Roll'!$B$40,0)</f>
        <v/>
      </c>
      <c r="CJ17" s="111">
        <f>IF(CJ$11=GA141,'Rent Roll'!$B$9,0)+IF(CJ$11=GA142,'Rent Roll'!$B$10,0)+IF(CJ$11=GA143,'Rent Roll'!$B$11,0)+IF(CJ$11=GA144,'Rent Roll'!$B$12,0)+IF(CJ$11=GA145,'Rent Roll'!$B$13,0)+IF(CJ$11=GA146,'Rent Roll'!$B$36,0)+IF(CJ$11=GA147,'Rent Roll'!$B$37,0)+IF(CJ$11=GA148,'Rent Roll'!$B$38,0)+IF(CJ$11=GA149,'Rent Roll'!$B$39,0)+IF(CJ$11=GA150,'Rent Roll'!$B$40,0)</f>
        <v/>
      </c>
      <c r="CK17" s="111">
        <f>IF(CK$11=GB141,'Rent Roll'!$B$9,0)+IF(CK$11=GB142,'Rent Roll'!$B$10,0)+IF(CK$11=GB143,'Rent Roll'!$B$11,0)+IF(CK$11=GB144,'Rent Roll'!$B$12,0)+IF(CK$11=GB145,'Rent Roll'!$B$13,0)+IF(CK$11=GB146,'Rent Roll'!$B$36,0)+IF(CK$11=GB147,'Rent Roll'!$B$37,0)+IF(CK$11=GB148,'Rent Roll'!$B$38,0)+IF(CK$11=GB149,'Rent Roll'!$B$39,0)+IF(CK$11=GB150,'Rent Roll'!$B$40,0)</f>
        <v/>
      </c>
      <c r="CL17" s="111">
        <f>IF(CL$11=GC141,'Rent Roll'!$B$9,0)+IF(CL$11=GC142,'Rent Roll'!$B$10,0)+IF(CL$11=GC143,'Rent Roll'!$B$11,0)+IF(CL$11=GC144,'Rent Roll'!$B$12,0)+IF(CL$11=GC145,'Rent Roll'!$B$13,0)+IF(CL$11=GC146,'Rent Roll'!$B$36,0)+IF(CL$11=GC147,'Rent Roll'!$B$37,0)+IF(CL$11=GC148,'Rent Roll'!$B$38,0)+IF(CL$11=GC149,'Rent Roll'!$B$39,0)+IF(CL$11=GC150,'Rent Roll'!$B$40,0)</f>
        <v/>
      </c>
      <c r="CM17" s="111">
        <f>IF(CM$11=GD141,'Rent Roll'!$B$9,0)+IF(CM$11=GD142,'Rent Roll'!$B$10,0)+IF(CM$11=GD143,'Rent Roll'!$B$11,0)+IF(CM$11=GD144,'Rent Roll'!$B$12,0)+IF(CM$11=GD145,'Rent Roll'!$B$13,0)+IF(CM$11=GD146,'Rent Roll'!$B$36,0)+IF(CM$11=GD147,'Rent Roll'!$B$37,0)+IF(CM$11=GD148,'Rent Roll'!$B$38,0)+IF(CM$11=GD149,'Rent Roll'!$B$39,0)+IF(CM$11=GD150,'Rent Roll'!$B$40,0)</f>
        <v/>
      </c>
      <c r="CN17" s="111">
        <f>IF(CN$11=GE141,'Rent Roll'!$B$9,0)+IF(CN$11=GE142,'Rent Roll'!$B$10,0)+IF(CN$11=GE143,'Rent Roll'!$B$11,0)+IF(CN$11=GE144,'Rent Roll'!$B$12,0)+IF(CN$11=GE145,'Rent Roll'!$B$13,0)+IF(CN$11=GE146,'Rent Roll'!$B$36,0)+IF(CN$11=GE147,'Rent Roll'!$B$37,0)+IF(CN$11=GE148,'Rent Roll'!$B$38,0)+IF(CN$11=GE149,'Rent Roll'!$B$39,0)+IF(CN$11=GE150,'Rent Roll'!$B$40,0)</f>
        <v/>
      </c>
      <c r="CO17" s="111">
        <f>IF(CO$11=GF141,'Rent Roll'!$B$9,0)+IF(CO$11=GF142,'Rent Roll'!$B$10,0)+IF(CO$11=GF143,'Rent Roll'!$B$11,0)+IF(CO$11=GF144,'Rent Roll'!$B$12,0)+IF(CO$11=GF145,'Rent Roll'!$B$13,0)+IF(CO$11=GF146,'Rent Roll'!$B$36,0)+IF(CO$11=GF147,'Rent Roll'!$B$37,0)+IF(CO$11=GF148,'Rent Roll'!$B$38,0)+IF(CO$11=GF149,'Rent Roll'!$B$39,0)+IF(CO$11=GF150,'Rent Roll'!$B$40,0)</f>
        <v/>
      </c>
      <c r="CP17" s="111">
        <f>IF(CP$11=GG141,'Rent Roll'!$B$9,0)+IF(CP$11=GG142,'Rent Roll'!$B$10,0)+IF(CP$11=GG143,'Rent Roll'!$B$11,0)+IF(CP$11=GG144,'Rent Roll'!$B$12,0)+IF(CP$11=GG145,'Rent Roll'!$B$13,0)+IF(CP$11=GG146,'Rent Roll'!$B$36,0)+IF(CP$11=GG147,'Rent Roll'!$B$37,0)+IF(CP$11=GG148,'Rent Roll'!$B$38,0)+IF(CP$11=GG149,'Rent Roll'!$B$39,0)+IF(CP$11=GG150,'Rent Roll'!$B$40,0)</f>
        <v/>
      </c>
      <c r="CQ17" s="111">
        <f>IF(CQ$11=GH141,'Rent Roll'!$B$9,0)+IF(CQ$11=GH142,'Rent Roll'!$B$10,0)+IF(CQ$11=GH143,'Rent Roll'!$B$11,0)+IF(CQ$11=GH144,'Rent Roll'!$B$12,0)+IF(CQ$11=GH145,'Rent Roll'!$B$13,0)+IF(CQ$11=GH146,'Rent Roll'!$B$36,0)+IF(CQ$11=GH147,'Rent Roll'!$B$37,0)+IF(CQ$11=GH148,'Rent Roll'!$B$38,0)+IF(CQ$11=GH149,'Rent Roll'!$B$39,0)+IF(CQ$11=GH150,'Rent Roll'!$B$40,0)</f>
        <v/>
      </c>
      <c r="CR17" s="111">
        <f>IF(CR$11=GI141,'Rent Roll'!$B$9,0)+IF(CR$11=GI142,'Rent Roll'!$B$10,0)+IF(CR$11=GI143,'Rent Roll'!$B$11,0)+IF(CR$11=GI144,'Rent Roll'!$B$12,0)+IF(CR$11=GI145,'Rent Roll'!$B$13,0)+IF(CR$11=GI146,'Rent Roll'!$B$36,0)+IF(CR$11=GI147,'Rent Roll'!$B$37,0)+IF(CR$11=GI148,'Rent Roll'!$B$38,0)+IF(CR$11=GI149,'Rent Roll'!$B$39,0)+IF(CR$11=GI150,'Rent Roll'!$B$40,0)</f>
        <v/>
      </c>
      <c r="CS17" s="111">
        <f>IF(CS$11=GJ141,'Rent Roll'!$B$9,0)+IF(CS$11=GJ142,'Rent Roll'!$B$10,0)+IF(CS$11=GJ143,'Rent Roll'!$B$11,0)+IF(CS$11=GJ144,'Rent Roll'!$B$12,0)+IF(CS$11=GJ145,'Rent Roll'!$B$13,0)+IF(CS$11=GJ146,'Rent Roll'!$B$36,0)+IF(CS$11=GJ147,'Rent Roll'!$B$37,0)+IF(CS$11=GJ148,'Rent Roll'!$B$38,0)+IF(CS$11=GJ149,'Rent Roll'!$B$39,0)+IF(CS$11=GJ150,'Rent Roll'!$B$40,0)</f>
        <v/>
      </c>
      <c r="CT17" s="111">
        <f>IF(CT$11=GK141,'Rent Roll'!$B$9,0)+IF(CT$11=GK142,'Rent Roll'!$B$10,0)+IF(CT$11=GK143,'Rent Roll'!$B$11,0)+IF(CT$11=GK144,'Rent Roll'!$B$12,0)+IF(CT$11=GK145,'Rent Roll'!$B$13,0)+IF(CT$11=GK146,'Rent Roll'!$B$36,0)+IF(CT$11=GK147,'Rent Roll'!$B$37,0)+IF(CT$11=GK148,'Rent Roll'!$B$38,0)+IF(CT$11=GK149,'Rent Roll'!$B$39,0)+IF(CT$11=GK150,'Rent Roll'!$B$40,0)</f>
        <v/>
      </c>
      <c r="CU17" s="111">
        <f>IF(CU$11=GL141,'Rent Roll'!$B$9,0)+IF(CU$11=GL142,'Rent Roll'!$B$10,0)+IF(CU$11=GL143,'Rent Roll'!$B$11,0)+IF(CU$11=GL144,'Rent Roll'!$B$12,0)+IF(CU$11=GL145,'Rent Roll'!$B$13,0)+IF(CU$11=GL146,'Rent Roll'!$B$36,0)+IF(CU$11=GL147,'Rent Roll'!$B$37,0)+IF(CU$11=GL148,'Rent Roll'!$B$38,0)+IF(CU$11=GL149,'Rent Roll'!$B$39,0)+IF(CU$11=GL150,'Rent Roll'!$B$40,0)</f>
        <v/>
      </c>
      <c r="CV17" s="111">
        <f>IF(CV$11=GM141,'Rent Roll'!$B$9,0)+IF(CV$11=GM142,'Rent Roll'!$B$10,0)+IF(CV$11=GM143,'Rent Roll'!$B$11,0)+IF(CV$11=GM144,'Rent Roll'!$B$12,0)+IF(CV$11=GM145,'Rent Roll'!$B$13,0)+IF(CV$11=GM146,'Rent Roll'!$B$36,0)+IF(CV$11=GM147,'Rent Roll'!$B$37,0)+IF(CV$11=GM148,'Rent Roll'!$B$38,0)+IF(CV$11=GM149,'Rent Roll'!$B$39,0)+IF(CV$11=GM150,'Rent Roll'!$B$40,0)</f>
        <v/>
      </c>
      <c r="CW17" s="111">
        <f>IF(CW$11=GN141,'Rent Roll'!$B$9,0)+IF(CW$11=GN142,'Rent Roll'!$B$10,0)+IF(CW$11=GN143,'Rent Roll'!$B$11,0)+IF(CW$11=GN144,'Rent Roll'!$B$12,0)+IF(CW$11=GN145,'Rent Roll'!$B$13,0)+IF(CW$11=GN146,'Rent Roll'!$B$36,0)+IF(CW$11=GN147,'Rent Roll'!$B$37,0)+IF(CW$11=GN148,'Rent Roll'!$B$38,0)+IF(CW$11=GN149,'Rent Roll'!$B$39,0)+IF(CW$11=GN150,'Rent Roll'!$B$40,0)</f>
        <v/>
      </c>
      <c r="CX17" s="111">
        <f>IF(CX$11=GO141,'Rent Roll'!$B$9,0)+IF(CX$11=GO142,'Rent Roll'!$B$10,0)+IF(CX$11=GO143,'Rent Roll'!$B$11,0)+IF(CX$11=GO144,'Rent Roll'!$B$12,0)+IF(CX$11=GO145,'Rent Roll'!$B$13,0)+IF(CX$11=GO146,'Rent Roll'!$B$36,0)+IF(CX$11=GO147,'Rent Roll'!$B$37,0)+IF(CX$11=GO148,'Rent Roll'!$B$38,0)+IF(CX$11=GO149,'Rent Roll'!$B$39,0)+IF(CX$11=GO150,'Rent Roll'!$B$40,0)</f>
        <v/>
      </c>
      <c r="CY17" s="111">
        <f>IF(CY$11=GP141,'Rent Roll'!$B$9,0)+IF(CY$11=GP142,'Rent Roll'!$B$10,0)+IF(CY$11=GP143,'Rent Roll'!$B$11,0)+IF(CY$11=GP144,'Rent Roll'!$B$12,0)+IF(CY$11=GP145,'Rent Roll'!$B$13,0)+IF(CY$11=GP146,'Rent Roll'!$B$36,0)+IF(CY$11=GP147,'Rent Roll'!$B$37,0)+IF(CY$11=GP148,'Rent Roll'!$B$38,0)+IF(CY$11=GP149,'Rent Roll'!$B$39,0)+IF(CY$11=GP150,'Rent Roll'!$B$40,0)</f>
        <v/>
      </c>
      <c r="CZ17" s="111">
        <f>IF(CZ$11=GQ141,'Rent Roll'!$B$9,0)+IF(CZ$11=GQ142,'Rent Roll'!$B$10,0)+IF(CZ$11=GQ143,'Rent Roll'!$B$11,0)+IF(CZ$11=GQ144,'Rent Roll'!$B$12,0)+IF(CZ$11=GQ145,'Rent Roll'!$B$13,0)+IF(CZ$11=GQ146,'Rent Roll'!$B$36,0)+IF(CZ$11=GQ147,'Rent Roll'!$B$37,0)+IF(CZ$11=GQ148,'Rent Roll'!$B$38,0)+IF(CZ$11=GQ149,'Rent Roll'!$B$39,0)+IF(CZ$11=GQ150,'Rent Roll'!$B$40,0)</f>
        <v/>
      </c>
      <c r="DA17" s="111">
        <f>IF(DA$11=GR141,'Rent Roll'!$B$9,0)+IF(DA$11=GR142,'Rent Roll'!$B$10,0)+IF(DA$11=GR143,'Rent Roll'!$B$11,0)+IF(DA$11=GR144,'Rent Roll'!$B$12,0)+IF(DA$11=GR145,'Rent Roll'!$B$13,0)+IF(DA$11=GR146,'Rent Roll'!$B$36,0)+IF(DA$11=GR147,'Rent Roll'!$B$37,0)+IF(DA$11=GR148,'Rent Roll'!$B$38,0)+IF(DA$11=GR149,'Rent Roll'!$B$39,0)+IF(DA$11=GR150,'Rent Roll'!$B$40,0)</f>
        <v/>
      </c>
      <c r="DB17" s="111">
        <f>IF(DB$11=GS141,'Rent Roll'!$B$9,0)+IF(DB$11=GS142,'Rent Roll'!$B$10,0)+IF(DB$11=GS143,'Rent Roll'!$B$11,0)+IF(DB$11=GS144,'Rent Roll'!$B$12,0)+IF(DB$11=GS145,'Rent Roll'!$B$13,0)+IF(DB$11=GS146,'Rent Roll'!$B$36,0)+IF(DB$11=GS147,'Rent Roll'!$B$37,0)+IF(DB$11=GS148,'Rent Roll'!$B$38,0)+IF(DB$11=GS149,'Rent Roll'!$B$39,0)+IF(DB$11=GS150,'Rent Roll'!$B$40,0)</f>
        <v/>
      </c>
      <c r="DC17" s="111">
        <f>IF(DC$11=GT141,'Rent Roll'!$B$9,0)+IF(DC$11=GT142,'Rent Roll'!$B$10,0)+IF(DC$11=GT143,'Rent Roll'!$B$11,0)+IF(DC$11=GT144,'Rent Roll'!$B$12,0)+IF(DC$11=GT145,'Rent Roll'!$B$13,0)+IF(DC$11=GT146,'Rent Roll'!$B$36,0)+IF(DC$11=GT147,'Rent Roll'!$B$37,0)+IF(DC$11=GT148,'Rent Roll'!$B$38,0)+IF(DC$11=GT149,'Rent Roll'!$B$39,0)+IF(DC$11=GT150,'Rent Roll'!$B$40,0)</f>
        <v/>
      </c>
      <c r="DD17" s="111">
        <f>IF(DD$11=GU141,'Rent Roll'!$B$9,0)+IF(DD$11=GU142,'Rent Roll'!$B$10,0)+IF(DD$11=GU143,'Rent Roll'!$B$11,0)+IF(DD$11=GU144,'Rent Roll'!$B$12,0)+IF(DD$11=GU145,'Rent Roll'!$B$13,0)+IF(DD$11=GU146,'Rent Roll'!$B$36,0)+IF(DD$11=GU147,'Rent Roll'!$B$37,0)+IF(DD$11=GU148,'Rent Roll'!$B$38,0)+IF(DD$11=GU149,'Rent Roll'!$B$39,0)+IF(DD$11=GU150,'Rent Roll'!$B$40,0)</f>
        <v/>
      </c>
      <c r="DE17" s="111">
        <f>IF(DE$11=GV141,'Rent Roll'!$B$9,0)+IF(DE$11=GV142,'Rent Roll'!$B$10,0)+IF(DE$11=GV143,'Rent Roll'!$B$11,0)+IF(DE$11=GV144,'Rent Roll'!$B$12,0)+IF(DE$11=GV145,'Rent Roll'!$B$13,0)+IF(DE$11=GV146,'Rent Roll'!$B$36,0)+IF(DE$11=GV147,'Rent Roll'!$B$37,0)+IF(DE$11=GV148,'Rent Roll'!$B$38,0)+IF(DE$11=GV149,'Rent Roll'!$B$39,0)+IF(DE$11=GV150,'Rent Roll'!$B$40,0)</f>
        <v/>
      </c>
      <c r="DF17" s="111">
        <f>IF(DF$11=GW141,'Rent Roll'!$B$9,0)+IF(DF$11=GW142,'Rent Roll'!$B$10,0)+IF(DF$11=GW143,'Rent Roll'!$B$11,0)+IF(DF$11=GW144,'Rent Roll'!$B$12,0)+IF(DF$11=GW145,'Rent Roll'!$B$13,0)+IF(DF$11=GW146,'Rent Roll'!$B$36,0)+IF(DF$11=GW147,'Rent Roll'!$B$37,0)+IF(DF$11=GW148,'Rent Roll'!$B$38,0)+IF(DF$11=GW149,'Rent Roll'!$B$39,0)+IF(DF$11=GW150,'Rent Roll'!$B$40,0)</f>
        <v/>
      </c>
      <c r="DG17" s="111">
        <f>IF(DG$11=GX141,'Rent Roll'!$B$9,0)+IF(DG$11=GX142,'Rent Roll'!$B$10,0)+IF(DG$11=GX143,'Rent Roll'!$B$11,0)+IF(DG$11=GX144,'Rent Roll'!$B$12,0)+IF(DG$11=GX145,'Rent Roll'!$B$13,0)+IF(DG$11=GX146,'Rent Roll'!$B$36,0)+IF(DG$11=GX147,'Rent Roll'!$B$37,0)+IF(DG$11=GX148,'Rent Roll'!$B$38,0)+IF(DG$11=GX149,'Rent Roll'!$B$39,0)+IF(DG$11=GX150,'Rent Roll'!$B$40,0)</f>
        <v/>
      </c>
      <c r="DH17" s="111">
        <f>IF(DH$11=GY141,'Rent Roll'!$B$9,0)+IF(DH$11=GY142,'Rent Roll'!$B$10,0)+IF(DH$11=GY143,'Rent Roll'!$B$11,0)+IF(DH$11=GY144,'Rent Roll'!$B$12,0)+IF(DH$11=GY145,'Rent Roll'!$B$13,0)+IF(DH$11=GY146,'Rent Roll'!$B$36,0)+IF(DH$11=GY147,'Rent Roll'!$B$37,0)+IF(DH$11=GY148,'Rent Roll'!$B$38,0)+IF(DH$11=GY149,'Rent Roll'!$B$39,0)+IF(DH$11=GY150,'Rent Roll'!$B$40,0)</f>
        <v/>
      </c>
      <c r="DI17" s="111">
        <f>IF(DI$11=GZ141,'Rent Roll'!$B$9,0)+IF(DI$11=GZ142,'Rent Roll'!$B$10,0)+IF(DI$11=GZ143,'Rent Roll'!$B$11,0)+IF(DI$11=GZ144,'Rent Roll'!$B$12,0)+IF(DI$11=GZ145,'Rent Roll'!$B$13,0)+IF(DI$11=GZ146,'Rent Roll'!$B$36,0)+IF(DI$11=GZ147,'Rent Roll'!$B$37,0)+IF(DI$11=GZ148,'Rent Roll'!$B$38,0)+IF(DI$11=GZ149,'Rent Roll'!$B$39,0)+IF(DI$11=GZ150,'Rent Roll'!$B$40,0)</f>
        <v/>
      </c>
      <c r="DJ17" s="111">
        <f>IF(DJ$11=HA141,'Rent Roll'!$B$9,0)+IF(DJ$11=HA142,'Rent Roll'!$B$10,0)+IF(DJ$11=HA143,'Rent Roll'!$B$11,0)+IF(DJ$11=HA144,'Rent Roll'!$B$12,0)+IF(DJ$11=HA145,'Rent Roll'!$B$13,0)+IF(DJ$11=HA146,'Rent Roll'!$B$36,0)+IF(DJ$11=HA147,'Rent Roll'!$B$37,0)+IF(DJ$11=HA148,'Rent Roll'!$B$38,0)+IF(DJ$11=HA149,'Rent Roll'!$B$39,0)+IF(DJ$11=HA150,'Rent Roll'!$B$40,0)</f>
        <v/>
      </c>
      <c r="DK17" s="111">
        <f>IF(DK$11=HB141,'Rent Roll'!$B$9,0)+IF(DK$11=HB142,'Rent Roll'!$B$10,0)+IF(DK$11=HB143,'Rent Roll'!$B$11,0)+IF(DK$11=HB144,'Rent Roll'!$B$12,0)+IF(DK$11=HB145,'Rent Roll'!$B$13,0)+IF(DK$11=HB146,'Rent Roll'!$B$36,0)+IF(DK$11=HB147,'Rent Roll'!$B$37,0)+IF(DK$11=HB148,'Rent Roll'!$B$38,0)+IF(DK$11=HB149,'Rent Roll'!$B$39,0)+IF(DK$11=HB150,'Rent Roll'!$B$40,0)</f>
        <v/>
      </c>
      <c r="DL17" s="111">
        <f>IF(DL$11=HC141,'Rent Roll'!$B$9,0)+IF(DL$11=HC142,'Rent Roll'!$B$10,0)+IF(DL$11=HC143,'Rent Roll'!$B$11,0)+IF(DL$11=HC144,'Rent Roll'!$B$12,0)+IF(DL$11=HC145,'Rent Roll'!$B$13,0)+IF(DL$11=HC146,'Rent Roll'!$B$36,0)+IF(DL$11=HC147,'Rent Roll'!$B$37,0)+IF(DL$11=HC148,'Rent Roll'!$B$38,0)+IF(DL$11=HC149,'Rent Roll'!$B$39,0)+IF(DL$11=HC150,'Rent Roll'!$B$40,0)</f>
        <v/>
      </c>
      <c r="DM17" s="111">
        <f>IF(DM$11=HD141,'Rent Roll'!$B$9,0)+IF(DM$11=HD142,'Rent Roll'!$B$10,0)+IF(DM$11=HD143,'Rent Roll'!$B$11,0)+IF(DM$11=HD144,'Rent Roll'!$B$12,0)+IF(DM$11=HD145,'Rent Roll'!$B$13,0)+IF(DM$11=HD146,'Rent Roll'!$B$36,0)+IF(DM$11=HD147,'Rent Roll'!$B$37,0)+IF(DM$11=HD148,'Rent Roll'!$B$38,0)+IF(DM$11=HD149,'Rent Roll'!$B$39,0)+IF(DM$11=HD150,'Rent Roll'!$B$40,0)</f>
        <v/>
      </c>
      <c r="DN17" s="111">
        <f>IF(DN$11=HE141,'Rent Roll'!$B$9,0)+IF(DN$11=HE142,'Rent Roll'!$B$10,0)+IF(DN$11=HE143,'Rent Roll'!$B$11,0)+IF(DN$11=HE144,'Rent Roll'!$B$12,0)+IF(DN$11=HE145,'Rent Roll'!$B$13,0)+IF(DN$11=HE146,'Rent Roll'!$B$36,0)+IF(DN$11=HE147,'Rent Roll'!$B$37,0)+IF(DN$11=HE148,'Rent Roll'!$B$38,0)+IF(DN$11=HE149,'Rent Roll'!$B$39,0)+IF(DN$11=HE150,'Rent Roll'!$B$40,0)</f>
        <v/>
      </c>
      <c r="DO17" s="111">
        <f>IF(DO$11=HF141,'Rent Roll'!$B$9,0)+IF(DO$11=HF142,'Rent Roll'!$B$10,0)+IF(DO$11=HF143,'Rent Roll'!$B$11,0)+IF(DO$11=HF144,'Rent Roll'!$B$12,0)+IF(DO$11=HF145,'Rent Roll'!$B$13,0)+IF(DO$11=HF146,'Rent Roll'!$B$36,0)+IF(DO$11=HF147,'Rent Roll'!$B$37,0)+IF(DO$11=HF148,'Rent Roll'!$B$38,0)+IF(DO$11=HF149,'Rent Roll'!$B$39,0)+IF(DO$11=HF150,'Rent Roll'!$B$40,0)</f>
        <v/>
      </c>
      <c r="DP17" s="111">
        <f>IF(DP$11=HG141,'Rent Roll'!$B$9,0)+IF(DP$11=HG142,'Rent Roll'!$B$10,0)+IF(DP$11=HG143,'Rent Roll'!$B$11,0)+IF(DP$11=HG144,'Rent Roll'!$B$12,0)+IF(DP$11=HG145,'Rent Roll'!$B$13,0)+IF(DP$11=HG146,'Rent Roll'!$B$36,0)+IF(DP$11=HG147,'Rent Roll'!$B$37,0)+IF(DP$11=HG148,'Rent Roll'!$B$38,0)+IF(DP$11=HG149,'Rent Roll'!$B$39,0)+IF(DP$11=HG150,'Rent Roll'!$B$40,0)</f>
        <v/>
      </c>
      <c r="DQ17" s="111">
        <f>IF(DQ$11=HH141,'Rent Roll'!$B$9,0)+IF(DQ$11=HH142,'Rent Roll'!$B$10,0)+IF(DQ$11=HH143,'Rent Roll'!$B$11,0)+IF(DQ$11=HH144,'Rent Roll'!$B$12,0)+IF(DQ$11=HH145,'Rent Roll'!$B$13,0)+IF(DQ$11=HH146,'Rent Roll'!$B$36,0)+IF(DQ$11=HH147,'Rent Roll'!$B$37,0)+IF(DQ$11=HH148,'Rent Roll'!$B$38,0)+IF(DQ$11=HH149,'Rent Roll'!$B$39,0)+IF(DQ$11=HH150,'Rent Roll'!$B$40,0)</f>
        <v/>
      </c>
      <c r="DR17" s="111">
        <f>IF(DR$11=HI141,'Rent Roll'!$B$9,0)+IF(DR$11=HI142,'Rent Roll'!$B$10,0)+IF(DR$11=HI143,'Rent Roll'!$B$11,0)+IF(DR$11=HI144,'Rent Roll'!$B$12,0)+IF(DR$11=HI145,'Rent Roll'!$B$13,0)+IF(DR$11=HI146,'Rent Roll'!$B$36,0)+IF(DR$11=HI147,'Rent Roll'!$B$37,0)+IF(DR$11=HI148,'Rent Roll'!$B$38,0)+IF(DR$11=HI149,'Rent Roll'!$B$39,0)+IF(DR$11=HI150,'Rent Roll'!$B$40,0)</f>
        <v/>
      </c>
      <c r="DS17" s="111">
        <f>IF(DS$11=HJ141,'Rent Roll'!$B$9,0)+IF(DS$11=HJ142,'Rent Roll'!$B$10,0)+IF(DS$11=HJ143,'Rent Roll'!$B$11,0)+IF(DS$11=HJ144,'Rent Roll'!$B$12,0)+IF(DS$11=HJ145,'Rent Roll'!$B$13,0)+IF(DS$11=HJ146,'Rent Roll'!$B$36,0)+IF(DS$11=HJ147,'Rent Roll'!$B$37,0)+IF(DS$11=HJ148,'Rent Roll'!$B$38,0)+IF(DS$11=HJ149,'Rent Roll'!$B$39,0)+IF(DS$11=HJ150,'Rent Roll'!$B$40,0)</f>
        <v/>
      </c>
      <c r="DT17" s="111">
        <f>IF(DT$11=HK141,'Rent Roll'!$B$9,0)+IF(DT$11=HK142,'Rent Roll'!$B$10,0)+IF(DT$11=HK143,'Rent Roll'!$B$11,0)+IF(DT$11=HK144,'Rent Roll'!$B$12,0)+IF(DT$11=HK145,'Rent Roll'!$B$13,0)+IF(DT$11=HK146,'Rent Roll'!$B$36,0)+IF(DT$11=HK147,'Rent Roll'!$B$37,0)+IF(DT$11=HK148,'Rent Roll'!$B$38,0)+IF(DT$11=HK149,'Rent Roll'!$B$39,0)+IF(DT$11=HK150,'Rent Roll'!$B$40,0)</f>
        <v/>
      </c>
    </row>
    <row r="18" ht="15" customHeight="1" s="148">
      <c r="A18" s="112" t="inlineStr">
        <is>
          <t>Leases Expiring - % (Remeasured)</t>
        </is>
      </c>
      <c r="C18" s="113">
        <f>SUM(D18:DT18)</f>
        <v/>
      </c>
      <c r="D18" s="113">
        <f>IF(Assumptions!$F$13=0,0,D$17/Assumptions!$F$13)</f>
        <v/>
      </c>
      <c r="E18" s="113">
        <f>IF(Assumptions!$F$13=0,0,E$17/Assumptions!$F$13)</f>
        <v/>
      </c>
      <c r="F18" s="113">
        <f>IF(Assumptions!$F$13=0,0,F$17/Assumptions!$F$13)</f>
        <v/>
      </c>
      <c r="G18" s="113">
        <f>IF(Assumptions!$F$13=0,0,G$17/Assumptions!$F$13)</f>
        <v/>
      </c>
      <c r="H18" s="113">
        <f>IF(Assumptions!$F$13=0,0,H$17/Assumptions!$F$13)</f>
        <v/>
      </c>
      <c r="I18" s="113">
        <f>IF(Assumptions!$F$13=0,0,I$17/Assumptions!$F$13)</f>
        <v/>
      </c>
      <c r="J18" s="113">
        <f>IF(Assumptions!$F$13=0,0,J$17/Assumptions!$F$13)</f>
        <v/>
      </c>
      <c r="K18" s="113">
        <f>IF(Assumptions!$F$13=0,0,K$17/Assumptions!$F$13)</f>
        <v/>
      </c>
      <c r="L18" s="113">
        <f>IF(Assumptions!$F$13=0,0,L$17/Assumptions!$F$13)</f>
        <v/>
      </c>
      <c r="M18" s="113">
        <f>IF(Assumptions!$F$13=0,0,M$17/Assumptions!$F$13)</f>
        <v/>
      </c>
      <c r="N18" s="113">
        <f>IF(Assumptions!$F$13=0,0,N$17/Assumptions!$F$13)</f>
        <v/>
      </c>
      <c r="O18" s="113">
        <f>IF(Assumptions!$F$13=0,0,O$17/Assumptions!$F$13)</f>
        <v/>
      </c>
      <c r="P18" s="113">
        <f>IF(Assumptions!$F$13=0,0,P$17/Assumptions!$F$13)</f>
        <v/>
      </c>
      <c r="Q18" s="113">
        <f>IF(Assumptions!$F$13=0,0,Q$17/Assumptions!$F$13)</f>
        <v/>
      </c>
      <c r="R18" s="113">
        <f>IF(Assumptions!$F$13=0,0,R$17/Assumptions!$F$13)</f>
        <v/>
      </c>
      <c r="S18" s="113">
        <f>IF(Assumptions!$F$13=0,0,S$17/Assumptions!$F$13)</f>
        <v/>
      </c>
      <c r="T18" s="113">
        <f>IF(Assumptions!$F$13=0,0,T$17/Assumptions!$F$13)</f>
        <v/>
      </c>
      <c r="U18" s="113">
        <f>IF(Assumptions!$F$13=0,0,U$17/Assumptions!$F$13)</f>
        <v/>
      </c>
      <c r="V18" s="113">
        <f>IF(Assumptions!$F$13=0,0,V$17/Assumptions!$F$13)</f>
        <v/>
      </c>
      <c r="W18" s="113">
        <f>IF(Assumptions!$F$13=0,0,W$17/Assumptions!$F$13)</f>
        <v/>
      </c>
      <c r="X18" s="113">
        <f>IF(Assumptions!$F$13=0,0,X$17/Assumptions!$F$13)</f>
        <v/>
      </c>
      <c r="Y18" s="113">
        <f>IF(Assumptions!$F$13=0,0,Y$17/Assumptions!$F$13)</f>
        <v/>
      </c>
      <c r="Z18" s="113">
        <f>IF(Assumptions!$F$13=0,0,Z$17/Assumptions!$F$13)</f>
        <v/>
      </c>
      <c r="AA18" s="113">
        <f>IF(Assumptions!$F$13=0,0,AA$17/Assumptions!$F$13)</f>
        <v/>
      </c>
      <c r="AB18" s="113">
        <f>IF(Assumptions!$F$13=0,0,AB$17/Assumptions!$F$13)</f>
        <v/>
      </c>
      <c r="AC18" s="113">
        <f>IF(Assumptions!$F$13=0,0,AC$17/Assumptions!$F$13)</f>
        <v/>
      </c>
      <c r="AD18" s="113">
        <f>IF(Assumptions!$F$13=0,0,AD$17/Assumptions!$F$13)</f>
        <v/>
      </c>
      <c r="AE18" s="113">
        <f>IF(Assumptions!$F$13=0,0,AE$17/Assumptions!$F$13)</f>
        <v/>
      </c>
      <c r="AF18" s="113">
        <f>IF(Assumptions!$F$13=0,0,AF$17/Assumptions!$F$13)</f>
        <v/>
      </c>
      <c r="AG18" s="113">
        <f>IF(Assumptions!$F$13=0,0,AG$17/Assumptions!$F$13)</f>
        <v/>
      </c>
      <c r="AH18" s="113">
        <f>IF(Assumptions!$F$13=0,0,AH$17/Assumptions!$F$13)</f>
        <v/>
      </c>
      <c r="AI18" s="113">
        <f>IF(Assumptions!$F$13=0,0,AI$17/Assumptions!$F$13)</f>
        <v/>
      </c>
      <c r="AJ18" s="113">
        <f>IF(Assumptions!$F$13=0,0,AJ$17/Assumptions!$F$13)</f>
        <v/>
      </c>
      <c r="AK18" s="113">
        <f>IF(Assumptions!$F$13=0,0,AK$17/Assumptions!$F$13)</f>
        <v/>
      </c>
      <c r="AL18" s="113">
        <f>IF(Assumptions!$F$13=0,0,AL$17/Assumptions!$F$13)</f>
        <v/>
      </c>
      <c r="AM18" s="113">
        <f>IF(Assumptions!$F$13=0,0,AM$17/Assumptions!$F$13)</f>
        <v/>
      </c>
      <c r="AN18" s="113">
        <f>IF(Assumptions!$F$13=0,0,AN$17/Assumptions!$F$13)</f>
        <v/>
      </c>
      <c r="AO18" s="113">
        <f>IF(Assumptions!$F$13=0,0,AO$17/Assumptions!$F$13)</f>
        <v/>
      </c>
      <c r="AP18" s="113">
        <f>IF(Assumptions!$F$13=0,0,AP$17/Assumptions!$F$13)</f>
        <v/>
      </c>
      <c r="AQ18" s="113">
        <f>IF(Assumptions!$F$13=0,0,AQ$17/Assumptions!$F$13)</f>
        <v/>
      </c>
      <c r="AR18" s="113">
        <f>IF(Assumptions!$F$13=0,0,AR$17/Assumptions!$F$13)</f>
        <v/>
      </c>
      <c r="AS18" s="113">
        <f>IF(Assumptions!$F$13=0,0,AS$17/Assumptions!$F$13)</f>
        <v/>
      </c>
      <c r="AT18" s="113">
        <f>IF(Assumptions!$F$13=0,0,AT$17/Assumptions!$F$13)</f>
        <v/>
      </c>
      <c r="AU18" s="113">
        <f>IF(Assumptions!$F$13=0,0,AU$17/Assumptions!$F$13)</f>
        <v/>
      </c>
      <c r="AV18" s="113">
        <f>IF(Assumptions!$F$13=0,0,AV$17/Assumptions!$F$13)</f>
        <v/>
      </c>
      <c r="AW18" s="113">
        <f>IF(Assumptions!$F$13=0,0,AW$17/Assumptions!$F$13)</f>
        <v/>
      </c>
      <c r="AX18" s="113">
        <f>IF(Assumptions!$F$13=0,0,AX$17/Assumptions!$F$13)</f>
        <v/>
      </c>
      <c r="AY18" s="113">
        <f>IF(Assumptions!$F$13=0,0,AY$17/Assumptions!$F$13)</f>
        <v/>
      </c>
      <c r="AZ18" s="113">
        <f>IF(Assumptions!$F$13=0,0,AZ$17/Assumptions!$F$13)</f>
        <v/>
      </c>
      <c r="BA18" s="113">
        <f>IF(Assumptions!$F$13=0,0,BA$17/Assumptions!$F$13)</f>
        <v/>
      </c>
      <c r="BB18" s="113">
        <f>IF(Assumptions!$F$13=0,0,BB$17/Assumptions!$F$13)</f>
        <v/>
      </c>
      <c r="BC18" s="113">
        <f>IF(Assumptions!$F$13=0,0,BC$17/Assumptions!$F$13)</f>
        <v/>
      </c>
      <c r="BD18" s="113">
        <f>IF(Assumptions!$F$13=0,0,BD$17/Assumptions!$F$13)</f>
        <v/>
      </c>
      <c r="BE18" s="113">
        <f>IF(Assumptions!$F$13=0,0,BE$17/Assumptions!$F$13)</f>
        <v/>
      </c>
      <c r="BF18" s="113">
        <f>IF(Assumptions!$F$13=0,0,BF$17/Assumptions!$F$13)</f>
        <v/>
      </c>
      <c r="BG18" s="113">
        <f>IF(Assumptions!$F$13=0,0,BG$17/Assumptions!$F$13)</f>
        <v/>
      </c>
      <c r="BH18" s="113">
        <f>IF(Assumptions!$F$13=0,0,BH$17/Assumptions!$F$13)</f>
        <v/>
      </c>
      <c r="BI18" s="113">
        <f>IF(Assumptions!$F$13=0,0,BI$17/Assumptions!$F$13)</f>
        <v/>
      </c>
      <c r="BJ18" s="113">
        <f>IF(Assumptions!$F$13=0,0,BJ$17/Assumptions!$F$13)</f>
        <v/>
      </c>
      <c r="BK18" s="113">
        <f>IF(Assumptions!$F$13=0,0,BK$17/Assumptions!$F$13)</f>
        <v/>
      </c>
      <c r="BL18" s="113">
        <f>IF(Assumptions!$F$13=0,0,BL$17/Assumptions!$F$13)</f>
        <v/>
      </c>
      <c r="BM18" s="113">
        <f>IF(Assumptions!$F$13=0,0,BM$17/Assumptions!$F$13)</f>
        <v/>
      </c>
      <c r="BN18" s="113">
        <f>IF(Assumptions!$F$13=0,0,BN$17/Assumptions!$F$13)</f>
        <v/>
      </c>
      <c r="BO18" s="113">
        <f>IF(Assumptions!$F$13=0,0,BO$17/Assumptions!$F$13)</f>
        <v/>
      </c>
      <c r="BP18" s="113">
        <f>IF(Assumptions!$F$13=0,0,BP$17/Assumptions!$F$13)</f>
        <v/>
      </c>
      <c r="BQ18" s="113">
        <f>IF(Assumptions!$F$13=0,0,BQ$17/Assumptions!$F$13)</f>
        <v/>
      </c>
      <c r="BR18" s="113">
        <f>IF(Assumptions!$F$13=0,0,BR$17/Assumptions!$F$13)</f>
        <v/>
      </c>
      <c r="BS18" s="113">
        <f>IF(Assumptions!$F$13=0,0,BS$17/Assumptions!$F$13)</f>
        <v/>
      </c>
      <c r="BT18" s="113">
        <f>IF(Assumptions!$F$13=0,0,BT$17/Assumptions!$F$13)</f>
        <v/>
      </c>
      <c r="BU18" s="113">
        <f>IF(Assumptions!$F$13=0,0,BU$17/Assumptions!$F$13)</f>
        <v/>
      </c>
      <c r="BV18" s="113">
        <f>IF(Assumptions!$F$13=0,0,BV$17/Assumptions!$F$13)</f>
        <v/>
      </c>
      <c r="BW18" s="113">
        <f>IF(Assumptions!$F$13=0,0,BW$17/Assumptions!$F$13)</f>
        <v/>
      </c>
      <c r="BX18" s="113">
        <f>IF(Assumptions!$F$13=0,0,BX$17/Assumptions!$F$13)</f>
        <v/>
      </c>
      <c r="BY18" s="113">
        <f>IF(Assumptions!$F$13=0,0,BY$17/Assumptions!$F$13)</f>
        <v/>
      </c>
      <c r="BZ18" s="113">
        <f>IF(Assumptions!$F$13=0,0,BZ$17/Assumptions!$F$13)</f>
        <v/>
      </c>
      <c r="CA18" s="113">
        <f>IF(Assumptions!$F$13=0,0,CA$17/Assumptions!$F$13)</f>
        <v/>
      </c>
      <c r="CB18" s="113">
        <f>IF(Assumptions!$F$13=0,0,CB$17/Assumptions!$F$13)</f>
        <v/>
      </c>
      <c r="CC18" s="113">
        <f>IF(Assumptions!$F$13=0,0,CC$17/Assumptions!$F$13)</f>
        <v/>
      </c>
      <c r="CD18" s="113">
        <f>IF(Assumptions!$F$13=0,0,CD$17/Assumptions!$F$13)</f>
        <v/>
      </c>
      <c r="CE18" s="113">
        <f>IF(Assumptions!$F$13=0,0,CE$17/Assumptions!$F$13)</f>
        <v/>
      </c>
      <c r="CF18" s="113">
        <f>IF(Assumptions!$F$13=0,0,CF$17/Assumptions!$F$13)</f>
        <v/>
      </c>
      <c r="CG18" s="113">
        <f>IF(Assumptions!$F$13=0,0,CG$17/Assumptions!$F$13)</f>
        <v/>
      </c>
      <c r="CH18" s="113">
        <f>IF(Assumptions!$F$13=0,0,CH$17/Assumptions!$F$13)</f>
        <v/>
      </c>
      <c r="CI18" s="113">
        <f>IF(Assumptions!$F$13=0,0,CI$17/Assumptions!$F$13)</f>
        <v/>
      </c>
      <c r="CJ18" s="113">
        <f>IF(Assumptions!$F$13=0,0,CJ$17/Assumptions!$F$13)</f>
        <v/>
      </c>
      <c r="CK18" s="113">
        <f>IF(Assumptions!$F$13=0,0,CK$17/Assumptions!$F$13)</f>
        <v/>
      </c>
      <c r="CL18" s="113">
        <f>IF(Assumptions!$F$13=0,0,CL$17/Assumptions!$F$13)</f>
        <v/>
      </c>
      <c r="CM18" s="113">
        <f>IF(Assumptions!$F$13=0,0,CM$17/Assumptions!$F$13)</f>
        <v/>
      </c>
      <c r="CN18" s="113">
        <f>IF(Assumptions!$F$13=0,0,CN$17/Assumptions!$F$13)</f>
        <v/>
      </c>
      <c r="CO18" s="113">
        <f>IF(Assumptions!$F$13=0,0,CO$17/Assumptions!$F$13)</f>
        <v/>
      </c>
      <c r="CP18" s="113">
        <f>IF(Assumptions!$F$13=0,0,CP$17/Assumptions!$F$13)</f>
        <v/>
      </c>
      <c r="CQ18" s="113">
        <f>IF(Assumptions!$F$13=0,0,CQ$17/Assumptions!$F$13)</f>
        <v/>
      </c>
      <c r="CR18" s="113">
        <f>IF(Assumptions!$F$13=0,0,CR$17/Assumptions!$F$13)</f>
        <v/>
      </c>
      <c r="CS18" s="113">
        <f>IF(Assumptions!$F$13=0,0,CS$17/Assumptions!$F$13)</f>
        <v/>
      </c>
      <c r="CT18" s="113">
        <f>IF(Assumptions!$F$13=0,0,CT$17/Assumptions!$F$13)</f>
        <v/>
      </c>
      <c r="CU18" s="113">
        <f>IF(Assumptions!$F$13=0,0,CU$17/Assumptions!$F$13)</f>
        <v/>
      </c>
      <c r="CV18" s="113">
        <f>IF(Assumptions!$F$13=0,0,CV$17/Assumptions!$F$13)</f>
        <v/>
      </c>
      <c r="CW18" s="113">
        <f>IF(Assumptions!$F$13=0,0,CW$17/Assumptions!$F$13)</f>
        <v/>
      </c>
      <c r="CX18" s="113">
        <f>IF(Assumptions!$F$13=0,0,CX$17/Assumptions!$F$13)</f>
        <v/>
      </c>
      <c r="CY18" s="113">
        <f>IF(Assumptions!$F$13=0,0,CY$17/Assumptions!$F$13)</f>
        <v/>
      </c>
      <c r="CZ18" s="113">
        <f>IF(Assumptions!$F$13=0,0,CZ$17/Assumptions!$F$13)</f>
        <v/>
      </c>
      <c r="DA18" s="113">
        <f>IF(Assumptions!$F$13=0,0,DA$17/Assumptions!$F$13)</f>
        <v/>
      </c>
      <c r="DB18" s="113">
        <f>IF(Assumptions!$F$13=0,0,DB$17/Assumptions!$F$13)</f>
        <v/>
      </c>
      <c r="DC18" s="113">
        <f>IF(Assumptions!$F$13=0,0,DC$17/Assumptions!$F$13)</f>
        <v/>
      </c>
      <c r="DD18" s="113">
        <f>IF(Assumptions!$F$13=0,0,DD$17/Assumptions!$F$13)</f>
        <v/>
      </c>
      <c r="DE18" s="113">
        <f>IF(Assumptions!$F$13=0,0,DE$17/Assumptions!$F$13)</f>
        <v/>
      </c>
      <c r="DF18" s="113">
        <f>IF(Assumptions!$F$13=0,0,DF$17/Assumptions!$F$13)</f>
        <v/>
      </c>
      <c r="DG18" s="113">
        <f>IF(Assumptions!$F$13=0,0,DG$17/Assumptions!$F$13)</f>
        <v/>
      </c>
      <c r="DH18" s="113">
        <f>IF(Assumptions!$F$13=0,0,DH$17/Assumptions!$F$13)</f>
        <v/>
      </c>
      <c r="DI18" s="113">
        <f>IF(Assumptions!$F$13=0,0,DI$17/Assumptions!$F$13)</f>
        <v/>
      </c>
      <c r="DJ18" s="113">
        <f>IF(Assumptions!$F$13=0,0,DJ$17/Assumptions!$F$13)</f>
        <v/>
      </c>
      <c r="DK18" s="113">
        <f>IF(Assumptions!$F$13=0,0,DK$17/Assumptions!$F$13)</f>
        <v/>
      </c>
      <c r="DL18" s="113">
        <f>IF(Assumptions!$F$13=0,0,DL$17/Assumptions!$F$13)</f>
        <v/>
      </c>
      <c r="DM18" s="113">
        <f>IF(Assumptions!$F$13=0,0,DM$17/Assumptions!$F$13)</f>
        <v/>
      </c>
      <c r="DN18" s="113">
        <f>IF(Assumptions!$F$13=0,0,DN$17/Assumptions!$F$13)</f>
        <v/>
      </c>
      <c r="DO18" s="113">
        <f>IF(Assumptions!$F$13=0,0,DO$17/Assumptions!$F$13)</f>
        <v/>
      </c>
      <c r="DP18" s="113">
        <f>IF(Assumptions!$F$13=0,0,DP$17/Assumptions!$F$13)</f>
        <v/>
      </c>
      <c r="DQ18" s="113">
        <f>IF(Assumptions!$F$13=0,0,DQ$17/Assumptions!$F$13)</f>
        <v/>
      </c>
      <c r="DR18" s="113">
        <f>IF(Assumptions!$F$13=0,0,DR$17/Assumptions!$F$13)</f>
        <v/>
      </c>
      <c r="DS18" s="113">
        <f>IF(Assumptions!$F$13=0,0,DS$17/Assumptions!$F$13)</f>
        <v/>
      </c>
      <c r="DT18" s="113">
        <f>IF(Assumptions!$F$13=0,0,DT$17/Assumptions!$F$13)</f>
        <v/>
      </c>
    </row>
    <row r="20" ht="15" customHeight="1" s="148">
      <c r="A20" s="110" t="inlineStr">
        <is>
          <t>Inflation</t>
        </is>
      </c>
      <c r="C20" s="111">
        <f>SUM(D20:DT20)</f>
        <v/>
      </c>
      <c r="D20" s="111" t="n"/>
      <c r="E20" s="111" t="n"/>
      <c r="F20" s="111" t="n"/>
      <c r="G20" s="111" t="n"/>
      <c r="H20" s="111" t="n"/>
      <c r="I20" s="111" t="n"/>
      <c r="J20" s="111" t="n"/>
      <c r="K20" s="111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1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  <c r="AX20" s="111" t="n"/>
      <c r="AY20" s="111" t="n"/>
      <c r="AZ20" s="111" t="n"/>
      <c r="BA20" s="111" t="n"/>
      <c r="BB20" s="111" t="n"/>
      <c r="BC20" s="111" t="n"/>
      <c r="BD20" s="111" t="n"/>
      <c r="BE20" s="111" t="n"/>
      <c r="BF20" s="111" t="n"/>
      <c r="BG20" s="111" t="n"/>
      <c r="BH20" s="111" t="n"/>
      <c r="BI20" s="111" t="n"/>
      <c r="BJ20" s="111" t="n"/>
      <c r="BK20" s="111" t="n"/>
      <c r="BL20" s="111" t="n"/>
      <c r="BM20" s="111" t="n"/>
      <c r="BN20" s="111" t="n"/>
      <c r="BO20" s="111" t="n"/>
      <c r="BP20" s="111" t="n"/>
      <c r="BQ20" s="111" t="n"/>
      <c r="BR20" s="111" t="n"/>
      <c r="BS20" s="111" t="n"/>
      <c r="BT20" s="111" t="n"/>
      <c r="BU20" s="111" t="n"/>
      <c r="BV20" s="111" t="n"/>
      <c r="BW20" s="111" t="n"/>
      <c r="BX20" s="111" t="n"/>
      <c r="BY20" s="111" t="n"/>
      <c r="BZ20" s="111" t="n"/>
      <c r="CA20" s="111" t="n"/>
      <c r="CB20" s="111" t="n"/>
      <c r="CC20" s="111" t="n"/>
      <c r="CD20" s="111" t="n"/>
      <c r="CE20" s="111" t="n"/>
      <c r="CF20" s="111" t="n"/>
      <c r="CG20" s="111" t="n"/>
      <c r="CH20" s="111" t="n"/>
      <c r="CI20" s="111" t="n"/>
      <c r="CJ20" s="111" t="n"/>
      <c r="CK20" s="111" t="n"/>
      <c r="CL20" s="111" t="n"/>
      <c r="CM20" s="111" t="n"/>
      <c r="CN20" s="111" t="n"/>
      <c r="CO20" s="111" t="n"/>
      <c r="CP20" s="111" t="n"/>
      <c r="CQ20" s="111" t="n"/>
      <c r="CR20" s="111" t="n"/>
      <c r="CS20" s="111" t="n"/>
      <c r="CT20" s="111" t="n"/>
      <c r="CU20" s="111" t="n"/>
      <c r="CV20" s="111" t="n"/>
      <c r="CW20" s="111" t="n"/>
      <c r="CX20" s="111" t="n"/>
      <c r="CY20" s="111" t="n"/>
      <c r="CZ20" s="111" t="n"/>
      <c r="DA20" s="111" t="n"/>
      <c r="DB20" s="111" t="n"/>
      <c r="DC20" s="111" t="n"/>
      <c r="DD20" s="111" t="n"/>
      <c r="DE20" s="111" t="n"/>
      <c r="DF20" s="111" t="n"/>
      <c r="DG20" s="111" t="n"/>
      <c r="DH20" s="111" t="n"/>
      <c r="DI20" s="111" t="n"/>
      <c r="DJ20" s="111" t="n"/>
      <c r="DK20" s="111" t="n"/>
      <c r="DL20" s="111" t="n"/>
      <c r="DM20" s="111" t="n"/>
      <c r="DN20" s="111" t="n"/>
      <c r="DO20" s="111" t="n"/>
      <c r="DP20" s="111" t="n"/>
      <c r="DQ20" s="111" t="n"/>
      <c r="DR20" s="111" t="n"/>
      <c r="DS20" s="111" t="n"/>
      <c r="DT20" s="111" t="n"/>
    </row>
    <row r="22" ht="15" customHeight="1" s="148">
      <c r="A22" s="110" t="inlineStr">
        <is>
          <t>Rent Revenue</t>
        </is>
      </c>
      <c r="C22" s="111">
        <f>SUM(D22:DT22)</f>
        <v/>
      </c>
      <c r="D22" s="111" t="n"/>
      <c r="E22" s="111" t="n"/>
      <c r="F22" s="111" t="n"/>
      <c r="G22" s="111" t="n"/>
      <c r="H22" s="111" t="n"/>
      <c r="I22" s="111" t="n"/>
      <c r="J22" s="111" t="n"/>
      <c r="K22" s="111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  <c r="AX22" s="111" t="n"/>
      <c r="AY22" s="111" t="n"/>
      <c r="AZ22" s="111" t="n"/>
      <c r="BA22" s="111" t="n"/>
      <c r="BB22" s="111" t="n"/>
      <c r="BC22" s="111" t="n"/>
      <c r="BD22" s="111" t="n"/>
      <c r="BE22" s="111" t="n"/>
      <c r="BF22" s="111" t="n"/>
      <c r="BG22" s="111" t="n"/>
      <c r="BH22" s="111" t="n"/>
      <c r="BI22" s="111" t="n"/>
      <c r="BJ22" s="111" t="n"/>
      <c r="BK22" s="111" t="n"/>
      <c r="BL22" s="111" t="n"/>
      <c r="BM22" s="111" t="n"/>
      <c r="BN22" s="111" t="n"/>
      <c r="BO22" s="111" t="n"/>
      <c r="BP22" s="111" t="n"/>
      <c r="BQ22" s="111" t="n"/>
      <c r="BR22" s="111" t="n"/>
      <c r="BS22" s="111" t="n"/>
      <c r="BT22" s="111" t="n"/>
      <c r="BU22" s="111" t="n"/>
      <c r="BV22" s="111" t="n"/>
      <c r="BW22" s="111" t="n"/>
      <c r="BX22" s="111" t="n"/>
      <c r="BY22" s="111" t="n"/>
      <c r="BZ22" s="111" t="n"/>
      <c r="CA22" s="111" t="n"/>
      <c r="CB22" s="111" t="n"/>
      <c r="CC22" s="111" t="n"/>
      <c r="CD22" s="111" t="n"/>
      <c r="CE22" s="111" t="n"/>
      <c r="CF22" s="111" t="n"/>
      <c r="CG22" s="111" t="n"/>
      <c r="CH22" s="111" t="n"/>
      <c r="CI22" s="111" t="n"/>
      <c r="CJ22" s="111" t="n"/>
      <c r="CK22" s="111" t="n"/>
      <c r="CL22" s="111" t="n"/>
      <c r="CM22" s="111" t="n"/>
      <c r="CN22" s="111" t="n"/>
      <c r="CO22" s="111" t="n"/>
      <c r="CP22" s="111" t="n"/>
      <c r="CQ22" s="111" t="n"/>
      <c r="CR22" s="111" t="n"/>
      <c r="CS22" s="111" t="n"/>
      <c r="CT22" s="111" t="n"/>
      <c r="CU22" s="111" t="n"/>
      <c r="CV22" s="111" t="n"/>
      <c r="CW22" s="111" t="n"/>
      <c r="CX22" s="111" t="n"/>
      <c r="CY22" s="111" t="n"/>
      <c r="CZ22" s="111" t="n"/>
      <c r="DA22" s="111" t="n"/>
      <c r="DB22" s="111" t="n"/>
      <c r="DC22" s="111" t="n"/>
      <c r="DD22" s="111" t="n"/>
      <c r="DE22" s="111" t="n"/>
      <c r="DF22" s="111" t="n"/>
      <c r="DG22" s="111" t="n"/>
      <c r="DH22" s="111" t="n"/>
      <c r="DI22" s="111" t="n"/>
      <c r="DJ22" s="111" t="n"/>
      <c r="DK22" s="111" t="n"/>
      <c r="DL22" s="111" t="n"/>
      <c r="DM22" s="111" t="n"/>
      <c r="DN22" s="111" t="n"/>
      <c r="DO22" s="111" t="n"/>
      <c r="DP22" s="111" t="n"/>
      <c r="DQ22" s="111" t="n"/>
      <c r="DR22" s="111" t="n"/>
      <c r="DS22" s="111" t="n"/>
      <c r="DT22" s="111" t="n"/>
    </row>
    <row r="23" ht="15" customHeight="1" s="148">
      <c r="A23" s="112" t="inlineStr">
        <is>
          <t>Potential Base Rent</t>
        </is>
      </c>
      <c r="C23" s="228">
        <f>SUM(D23:DT23)</f>
        <v/>
      </c>
      <c r="D23" s="228">
        <f>SUM(D154,D156,D158,D160,D162)</f>
        <v/>
      </c>
      <c r="E23" s="228">
        <f>SUM(E154,E156,E158,E160,E162)</f>
        <v/>
      </c>
      <c r="F23" s="228">
        <f>SUM(F154,F156,F158,F160,F162)</f>
        <v/>
      </c>
      <c r="G23" s="228">
        <f>SUM(G154,G156,G158,G160,G162)</f>
        <v/>
      </c>
      <c r="H23" s="228">
        <f>SUM(H154,H156,H158,H160,H162)</f>
        <v/>
      </c>
      <c r="I23" s="228">
        <f>SUM(I154,I156,I158,I160,I162)</f>
        <v/>
      </c>
      <c r="J23" s="228">
        <f>SUM(J154,J156,J158,J160,J162)</f>
        <v/>
      </c>
      <c r="K23" s="228">
        <f>SUM(K154,K156,K158,K160,K162)</f>
        <v/>
      </c>
      <c r="L23" s="228">
        <f>SUM(L154,L156,L158,L160,L162)</f>
        <v/>
      </c>
      <c r="M23" s="228">
        <f>SUM(M154,M156,M158,M160,M162)</f>
        <v/>
      </c>
      <c r="N23" s="228">
        <f>SUM(N154,N156,N158,N160,N162)</f>
        <v/>
      </c>
      <c r="O23" s="228">
        <f>SUM(O154,O156,O158,O160,O162)</f>
        <v/>
      </c>
      <c r="P23" s="228">
        <f>SUM(P154,P156,P158,P160,P162)</f>
        <v/>
      </c>
      <c r="Q23" s="228">
        <f>SUM(Q154,Q156,Q158,Q160,Q162)</f>
        <v/>
      </c>
      <c r="R23" s="228">
        <f>SUM(R154,R156,R158,R160,R162)</f>
        <v/>
      </c>
      <c r="S23" s="228">
        <f>SUM(S154,S156,S158,S160,S162)</f>
        <v/>
      </c>
      <c r="T23" s="228">
        <f>SUM(T154,T156,T158,T160,T162)</f>
        <v/>
      </c>
      <c r="U23" s="228">
        <f>SUM(U154,U156,U158,U160,U162)</f>
        <v/>
      </c>
      <c r="V23" s="228">
        <f>SUM(V154,V156,V158,V160,V162)</f>
        <v/>
      </c>
      <c r="W23" s="228">
        <f>SUM(W154,W156,W158,W160,W162)</f>
        <v/>
      </c>
      <c r="X23" s="228">
        <f>SUM(X154,X156,X158,X160,X162)</f>
        <v/>
      </c>
      <c r="Y23" s="228">
        <f>SUM(Y154,Y156,Y158,Y160,Y162)</f>
        <v/>
      </c>
      <c r="Z23" s="228">
        <f>SUM(Z154,Z156,Z158,Z160,Z162)</f>
        <v/>
      </c>
      <c r="AA23" s="228">
        <f>SUM(AA154,AA156,AA158,AA160,AA162)</f>
        <v/>
      </c>
      <c r="AB23" s="228">
        <f>SUM(AB154,AB156,AB158,AB160,AB162)</f>
        <v/>
      </c>
      <c r="AC23" s="228">
        <f>SUM(AC154,AC156,AC158,AC160,AC162)</f>
        <v/>
      </c>
      <c r="AD23" s="228">
        <f>SUM(AD154,AD156,AD158,AD160,AD162)</f>
        <v/>
      </c>
      <c r="AE23" s="228">
        <f>SUM(AE154,AE156,AE158,AE160,AE162)</f>
        <v/>
      </c>
      <c r="AF23" s="228">
        <f>SUM(AF154,AF156,AF158,AF160,AF162)</f>
        <v/>
      </c>
      <c r="AG23" s="228">
        <f>SUM(AG154,AG156,AG158,AG160,AG162)</f>
        <v/>
      </c>
      <c r="AH23" s="228">
        <f>SUM(AH154,AH156,AH158,AH160,AH162)</f>
        <v/>
      </c>
      <c r="AI23" s="228">
        <f>SUM(AI154,AI156,AI158,AI160,AI162)</f>
        <v/>
      </c>
      <c r="AJ23" s="228">
        <f>SUM(AJ154,AJ156,AJ158,AJ160,AJ162)</f>
        <v/>
      </c>
      <c r="AK23" s="228">
        <f>SUM(AK154,AK156,AK158,AK160,AK162)</f>
        <v/>
      </c>
      <c r="AL23" s="228">
        <f>SUM(AL154,AL156,AL158,AL160,AL162)</f>
        <v/>
      </c>
      <c r="AM23" s="228">
        <f>SUM(AM154,AM156,AM158,AM160,AM162)</f>
        <v/>
      </c>
      <c r="AN23" s="228">
        <f>SUM(AN154,AN156,AN158,AN160,AN162)</f>
        <v/>
      </c>
      <c r="AO23" s="228">
        <f>SUM(AO154,AO156,AO158,AO160,AO162)</f>
        <v/>
      </c>
      <c r="AP23" s="228">
        <f>SUM(AP154,AP156,AP158,AP160,AP162)</f>
        <v/>
      </c>
      <c r="AQ23" s="228">
        <f>SUM(AQ154,AQ156,AQ158,AQ160,AQ162)</f>
        <v/>
      </c>
      <c r="AR23" s="228">
        <f>SUM(AR154,AR156,AR158,AR160,AR162)</f>
        <v/>
      </c>
      <c r="AS23" s="228">
        <f>SUM(AS154,AS156,AS158,AS160,AS162)</f>
        <v/>
      </c>
      <c r="AT23" s="228">
        <f>SUM(AT154,AT156,AT158,AT160,AT162)</f>
        <v/>
      </c>
      <c r="AU23" s="228">
        <f>SUM(AU154,AU156,AU158,AU160,AU162)</f>
        <v/>
      </c>
      <c r="AV23" s="228">
        <f>SUM(AV154,AV156,AV158,AV160,AV162)</f>
        <v/>
      </c>
      <c r="AW23" s="228">
        <f>SUM(AW154,AW156,AW158,AW160,AW162)</f>
        <v/>
      </c>
      <c r="AX23" s="228">
        <f>SUM(AX154,AX156,AX158,AX160,AX162)</f>
        <v/>
      </c>
      <c r="AY23" s="228">
        <f>SUM(AY154,AY156,AY158,AY160,AY162)</f>
        <v/>
      </c>
      <c r="AZ23" s="228">
        <f>SUM(AZ154,AZ156,AZ158,AZ160,AZ162)</f>
        <v/>
      </c>
      <c r="BA23" s="228">
        <f>SUM(BA154,BA156,BA158,BA160,BA162)</f>
        <v/>
      </c>
      <c r="BB23" s="228">
        <f>SUM(BB154,BB156,BB158,BB160,BB162)</f>
        <v/>
      </c>
      <c r="BC23" s="228">
        <f>SUM(BC154,BC156,BC158,BC160,BC162)</f>
        <v/>
      </c>
      <c r="BD23" s="228">
        <f>SUM(BD154,BD156,BD158,BD160,BD162)</f>
        <v/>
      </c>
      <c r="BE23" s="228">
        <f>SUM(BE154,BE156,BE158,BE160,BE162)</f>
        <v/>
      </c>
      <c r="BF23" s="228">
        <f>SUM(BF154,BF156,BF158,BF160,BF162)</f>
        <v/>
      </c>
      <c r="BG23" s="228">
        <f>SUM(BG154,BG156,BG158,BG160,BG162)</f>
        <v/>
      </c>
      <c r="BH23" s="228">
        <f>SUM(BH154,BH156,BH158,BH160,BH162)</f>
        <v/>
      </c>
      <c r="BI23" s="228">
        <f>SUM(BI154,BI156,BI158,BI160,BI162)</f>
        <v/>
      </c>
      <c r="BJ23" s="228">
        <f>SUM(BJ154,BJ156,BJ158,BJ160,BJ162)</f>
        <v/>
      </c>
      <c r="BK23" s="228">
        <f>SUM(BK154,BK156,BK158,BK160,BK162)</f>
        <v/>
      </c>
      <c r="BL23" s="228">
        <f>SUM(BL154,BL156,BL158,BL160,BL162)</f>
        <v/>
      </c>
      <c r="BM23" s="228">
        <f>SUM(BM154,BM156,BM158,BM160,BM162)</f>
        <v/>
      </c>
      <c r="BN23" s="228">
        <f>SUM(BN154,BN156,BN158,BN160,BN162)</f>
        <v/>
      </c>
      <c r="BO23" s="228">
        <f>SUM(BO154,BO156,BO158,BO160,BO162)</f>
        <v/>
      </c>
      <c r="BP23" s="228">
        <f>SUM(BP154,BP156,BP158,BP160,BP162)</f>
        <v/>
      </c>
      <c r="BQ23" s="228">
        <f>SUM(BQ154,BQ156,BQ158,BQ160,BQ162)</f>
        <v/>
      </c>
      <c r="BR23" s="228">
        <f>SUM(BR154,BR156,BR158,BR160,BR162)</f>
        <v/>
      </c>
      <c r="BS23" s="228">
        <f>SUM(BS154,BS156,BS158,BS160,BS162)</f>
        <v/>
      </c>
      <c r="BT23" s="228">
        <f>SUM(BT154,BT156,BT158,BT160,BT162)</f>
        <v/>
      </c>
      <c r="BU23" s="228">
        <f>SUM(BU154,BU156,BU158,BU160,BU162)</f>
        <v/>
      </c>
      <c r="BV23" s="228">
        <f>SUM(BV154,BV156,BV158,BV160,BV162)</f>
        <v/>
      </c>
      <c r="BW23" s="228">
        <f>SUM(BW154,BW156,BW158,BW160,BW162)</f>
        <v/>
      </c>
      <c r="BX23" s="228">
        <f>SUM(BX154,BX156,BX158,BX160,BX162)</f>
        <v/>
      </c>
      <c r="BY23" s="228">
        <f>SUM(BY154,BY156,BY158,BY160,BY162)</f>
        <v/>
      </c>
      <c r="BZ23" s="228">
        <f>SUM(BZ154,BZ156,BZ158,BZ160,BZ162)</f>
        <v/>
      </c>
      <c r="CA23" s="228">
        <f>SUM(CA154,CA156,CA158,CA160,CA162)</f>
        <v/>
      </c>
      <c r="CB23" s="228">
        <f>SUM(CB154,CB156,CB158,CB160,CB162)</f>
        <v/>
      </c>
      <c r="CC23" s="228">
        <f>SUM(CC154,CC156,CC158,CC160,CC162)</f>
        <v/>
      </c>
      <c r="CD23" s="228">
        <f>SUM(CD154,CD156,CD158,CD160,CD162)</f>
        <v/>
      </c>
      <c r="CE23" s="228">
        <f>SUM(CE154,CE156,CE158,CE160,CE162)</f>
        <v/>
      </c>
      <c r="CF23" s="228">
        <f>SUM(CF154,CF156,CF158,CF160,CF162)</f>
        <v/>
      </c>
      <c r="CG23" s="228">
        <f>SUM(CG154,CG156,CG158,CG160,CG162)</f>
        <v/>
      </c>
      <c r="CH23" s="228">
        <f>SUM(CH154,CH156,CH158,CH160,CH162)</f>
        <v/>
      </c>
      <c r="CI23" s="228">
        <f>SUM(CI154,CI156,CI158,CI160,CI162)</f>
        <v/>
      </c>
      <c r="CJ23" s="228">
        <f>SUM(CJ154,CJ156,CJ158,CJ160,CJ162)</f>
        <v/>
      </c>
      <c r="CK23" s="228">
        <f>SUM(CK154,CK156,CK158,CK160,CK162)</f>
        <v/>
      </c>
      <c r="CL23" s="228">
        <f>SUM(CL154,CL156,CL158,CL160,CL162)</f>
        <v/>
      </c>
      <c r="CM23" s="228">
        <f>SUM(CM154,CM156,CM158,CM160,CM162)</f>
        <v/>
      </c>
      <c r="CN23" s="228">
        <f>SUM(CN154,CN156,CN158,CN160,CN162)</f>
        <v/>
      </c>
      <c r="CO23" s="228">
        <f>SUM(CO154,CO156,CO158,CO160,CO162)</f>
        <v/>
      </c>
      <c r="CP23" s="228">
        <f>SUM(CP154,CP156,CP158,CP160,CP162)</f>
        <v/>
      </c>
      <c r="CQ23" s="228">
        <f>SUM(CQ154,CQ156,CQ158,CQ160,CQ162)</f>
        <v/>
      </c>
      <c r="CR23" s="228">
        <f>SUM(CR154,CR156,CR158,CR160,CR162)</f>
        <v/>
      </c>
      <c r="CS23" s="228">
        <f>SUM(CS154,CS156,CS158,CS160,CS162)</f>
        <v/>
      </c>
      <c r="CT23" s="228">
        <f>SUM(CT154,CT156,CT158,CT160,CT162)</f>
        <v/>
      </c>
      <c r="CU23" s="228">
        <f>SUM(CU154,CU156,CU158,CU160,CU162)</f>
        <v/>
      </c>
      <c r="CV23" s="228">
        <f>SUM(CV154,CV156,CV158,CV160,CV162)</f>
        <v/>
      </c>
      <c r="CW23" s="228">
        <f>SUM(CW154,CW156,CW158,CW160,CW162)</f>
        <v/>
      </c>
      <c r="CX23" s="228">
        <f>SUM(CX154,CX156,CX158,CX160,CX162)</f>
        <v/>
      </c>
      <c r="CY23" s="228">
        <f>SUM(CY154,CY156,CY158,CY160,CY162)</f>
        <v/>
      </c>
      <c r="CZ23" s="228">
        <f>SUM(CZ154,CZ156,CZ158,CZ160,CZ162)</f>
        <v/>
      </c>
      <c r="DA23" s="228">
        <f>SUM(DA154,DA156,DA158,DA160,DA162)</f>
        <v/>
      </c>
      <c r="DB23" s="228">
        <f>SUM(DB154,DB156,DB158,DB160,DB162)</f>
        <v/>
      </c>
      <c r="DC23" s="228">
        <f>SUM(DC154,DC156,DC158,DC160,DC162)</f>
        <v/>
      </c>
      <c r="DD23" s="228">
        <f>SUM(DD154,DD156,DD158,DD160,DD162)</f>
        <v/>
      </c>
      <c r="DE23" s="228">
        <f>SUM(DE154,DE156,DE158,DE160,DE162)</f>
        <v/>
      </c>
      <c r="DF23" s="228">
        <f>SUM(DF154,DF156,DF158,DF160,DF162)</f>
        <v/>
      </c>
      <c r="DG23" s="228">
        <f>SUM(DG154,DG156,DG158,DG160,DG162)</f>
        <v/>
      </c>
      <c r="DH23" s="228">
        <f>SUM(DH154,DH156,DH158,DH160,DH162)</f>
        <v/>
      </c>
      <c r="DI23" s="228">
        <f>SUM(DI154,DI156,DI158,DI160,DI162)</f>
        <v/>
      </c>
      <c r="DJ23" s="228">
        <f>SUM(DJ154,DJ156,DJ158,DJ160,DJ162)</f>
        <v/>
      </c>
      <c r="DK23" s="228">
        <f>SUM(DK154,DK156,DK158,DK160,DK162)</f>
        <v/>
      </c>
      <c r="DL23" s="228">
        <f>SUM(DL154,DL156,DL158,DL160,DL162)</f>
        <v/>
      </c>
      <c r="DM23" s="228">
        <f>SUM(DM154,DM156,DM158,DM160,DM162)</f>
        <v/>
      </c>
      <c r="DN23" s="228">
        <f>SUM(DN154,DN156,DN158,DN160,DN162)</f>
        <v/>
      </c>
      <c r="DO23" s="228">
        <f>SUM(DO154,DO156,DO158,DO160,DO162)</f>
        <v/>
      </c>
      <c r="DP23" s="228">
        <f>SUM(DP154,DP156,DP158,DP160,DP162)</f>
        <v/>
      </c>
      <c r="DQ23" s="228">
        <f>SUM(DQ154,DQ156,DQ158,DQ160,DQ162)</f>
        <v/>
      </c>
      <c r="DR23" s="228">
        <f>SUM(DR154,DR156,DR158,DR160,DR162)</f>
        <v/>
      </c>
      <c r="DS23" s="228">
        <f>SUM(DS154,DS156,DS158,DS160,DS162)</f>
        <v/>
      </c>
      <c r="DT23" s="228">
        <f>SUM(DT154,DT156,DT158,DT160,DT162)</f>
        <v/>
      </c>
    </row>
    <row r="24" ht="15" customHeight="1" s="148">
      <c r="A24" s="112" t="inlineStr">
        <is>
          <t>Scheduled Market Base Rent</t>
        </is>
      </c>
      <c r="C24" s="228">
        <f>SUM(D24:DT24)</f>
        <v/>
      </c>
      <c r="D24" s="228">
        <f>SUM(D164,D166,D168,D170,D172)</f>
        <v/>
      </c>
      <c r="E24" s="228">
        <f>SUM(E164,E166,E168,E170,E172)</f>
        <v/>
      </c>
      <c r="F24" s="228">
        <f>SUM(F164,F166,F168,F170,F172)</f>
        <v/>
      </c>
      <c r="G24" s="228">
        <f>SUM(G164,G166,G168,G170,G172)</f>
        <v/>
      </c>
      <c r="H24" s="228">
        <f>SUM(H164,H166,H168,H170,H172)</f>
        <v/>
      </c>
      <c r="I24" s="228">
        <f>SUM(I164,I166,I168,I170,I172)</f>
        <v/>
      </c>
      <c r="J24" s="228">
        <f>SUM(J164,J166,J168,J170,J172)</f>
        <v/>
      </c>
      <c r="K24" s="228">
        <f>SUM(K164,K166,K168,K170,K172)</f>
        <v/>
      </c>
      <c r="L24" s="228">
        <f>SUM(L164,L166,L168,L170,L172)</f>
        <v/>
      </c>
      <c r="M24" s="228">
        <f>SUM(M164,M166,M168,M170,M172)</f>
        <v/>
      </c>
      <c r="N24" s="228">
        <f>SUM(N164,N166,N168,N170,N172)</f>
        <v/>
      </c>
      <c r="O24" s="228">
        <f>SUM(O164,O166,O168,O170,O172)</f>
        <v/>
      </c>
      <c r="P24" s="228">
        <f>SUM(P164,P166,P168,P170,P172)</f>
        <v/>
      </c>
      <c r="Q24" s="228">
        <f>SUM(Q164,Q166,Q168,Q170,Q172)</f>
        <v/>
      </c>
      <c r="R24" s="228">
        <f>SUM(R164,R166,R168,R170,R172)</f>
        <v/>
      </c>
      <c r="S24" s="228">
        <f>SUM(S164,S166,S168,S170,S172)</f>
        <v/>
      </c>
      <c r="T24" s="228">
        <f>SUM(T164,T166,T168,T170,T172)</f>
        <v/>
      </c>
      <c r="U24" s="228">
        <f>SUM(U164,U166,U168,U170,U172)</f>
        <v/>
      </c>
      <c r="V24" s="228">
        <f>SUM(V164,V166,V168,V170,V172)</f>
        <v/>
      </c>
      <c r="W24" s="228">
        <f>SUM(W164,W166,W168,W170,W172)</f>
        <v/>
      </c>
      <c r="X24" s="228">
        <f>SUM(X164,X166,X168,X170,X172)</f>
        <v/>
      </c>
      <c r="Y24" s="228">
        <f>SUM(Y164,Y166,Y168,Y170,Y172)</f>
        <v/>
      </c>
      <c r="Z24" s="228">
        <f>SUM(Z164,Z166,Z168,Z170,Z172)</f>
        <v/>
      </c>
      <c r="AA24" s="228">
        <f>SUM(AA164,AA166,AA168,AA170,AA172)</f>
        <v/>
      </c>
      <c r="AB24" s="228">
        <f>SUM(AB164,AB166,AB168,AB170,AB172)</f>
        <v/>
      </c>
      <c r="AC24" s="228">
        <f>SUM(AC164,AC166,AC168,AC170,AC172)</f>
        <v/>
      </c>
      <c r="AD24" s="228">
        <f>SUM(AD164,AD166,AD168,AD170,AD172)</f>
        <v/>
      </c>
      <c r="AE24" s="228">
        <f>SUM(AE164,AE166,AE168,AE170,AE172)</f>
        <v/>
      </c>
      <c r="AF24" s="228">
        <f>SUM(AF164,AF166,AF168,AF170,AF172)</f>
        <v/>
      </c>
      <c r="AG24" s="228">
        <f>SUM(AG164,AG166,AG168,AG170,AG172)</f>
        <v/>
      </c>
      <c r="AH24" s="228">
        <f>SUM(AH164,AH166,AH168,AH170,AH172)</f>
        <v/>
      </c>
      <c r="AI24" s="228">
        <f>SUM(AI164,AI166,AI168,AI170,AI172)</f>
        <v/>
      </c>
      <c r="AJ24" s="228">
        <f>SUM(AJ164,AJ166,AJ168,AJ170,AJ172)</f>
        <v/>
      </c>
      <c r="AK24" s="228">
        <f>SUM(AK164,AK166,AK168,AK170,AK172)</f>
        <v/>
      </c>
      <c r="AL24" s="228">
        <f>SUM(AL164,AL166,AL168,AL170,AL172)</f>
        <v/>
      </c>
      <c r="AM24" s="228">
        <f>SUM(AM164,AM166,AM168,AM170,AM172)</f>
        <v/>
      </c>
      <c r="AN24" s="228">
        <f>SUM(AN164,AN166,AN168,AN170,AN172)</f>
        <v/>
      </c>
      <c r="AO24" s="228">
        <f>SUM(AO164,AO166,AO168,AO170,AO172)</f>
        <v/>
      </c>
      <c r="AP24" s="228">
        <f>SUM(AP164,AP166,AP168,AP170,AP172)</f>
        <v/>
      </c>
      <c r="AQ24" s="228">
        <f>SUM(AQ164,AQ166,AQ168,AQ170,AQ172)</f>
        <v/>
      </c>
      <c r="AR24" s="228">
        <f>SUM(AR164,AR166,AR168,AR170,AR172)</f>
        <v/>
      </c>
      <c r="AS24" s="228">
        <f>SUM(AS164,AS166,AS168,AS170,AS172)</f>
        <v/>
      </c>
      <c r="AT24" s="228">
        <f>SUM(AT164,AT166,AT168,AT170,AT172)</f>
        <v/>
      </c>
      <c r="AU24" s="228">
        <f>SUM(AU164,AU166,AU168,AU170,AU172)</f>
        <v/>
      </c>
      <c r="AV24" s="228">
        <f>SUM(AV164,AV166,AV168,AV170,AV172)</f>
        <v/>
      </c>
      <c r="AW24" s="228">
        <f>SUM(AW164,AW166,AW168,AW170,AW172)</f>
        <v/>
      </c>
      <c r="AX24" s="228">
        <f>SUM(AX164,AX166,AX168,AX170,AX172)</f>
        <v/>
      </c>
      <c r="AY24" s="228">
        <f>SUM(AY164,AY166,AY168,AY170,AY172)</f>
        <v/>
      </c>
      <c r="AZ24" s="228">
        <f>SUM(AZ164,AZ166,AZ168,AZ170,AZ172)</f>
        <v/>
      </c>
      <c r="BA24" s="228">
        <f>SUM(BA164,BA166,BA168,BA170,BA172)</f>
        <v/>
      </c>
      <c r="BB24" s="228">
        <f>SUM(BB164,BB166,BB168,BB170,BB172)</f>
        <v/>
      </c>
      <c r="BC24" s="228">
        <f>SUM(BC164,BC166,BC168,BC170,BC172)</f>
        <v/>
      </c>
      <c r="BD24" s="228">
        <f>SUM(BD164,BD166,BD168,BD170,BD172)</f>
        <v/>
      </c>
      <c r="BE24" s="228">
        <f>SUM(BE164,BE166,BE168,BE170,BE172)</f>
        <v/>
      </c>
      <c r="BF24" s="228">
        <f>SUM(BF164,BF166,BF168,BF170,BF172)</f>
        <v/>
      </c>
      <c r="BG24" s="228">
        <f>SUM(BG164,BG166,BG168,BG170,BG172)</f>
        <v/>
      </c>
      <c r="BH24" s="228">
        <f>SUM(BH164,BH166,BH168,BH170,BH172)</f>
        <v/>
      </c>
      <c r="BI24" s="228">
        <f>SUM(BI164,BI166,BI168,BI170,BI172)</f>
        <v/>
      </c>
      <c r="BJ24" s="228">
        <f>SUM(BJ164,BJ166,BJ168,BJ170,BJ172)</f>
        <v/>
      </c>
      <c r="BK24" s="228">
        <f>SUM(BK164,BK166,BK168,BK170,BK172)</f>
        <v/>
      </c>
      <c r="BL24" s="228">
        <f>SUM(BL164,BL166,BL168,BL170,BL172)</f>
        <v/>
      </c>
      <c r="BM24" s="228">
        <f>SUM(BM164,BM166,BM168,BM170,BM172)</f>
        <v/>
      </c>
      <c r="BN24" s="228">
        <f>SUM(BN164,BN166,BN168,BN170,BN172)</f>
        <v/>
      </c>
      <c r="BO24" s="228">
        <f>SUM(BO164,BO166,BO168,BO170,BO172)</f>
        <v/>
      </c>
      <c r="BP24" s="228">
        <f>SUM(BP164,BP166,BP168,BP170,BP172)</f>
        <v/>
      </c>
      <c r="BQ24" s="228">
        <f>SUM(BQ164,BQ166,BQ168,BQ170,BQ172)</f>
        <v/>
      </c>
      <c r="BR24" s="228">
        <f>SUM(BR164,BR166,BR168,BR170,BR172)</f>
        <v/>
      </c>
      <c r="BS24" s="228">
        <f>SUM(BS164,BS166,BS168,BS170,BS172)</f>
        <v/>
      </c>
      <c r="BT24" s="228">
        <f>SUM(BT164,BT166,BT168,BT170,BT172)</f>
        <v/>
      </c>
      <c r="BU24" s="228">
        <f>SUM(BU164,BU166,BU168,BU170,BU172)</f>
        <v/>
      </c>
      <c r="BV24" s="228">
        <f>SUM(BV164,BV166,BV168,BV170,BV172)</f>
        <v/>
      </c>
      <c r="BW24" s="228">
        <f>SUM(BW164,BW166,BW168,BW170,BW172)</f>
        <v/>
      </c>
      <c r="BX24" s="228">
        <f>SUM(BX164,BX166,BX168,BX170,BX172)</f>
        <v/>
      </c>
      <c r="BY24" s="228">
        <f>SUM(BY164,BY166,BY168,BY170,BY172)</f>
        <v/>
      </c>
      <c r="BZ24" s="228">
        <f>SUM(BZ164,BZ166,BZ168,BZ170,BZ172)</f>
        <v/>
      </c>
      <c r="CA24" s="228">
        <f>SUM(CA164,CA166,CA168,CA170,CA172)</f>
        <v/>
      </c>
      <c r="CB24" s="228">
        <f>SUM(CB164,CB166,CB168,CB170,CB172)</f>
        <v/>
      </c>
      <c r="CC24" s="228">
        <f>SUM(CC164,CC166,CC168,CC170,CC172)</f>
        <v/>
      </c>
      <c r="CD24" s="228">
        <f>SUM(CD164,CD166,CD168,CD170,CD172)</f>
        <v/>
      </c>
      <c r="CE24" s="228">
        <f>SUM(CE164,CE166,CE168,CE170,CE172)</f>
        <v/>
      </c>
      <c r="CF24" s="228">
        <f>SUM(CF164,CF166,CF168,CF170,CF172)</f>
        <v/>
      </c>
      <c r="CG24" s="228">
        <f>SUM(CG164,CG166,CG168,CG170,CG172)</f>
        <v/>
      </c>
      <c r="CH24" s="228">
        <f>SUM(CH164,CH166,CH168,CH170,CH172)</f>
        <v/>
      </c>
      <c r="CI24" s="228">
        <f>SUM(CI164,CI166,CI168,CI170,CI172)</f>
        <v/>
      </c>
      <c r="CJ24" s="228">
        <f>SUM(CJ164,CJ166,CJ168,CJ170,CJ172)</f>
        <v/>
      </c>
      <c r="CK24" s="228">
        <f>SUM(CK164,CK166,CK168,CK170,CK172)</f>
        <v/>
      </c>
      <c r="CL24" s="228">
        <f>SUM(CL164,CL166,CL168,CL170,CL172)</f>
        <v/>
      </c>
      <c r="CM24" s="228">
        <f>SUM(CM164,CM166,CM168,CM170,CM172)</f>
        <v/>
      </c>
      <c r="CN24" s="228">
        <f>SUM(CN164,CN166,CN168,CN170,CN172)</f>
        <v/>
      </c>
      <c r="CO24" s="228">
        <f>SUM(CO164,CO166,CO168,CO170,CO172)</f>
        <v/>
      </c>
      <c r="CP24" s="228">
        <f>SUM(CP164,CP166,CP168,CP170,CP172)</f>
        <v/>
      </c>
      <c r="CQ24" s="228">
        <f>SUM(CQ164,CQ166,CQ168,CQ170,CQ172)</f>
        <v/>
      </c>
      <c r="CR24" s="228">
        <f>SUM(CR164,CR166,CR168,CR170,CR172)</f>
        <v/>
      </c>
      <c r="CS24" s="228">
        <f>SUM(CS164,CS166,CS168,CS170,CS172)</f>
        <v/>
      </c>
      <c r="CT24" s="228">
        <f>SUM(CT164,CT166,CT168,CT170,CT172)</f>
        <v/>
      </c>
      <c r="CU24" s="228">
        <f>SUM(CU164,CU166,CU168,CU170,CU172)</f>
        <v/>
      </c>
      <c r="CV24" s="228">
        <f>SUM(CV164,CV166,CV168,CV170,CV172)</f>
        <v/>
      </c>
      <c r="CW24" s="228">
        <f>SUM(CW164,CW166,CW168,CW170,CW172)</f>
        <v/>
      </c>
      <c r="CX24" s="228">
        <f>SUM(CX164,CX166,CX168,CX170,CX172)</f>
        <v/>
      </c>
      <c r="CY24" s="228">
        <f>SUM(CY164,CY166,CY168,CY170,CY172)</f>
        <v/>
      </c>
      <c r="CZ24" s="228">
        <f>SUM(CZ164,CZ166,CZ168,CZ170,CZ172)</f>
        <v/>
      </c>
      <c r="DA24" s="228">
        <f>SUM(DA164,DA166,DA168,DA170,DA172)</f>
        <v/>
      </c>
      <c r="DB24" s="228">
        <f>SUM(DB164,DB166,DB168,DB170,DB172)</f>
        <v/>
      </c>
      <c r="DC24" s="228">
        <f>SUM(DC164,DC166,DC168,DC170,DC172)</f>
        <v/>
      </c>
      <c r="DD24" s="228">
        <f>SUM(DD164,DD166,DD168,DD170,DD172)</f>
        <v/>
      </c>
      <c r="DE24" s="228">
        <f>SUM(DE164,DE166,DE168,DE170,DE172)</f>
        <v/>
      </c>
      <c r="DF24" s="228">
        <f>SUM(DF164,DF166,DF168,DF170,DF172)</f>
        <v/>
      </c>
      <c r="DG24" s="228">
        <f>SUM(DG164,DG166,DG168,DG170,DG172)</f>
        <v/>
      </c>
      <c r="DH24" s="228">
        <f>SUM(DH164,DH166,DH168,DH170,DH172)</f>
        <v/>
      </c>
      <c r="DI24" s="228">
        <f>SUM(DI164,DI166,DI168,DI170,DI172)</f>
        <v/>
      </c>
      <c r="DJ24" s="228">
        <f>SUM(DJ164,DJ166,DJ168,DJ170,DJ172)</f>
        <v/>
      </c>
      <c r="DK24" s="228">
        <f>SUM(DK164,DK166,DK168,DK170,DK172)</f>
        <v/>
      </c>
      <c r="DL24" s="228">
        <f>SUM(DL164,DL166,DL168,DL170,DL172)</f>
        <v/>
      </c>
      <c r="DM24" s="228">
        <f>SUM(DM164,DM166,DM168,DM170,DM172)</f>
        <v/>
      </c>
      <c r="DN24" s="228">
        <f>SUM(DN164,DN166,DN168,DN170,DN172)</f>
        <v/>
      </c>
      <c r="DO24" s="228">
        <f>SUM(DO164,DO166,DO168,DO170,DO172)</f>
        <v/>
      </c>
      <c r="DP24" s="228">
        <f>SUM(DP164,DP166,DP168,DP170,DP172)</f>
        <v/>
      </c>
      <c r="DQ24" s="228">
        <f>SUM(DQ164,DQ166,DQ168,DQ170,DQ172)</f>
        <v/>
      </c>
      <c r="DR24" s="228">
        <f>SUM(DR164,DR166,DR168,DR170,DR172)</f>
        <v/>
      </c>
      <c r="DS24" s="228">
        <f>SUM(DS164,DS166,DS168,DS170,DS172)</f>
        <v/>
      </c>
      <c r="DT24" s="228">
        <f>SUM(DT164,DT166,DT168,DT170,DT172)</f>
        <v/>
      </c>
    </row>
    <row r="25" ht="15" customHeight="1" s="148">
      <c r="A25" s="110" t="inlineStr">
        <is>
          <t>Total Tenant Revenue</t>
        </is>
      </c>
      <c r="C25" s="228">
        <f>SUM(D25:DT25)</f>
        <v/>
      </c>
      <c r="D25" s="228">
        <f>D$23+D$24</f>
        <v/>
      </c>
      <c r="E25" s="228">
        <f>E$23+E$24</f>
        <v/>
      </c>
      <c r="F25" s="228">
        <f>F$23+F$24</f>
        <v/>
      </c>
      <c r="G25" s="228">
        <f>G$23+G$24</f>
        <v/>
      </c>
      <c r="H25" s="228">
        <f>H$23+H$24</f>
        <v/>
      </c>
      <c r="I25" s="228">
        <f>I$23+I$24</f>
        <v/>
      </c>
      <c r="J25" s="228">
        <f>J$23+J$24</f>
        <v/>
      </c>
      <c r="K25" s="228">
        <f>K$23+K$24</f>
        <v/>
      </c>
      <c r="L25" s="228">
        <f>L$23+L$24</f>
        <v/>
      </c>
      <c r="M25" s="228">
        <f>M$23+M$24</f>
        <v/>
      </c>
      <c r="N25" s="228">
        <f>N$23+N$24</f>
        <v/>
      </c>
      <c r="O25" s="228">
        <f>O$23+O$24</f>
        <v/>
      </c>
      <c r="P25" s="228">
        <f>P$23+P$24</f>
        <v/>
      </c>
      <c r="Q25" s="228">
        <f>Q$23+Q$24</f>
        <v/>
      </c>
      <c r="R25" s="228">
        <f>R$23+R$24</f>
        <v/>
      </c>
      <c r="S25" s="228">
        <f>S$23+S$24</f>
        <v/>
      </c>
      <c r="T25" s="228">
        <f>T$23+T$24</f>
        <v/>
      </c>
      <c r="U25" s="228">
        <f>U$23+U$24</f>
        <v/>
      </c>
      <c r="V25" s="228">
        <f>V$23+V$24</f>
        <v/>
      </c>
      <c r="W25" s="228">
        <f>W$23+W$24</f>
        <v/>
      </c>
      <c r="X25" s="228">
        <f>X$23+X$24</f>
        <v/>
      </c>
      <c r="Y25" s="228">
        <f>Y$23+Y$24</f>
        <v/>
      </c>
      <c r="Z25" s="228">
        <f>Z$23+Z$24</f>
        <v/>
      </c>
      <c r="AA25" s="228">
        <f>AA$23+AA$24</f>
        <v/>
      </c>
      <c r="AB25" s="228">
        <f>AB$23+AB$24</f>
        <v/>
      </c>
      <c r="AC25" s="228">
        <f>AC$23+AC$24</f>
        <v/>
      </c>
      <c r="AD25" s="228">
        <f>AD$23+AD$24</f>
        <v/>
      </c>
      <c r="AE25" s="228">
        <f>AE$23+AE$24</f>
        <v/>
      </c>
      <c r="AF25" s="228">
        <f>AF$23+AF$24</f>
        <v/>
      </c>
      <c r="AG25" s="228">
        <f>AG$23+AG$24</f>
        <v/>
      </c>
      <c r="AH25" s="228">
        <f>AH$23+AH$24</f>
        <v/>
      </c>
      <c r="AI25" s="228">
        <f>AI$23+AI$24</f>
        <v/>
      </c>
      <c r="AJ25" s="228">
        <f>AJ$23+AJ$24</f>
        <v/>
      </c>
      <c r="AK25" s="228">
        <f>AK$23+AK$24</f>
        <v/>
      </c>
      <c r="AL25" s="228">
        <f>AL$23+AL$24</f>
        <v/>
      </c>
      <c r="AM25" s="228">
        <f>AM$23+AM$24</f>
        <v/>
      </c>
      <c r="AN25" s="228">
        <f>AN$23+AN$24</f>
        <v/>
      </c>
      <c r="AO25" s="228">
        <f>AO$23+AO$24</f>
        <v/>
      </c>
      <c r="AP25" s="228">
        <f>AP$23+AP$24</f>
        <v/>
      </c>
      <c r="AQ25" s="228">
        <f>AQ$23+AQ$24</f>
        <v/>
      </c>
      <c r="AR25" s="228">
        <f>AR$23+AR$24</f>
        <v/>
      </c>
      <c r="AS25" s="228">
        <f>AS$23+AS$24</f>
        <v/>
      </c>
      <c r="AT25" s="228">
        <f>AT$23+AT$24</f>
        <v/>
      </c>
      <c r="AU25" s="228">
        <f>AU$23+AU$24</f>
        <v/>
      </c>
      <c r="AV25" s="228">
        <f>AV$23+AV$24</f>
        <v/>
      </c>
      <c r="AW25" s="228">
        <f>AW$23+AW$24</f>
        <v/>
      </c>
      <c r="AX25" s="228">
        <f>AX$23+AX$24</f>
        <v/>
      </c>
      <c r="AY25" s="228">
        <f>AY$23+AY$24</f>
        <v/>
      </c>
      <c r="AZ25" s="228">
        <f>AZ$23+AZ$24</f>
        <v/>
      </c>
      <c r="BA25" s="228">
        <f>BA$23+BA$24</f>
        <v/>
      </c>
      <c r="BB25" s="228">
        <f>BB$23+BB$24</f>
        <v/>
      </c>
      <c r="BC25" s="228">
        <f>BC$23+BC$24</f>
        <v/>
      </c>
      <c r="BD25" s="228">
        <f>BD$23+BD$24</f>
        <v/>
      </c>
      <c r="BE25" s="228">
        <f>BE$23+BE$24</f>
        <v/>
      </c>
      <c r="BF25" s="228">
        <f>BF$23+BF$24</f>
        <v/>
      </c>
      <c r="BG25" s="228">
        <f>BG$23+BG$24</f>
        <v/>
      </c>
      <c r="BH25" s="228">
        <f>BH$23+BH$24</f>
        <v/>
      </c>
      <c r="BI25" s="228">
        <f>BI$23+BI$24</f>
        <v/>
      </c>
      <c r="BJ25" s="228">
        <f>BJ$23+BJ$24</f>
        <v/>
      </c>
      <c r="BK25" s="228">
        <f>BK$23+BK$24</f>
        <v/>
      </c>
      <c r="BL25" s="228">
        <f>BL$23+BL$24</f>
        <v/>
      </c>
      <c r="BM25" s="228">
        <f>BM$23+BM$24</f>
        <v/>
      </c>
      <c r="BN25" s="228">
        <f>BN$23+BN$24</f>
        <v/>
      </c>
      <c r="BO25" s="228">
        <f>BO$23+BO$24</f>
        <v/>
      </c>
      <c r="BP25" s="228">
        <f>BP$23+BP$24</f>
        <v/>
      </c>
      <c r="BQ25" s="228">
        <f>BQ$23+BQ$24</f>
        <v/>
      </c>
      <c r="BR25" s="228">
        <f>BR$23+BR$24</f>
        <v/>
      </c>
      <c r="BS25" s="228">
        <f>BS$23+BS$24</f>
        <v/>
      </c>
      <c r="BT25" s="228">
        <f>BT$23+BT$24</f>
        <v/>
      </c>
      <c r="BU25" s="228">
        <f>BU$23+BU$24</f>
        <v/>
      </c>
      <c r="BV25" s="228">
        <f>BV$23+BV$24</f>
        <v/>
      </c>
      <c r="BW25" s="228">
        <f>BW$23+BW$24</f>
        <v/>
      </c>
      <c r="BX25" s="228">
        <f>BX$23+BX$24</f>
        <v/>
      </c>
      <c r="BY25" s="228">
        <f>BY$23+BY$24</f>
        <v/>
      </c>
      <c r="BZ25" s="228">
        <f>BZ$23+BZ$24</f>
        <v/>
      </c>
      <c r="CA25" s="228">
        <f>CA$23+CA$24</f>
        <v/>
      </c>
      <c r="CB25" s="228">
        <f>CB$23+CB$24</f>
        <v/>
      </c>
      <c r="CC25" s="228">
        <f>CC$23+CC$24</f>
        <v/>
      </c>
      <c r="CD25" s="228">
        <f>CD$23+CD$24</f>
        <v/>
      </c>
      <c r="CE25" s="228">
        <f>CE$23+CE$24</f>
        <v/>
      </c>
      <c r="CF25" s="228">
        <f>CF$23+CF$24</f>
        <v/>
      </c>
      <c r="CG25" s="228">
        <f>CG$23+CG$24</f>
        <v/>
      </c>
      <c r="CH25" s="228">
        <f>CH$23+CH$24</f>
        <v/>
      </c>
      <c r="CI25" s="228">
        <f>CI$23+CI$24</f>
        <v/>
      </c>
      <c r="CJ25" s="228">
        <f>CJ$23+CJ$24</f>
        <v/>
      </c>
      <c r="CK25" s="228">
        <f>CK$23+CK$24</f>
        <v/>
      </c>
      <c r="CL25" s="228">
        <f>CL$23+CL$24</f>
        <v/>
      </c>
      <c r="CM25" s="228">
        <f>CM$23+CM$24</f>
        <v/>
      </c>
      <c r="CN25" s="228">
        <f>CN$23+CN$24</f>
        <v/>
      </c>
      <c r="CO25" s="228">
        <f>CO$23+CO$24</f>
        <v/>
      </c>
      <c r="CP25" s="228">
        <f>CP$23+CP$24</f>
        <v/>
      </c>
      <c r="CQ25" s="228">
        <f>CQ$23+CQ$24</f>
        <v/>
      </c>
      <c r="CR25" s="228">
        <f>CR$23+CR$24</f>
        <v/>
      </c>
      <c r="CS25" s="228">
        <f>CS$23+CS$24</f>
        <v/>
      </c>
      <c r="CT25" s="228">
        <f>CT$23+CT$24</f>
        <v/>
      </c>
      <c r="CU25" s="228">
        <f>CU$23+CU$24</f>
        <v/>
      </c>
      <c r="CV25" s="228">
        <f>CV$23+CV$24</f>
        <v/>
      </c>
      <c r="CW25" s="228">
        <f>CW$23+CW$24</f>
        <v/>
      </c>
      <c r="CX25" s="228">
        <f>CX$23+CX$24</f>
        <v/>
      </c>
      <c r="CY25" s="228">
        <f>CY$23+CY$24</f>
        <v/>
      </c>
      <c r="CZ25" s="228">
        <f>CZ$23+CZ$24</f>
        <v/>
      </c>
      <c r="DA25" s="228">
        <f>DA$23+DA$24</f>
        <v/>
      </c>
      <c r="DB25" s="228">
        <f>DB$23+DB$24</f>
        <v/>
      </c>
      <c r="DC25" s="228">
        <f>DC$23+DC$24</f>
        <v/>
      </c>
      <c r="DD25" s="228">
        <f>DD$23+DD$24</f>
        <v/>
      </c>
      <c r="DE25" s="228">
        <f>DE$23+DE$24</f>
        <v/>
      </c>
      <c r="DF25" s="228">
        <f>DF$23+DF$24</f>
        <v/>
      </c>
      <c r="DG25" s="228">
        <f>DG$23+DG$24</f>
        <v/>
      </c>
      <c r="DH25" s="228">
        <f>DH$23+DH$24</f>
        <v/>
      </c>
      <c r="DI25" s="228">
        <f>DI$23+DI$24</f>
        <v/>
      </c>
      <c r="DJ25" s="228">
        <f>DJ$23+DJ$24</f>
        <v/>
      </c>
      <c r="DK25" s="228">
        <f>DK$23+DK$24</f>
        <v/>
      </c>
      <c r="DL25" s="228">
        <f>DL$23+DL$24</f>
        <v/>
      </c>
      <c r="DM25" s="228">
        <f>DM$23+DM$24</f>
        <v/>
      </c>
      <c r="DN25" s="228">
        <f>DN$23+DN$24</f>
        <v/>
      </c>
      <c r="DO25" s="228">
        <f>DO$23+DO$24</f>
        <v/>
      </c>
      <c r="DP25" s="228">
        <f>DP$23+DP$24</f>
        <v/>
      </c>
      <c r="DQ25" s="228">
        <f>DQ$23+DQ$24</f>
        <v/>
      </c>
      <c r="DR25" s="228">
        <f>DR$23+DR$24</f>
        <v/>
      </c>
      <c r="DS25" s="228">
        <f>DS$23+DS$24</f>
        <v/>
      </c>
      <c r="DT25" s="228">
        <f>DT$23+DT$24</f>
        <v/>
      </c>
    </row>
    <row r="27" ht="15" customHeight="1" s="148">
      <c r="A27" s="112" t="inlineStr">
        <is>
          <t>Total Base Expense Recoveries</t>
        </is>
      </c>
      <c r="C27" s="228">
        <f>SUM(D27:DT27)</f>
        <v/>
      </c>
      <c r="D27" s="228">
        <f>IF(D$11=0,0,-D$52*(SUM(D155,D157,D159,D161,D163))/Assumptions!$F$13)</f>
        <v/>
      </c>
      <c r="E27" s="228">
        <f>IF(E$11=0,0,-E$52*(SUM(E155,E157,E159,E161,E163))/Assumptions!$F$13)</f>
        <v/>
      </c>
      <c r="F27" s="228">
        <f>IF(F$11=0,0,-F$52*(SUM(F155,F157,F159,F161,F163))/Assumptions!$F$13)</f>
        <v/>
      </c>
      <c r="G27" s="228">
        <f>IF(G$11=0,0,-G$52*(SUM(G155,G157,G159,G161,G163))/Assumptions!$F$13)</f>
        <v/>
      </c>
      <c r="H27" s="228">
        <f>IF(H$11=0,0,-H$52*(SUM(H155,H157,H159,H161,H163))/Assumptions!$F$13)</f>
        <v/>
      </c>
      <c r="I27" s="228">
        <f>IF(I$11=0,0,-I$52*(SUM(I155,I157,I159,I161,I163))/Assumptions!$F$13)</f>
        <v/>
      </c>
      <c r="J27" s="228">
        <f>IF(J$11=0,0,-J$52*(SUM(J155,J157,J159,J161,J163))/Assumptions!$F$13)</f>
        <v/>
      </c>
      <c r="K27" s="228">
        <f>IF(K$11=0,0,-K$52*(SUM(K155,K157,K159,K161,K163))/Assumptions!$F$13)</f>
        <v/>
      </c>
      <c r="L27" s="228">
        <f>IF(L$11=0,0,-L$52*(SUM(L155,L157,L159,L161,L163))/Assumptions!$F$13)</f>
        <v/>
      </c>
      <c r="M27" s="228">
        <f>IF(M$11=0,0,-M$52*(SUM(M155,M157,M159,M161,M163))/Assumptions!$F$13)</f>
        <v/>
      </c>
      <c r="N27" s="228">
        <f>IF(N$11=0,0,-N$52*(SUM(N155,N157,N159,N161,N163))/Assumptions!$F$13)</f>
        <v/>
      </c>
      <c r="O27" s="228">
        <f>IF(O$11=0,0,-O$52*(SUM(O155,O157,O159,O161,O163))/Assumptions!$F$13)</f>
        <v/>
      </c>
      <c r="P27" s="228">
        <f>IF(P$11=0,0,-P$52*(SUM(P155,P157,P159,P161,P163))/Assumptions!$F$13)</f>
        <v/>
      </c>
      <c r="Q27" s="228">
        <f>IF(Q$11=0,0,-Q$52*(SUM(Q155,Q157,Q159,Q161,Q163))/Assumptions!$F$13)</f>
        <v/>
      </c>
      <c r="R27" s="228">
        <f>IF(R$11=0,0,-R$52*(SUM(R155,R157,R159,R161,R163))/Assumptions!$F$13)</f>
        <v/>
      </c>
      <c r="S27" s="228">
        <f>IF(S$11=0,0,-S$52*(SUM(S155,S157,S159,S161,S163))/Assumptions!$F$13)</f>
        <v/>
      </c>
      <c r="T27" s="228">
        <f>IF(T$11=0,0,-T$52*(SUM(T155,T157,T159,T161,T163))/Assumptions!$F$13)</f>
        <v/>
      </c>
      <c r="U27" s="228">
        <f>IF(U$11=0,0,-U$52*(SUM(U155,U157,U159,U161,U163))/Assumptions!$F$13)</f>
        <v/>
      </c>
      <c r="V27" s="228">
        <f>IF(V$11=0,0,-V$52*(SUM(V155,V157,V159,V161,V163))/Assumptions!$F$13)</f>
        <v/>
      </c>
      <c r="W27" s="228">
        <f>IF(W$11=0,0,-W$52*(SUM(W155,W157,W159,W161,W163))/Assumptions!$F$13)</f>
        <v/>
      </c>
      <c r="X27" s="228">
        <f>IF(X$11=0,0,-X$52*(SUM(X155,X157,X159,X161,X163))/Assumptions!$F$13)</f>
        <v/>
      </c>
      <c r="Y27" s="228">
        <f>IF(Y$11=0,0,-Y$52*(SUM(Y155,Y157,Y159,Y161,Y163))/Assumptions!$F$13)</f>
        <v/>
      </c>
      <c r="Z27" s="228">
        <f>IF(Z$11=0,0,-Z$52*(SUM(Z155,Z157,Z159,Z161,Z163))/Assumptions!$F$13)</f>
        <v/>
      </c>
      <c r="AA27" s="228">
        <f>IF(AA$11=0,0,-AA$52*(SUM(AA155,AA157,AA159,AA161,AA163))/Assumptions!$F$13)</f>
        <v/>
      </c>
      <c r="AB27" s="228">
        <f>IF(AB$11=0,0,-AB$52*(SUM(AB155,AB157,AB159,AB161,AB163))/Assumptions!$F$13)</f>
        <v/>
      </c>
      <c r="AC27" s="228">
        <f>IF(AC$11=0,0,-AC$52*(SUM(AC155,AC157,AC159,AC161,AC163))/Assumptions!$F$13)</f>
        <v/>
      </c>
      <c r="AD27" s="228">
        <f>IF(AD$11=0,0,-AD$52*(SUM(AD155,AD157,AD159,AD161,AD163))/Assumptions!$F$13)</f>
        <v/>
      </c>
      <c r="AE27" s="228">
        <f>IF(AE$11=0,0,-AE$52*(SUM(AE155,AE157,AE159,AE161,AE163))/Assumptions!$F$13)</f>
        <v/>
      </c>
      <c r="AF27" s="228">
        <f>IF(AF$11=0,0,-AF$52*(SUM(AF155,AF157,AF159,AF161,AF163))/Assumptions!$F$13)</f>
        <v/>
      </c>
      <c r="AG27" s="228">
        <f>IF(AG$11=0,0,-AG$52*(SUM(AG155,AG157,AG159,AG161,AG163))/Assumptions!$F$13)</f>
        <v/>
      </c>
      <c r="AH27" s="228">
        <f>IF(AH$11=0,0,-AH$52*(SUM(AH155,AH157,AH159,AH161,AH163))/Assumptions!$F$13)</f>
        <v/>
      </c>
      <c r="AI27" s="228">
        <f>IF(AI$11=0,0,-AI$52*(SUM(AI155,AI157,AI159,AI161,AI163))/Assumptions!$F$13)</f>
        <v/>
      </c>
      <c r="AJ27" s="228">
        <f>IF(AJ$11=0,0,-AJ$52*(SUM(AJ155,AJ157,AJ159,AJ161,AJ163))/Assumptions!$F$13)</f>
        <v/>
      </c>
      <c r="AK27" s="228">
        <f>IF(AK$11=0,0,-AK$52*(SUM(AK155,AK157,AK159,AK161,AK163))/Assumptions!$F$13)</f>
        <v/>
      </c>
      <c r="AL27" s="228">
        <f>IF(AL$11=0,0,-AL$52*(SUM(AL155,AL157,AL159,AL161,AL163))/Assumptions!$F$13)</f>
        <v/>
      </c>
      <c r="AM27" s="228">
        <f>IF(AM$11=0,0,-AM$52*(SUM(AM155,AM157,AM159,AM161,AM163))/Assumptions!$F$13)</f>
        <v/>
      </c>
      <c r="AN27" s="228">
        <f>IF(AN$11=0,0,-AN$52*(SUM(AN155,AN157,AN159,AN161,AN163))/Assumptions!$F$13)</f>
        <v/>
      </c>
      <c r="AO27" s="228">
        <f>IF(AO$11=0,0,-AO$52*(SUM(AO155,AO157,AO159,AO161,AO163))/Assumptions!$F$13)</f>
        <v/>
      </c>
      <c r="AP27" s="228">
        <f>IF(AP$11=0,0,-AP$52*(SUM(AP155,AP157,AP159,AP161,AP163))/Assumptions!$F$13)</f>
        <v/>
      </c>
      <c r="AQ27" s="228">
        <f>IF(AQ$11=0,0,-AQ$52*(SUM(AQ155,AQ157,AQ159,AQ161,AQ163))/Assumptions!$F$13)</f>
        <v/>
      </c>
      <c r="AR27" s="228">
        <f>IF(AR$11=0,0,-AR$52*(SUM(AR155,AR157,AR159,AR161,AR163))/Assumptions!$F$13)</f>
        <v/>
      </c>
      <c r="AS27" s="228">
        <f>IF(AS$11=0,0,-AS$52*(SUM(AS155,AS157,AS159,AS161,AS163))/Assumptions!$F$13)</f>
        <v/>
      </c>
      <c r="AT27" s="228">
        <f>IF(AT$11=0,0,-AT$52*(SUM(AT155,AT157,AT159,AT161,AT163))/Assumptions!$F$13)</f>
        <v/>
      </c>
      <c r="AU27" s="228">
        <f>IF(AU$11=0,0,-AU$52*(SUM(AU155,AU157,AU159,AU161,AU163))/Assumptions!$F$13)</f>
        <v/>
      </c>
      <c r="AV27" s="228">
        <f>IF(AV$11=0,0,-AV$52*(SUM(AV155,AV157,AV159,AV161,AV163))/Assumptions!$F$13)</f>
        <v/>
      </c>
      <c r="AW27" s="228">
        <f>IF(AW$11=0,0,-AW$52*(SUM(AW155,AW157,AW159,AW161,AW163))/Assumptions!$F$13)</f>
        <v/>
      </c>
      <c r="AX27" s="228">
        <f>IF(AX$11=0,0,-AX$52*(SUM(AX155,AX157,AX159,AX161,AX163))/Assumptions!$F$13)</f>
        <v/>
      </c>
      <c r="AY27" s="228">
        <f>IF(AY$11=0,0,-AY$52*(SUM(AY155,AY157,AY159,AY161,AY163))/Assumptions!$F$13)</f>
        <v/>
      </c>
      <c r="AZ27" s="228">
        <f>IF(AZ$11=0,0,-AZ$52*(SUM(AZ155,AZ157,AZ159,AZ161,AZ163))/Assumptions!$F$13)</f>
        <v/>
      </c>
      <c r="BA27" s="228">
        <f>IF(BA$11=0,0,-BA$52*(SUM(BA155,BA157,BA159,BA161,BA163))/Assumptions!$F$13)</f>
        <v/>
      </c>
      <c r="BB27" s="228">
        <f>IF(BB$11=0,0,-BB$52*(SUM(BB155,BB157,BB159,BB161,BB163))/Assumptions!$F$13)</f>
        <v/>
      </c>
      <c r="BC27" s="228">
        <f>IF(BC$11=0,0,-BC$52*(SUM(BC155,BC157,BC159,BC161,BC163))/Assumptions!$F$13)</f>
        <v/>
      </c>
      <c r="BD27" s="228">
        <f>IF(BD$11=0,0,-BD$52*(SUM(BD155,BD157,BD159,BD161,BD163))/Assumptions!$F$13)</f>
        <v/>
      </c>
      <c r="BE27" s="228">
        <f>IF(BE$11=0,0,-BE$52*(SUM(BE155,BE157,BE159,BE161,BE163))/Assumptions!$F$13)</f>
        <v/>
      </c>
      <c r="BF27" s="228">
        <f>IF(BF$11=0,0,-BF$52*(SUM(BF155,BF157,BF159,BF161,BF163))/Assumptions!$F$13)</f>
        <v/>
      </c>
      <c r="BG27" s="228">
        <f>IF(BG$11=0,0,-BG$52*(SUM(BG155,BG157,BG159,BG161,BG163))/Assumptions!$F$13)</f>
        <v/>
      </c>
      <c r="BH27" s="228">
        <f>IF(BH$11=0,0,-BH$52*(SUM(BH155,BH157,BH159,BH161,BH163))/Assumptions!$F$13)</f>
        <v/>
      </c>
      <c r="BI27" s="228">
        <f>IF(BI$11=0,0,-BI$52*(SUM(BI155,BI157,BI159,BI161,BI163))/Assumptions!$F$13)</f>
        <v/>
      </c>
      <c r="BJ27" s="228">
        <f>IF(BJ$11=0,0,-BJ$52*(SUM(BJ155,BJ157,BJ159,BJ161,BJ163))/Assumptions!$F$13)</f>
        <v/>
      </c>
      <c r="BK27" s="228">
        <f>IF(BK$11=0,0,-BK$52*(SUM(BK155,BK157,BK159,BK161,BK163))/Assumptions!$F$13)</f>
        <v/>
      </c>
      <c r="BL27" s="228">
        <f>IF(BL$11=0,0,-BL$52*(SUM(BL155,BL157,BL159,BL161,BL163))/Assumptions!$F$13)</f>
        <v/>
      </c>
      <c r="BM27" s="228">
        <f>IF(BM$11=0,0,-BM$52*(SUM(BM155,BM157,BM159,BM161,BM163))/Assumptions!$F$13)</f>
        <v/>
      </c>
      <c r="BN27" s="228">
        <f>IF(BN$11=0,0,-BN$52*(SUM(BN155,BN157,BN159,BN161,BN163))/Assumptions!$F$13)</f>
        <v/>
      </c>
      <c r="BO27" s="228">
        <f>IF(BO$11=0,0,-BO$52*(SUM(BO155,BO157,BO159,BO161,BO163))/Assumptions!$F$13)</f>
        <v/>
      </c>
      <c r="BP27" s="228">
        <f>IF(BP$11=0,0,-BP$52*(SUM(BP155,BP157,BP159,BP161,BP163))/Assumptions!$F$13)</f>
        <v/>
      </c>
      <c r="BQ27" s="228">
        <f>IF(BQ$11=0,0,-BQ$52*(SUM(BQ155,BQ157,BQ159,BQ161,BQ163))/Assumptions!$F$13)</f>
        <v/>
      </c>
      <c r="BR27" s="228">
        <f>IF(BR$11=0,0,-BR$52*(SUM(BR155,BR157,BR159,BR161,BR163))/Assumptions!$F$13)</f>
        <v/>
      </c>
      <c r="BS27" s="228">
        <f>IF(BS$11=0,0,-BS$52*(SUM(BS155,BS157,BS159,BS161,BS163))/Assumptions!$F$13)</f>
        <v/>
      </c>
      <c r="BT27" s="228">
        <f>IF(BT$11=0,0,-BT$52*(SUM(BT155,BT157,BT159,BT161,BT163))/Assumptions!$F$13)</f>
        <v/>
      </c>
      <c r="BU27" s="228">
        <f>IF(BU$11=0,0,-BU$52*(SUM(BU155,BU157,BU159,BU161,BU163))/Assumptions!$F$13)</f>
        <v/>
      </c>
      <c r="BV27" s="228">
        <f>IF(BV$11=0,0,-BV$52*(SUM(BV155,BV157,BV159,BV161,BV163))/Assumptions!$F$13)</f>
        <v/>
      </c>
      <c r="BW27" s="228">
        <f>IF(BW$11=0,0,-BW$52*(SUM(BW155,BW157,BW159,BW161,BW163))/Assumptions!$F$13)</f>
        <v/>
      </c>
      <c r="BX27" s="228">
        <f>IF(BX$11=0,0,-BX$52*(SUM(BX155,BX157,BX159,BX161,BX163))/Assumptions!$F$13)</f>
        <v/>
      </c>
      <c r="BY27" s="228">
        <f>IF(BY$11=0,0,-BY$52*(SUM(BY155,BY157,BY159,BY161,BY163))/Assumptions!$F$13)</f>
        <v/>
      </c>
      <c r="BZ27" s="228">
        <f>IF(BZ$11=0,0,-BZ$52*(SUM(BZ155,BZ157,BZ159,BZ161,BZ163))/Assumptions!$F$13)</f>
        <v/>
      </c>
      <c r="CA27" s="228">
        <f>IF(CA$11=0,0,-CA$52*(SUM(CA155,CA157,CA159,CA161,CA163))/Assumptions!$F$13)</f>
        <v/>
      </c>
      <c r="CB27" s="228">
        <f>IF(CB$11=0,0,-CB$52*(SUM(CB155,CB157,CB159,CB161,CB163))/Assumptions!$F$13)</f>
        <v/>
      </c>
      <c r="CC27" s="228">
        <f>IF(CC$11=0,0,-CC$52*(SUM(CC155,CC157,CC159,CC161,CC163))/Assumptions!$F$13)</f>
        <v/>
      </c>
      <c r="CD27" s="228">
        <f>IF(CD$11=0,0,-CD$52*(SUM(CD155,CD157,CD159,CD161,CD163))/Assumptions!$F$13)</f>
        <v/>
      </c>
      <c r="CE27" s="228">
        <f>IF(CE$11=0,0,-CE$52*(SUM(CE155,CE157,CE159,CE161,CE163))/Assumptions!$F$13)</f>
        <v/>
      </c>
      <c r="CF27" s="228">
        <f>IF(CF$11=0,0,-CF$52*(SUM(CF155,CF157,CF159,CF161,CF163))/Assumptions!$F$13)</f>
        <v/>
      </c>
      <c r="CG27" s="228">
        <f>IF(CG$11=0,0,-CG$52*(SUM(CG155,CG157,CG159,CG161,CG163))/Assumptions!$F$13)</f>
        <v/>
      </c>
      <c r="CH27" s="228">
        <f>IF(CH$11=0,0,-CH$52*(SUM(CH155,CH157,CH159,CH161,CH163))/Assumptions!$F$13)</f>
        <v/>
      </c>
      <c r="CI27" s="228">
        <f>IF(CI$11=0,0,-CI$52*(SUM(CI155,CI157,CI159,CI161,CI163))/Assumptions!$F$13)</f>
        <v/>
      </c>
      <c r="CJ27" s="228">
        <f>IF(CJ$11=0,0,-CJ$52*(SUM(CJ155,CJ157,CJ159,CJ161,CJ163))/Assumptions!$F$13)</f>
        <v/>
      </c>
      <c r="CK27" s="228">
        <f>IF(CK$11=0,0,-CK$52*(SUM(CK155,CK157,CK159,CK161,CK163))/Assumptions!$F$13)</f>
        <v/>
      </c>
      <c r="CL27" s="228">
        <f>IF(CL$11=0,0,-CL$52*(SUM(CL155,CL157,CL159,CL161,CL163))/Assumptions!$F$13)</f>
        <v/>
      </c>
      <c r="CM27" s="228">
        <f>IF(CM$11=0,0,-CM$52*(SUM(CM155,CM157,CM159,CM161,CM163))/Assumptions!$F$13)</f>
        <v/>
      </c>
      <c r="CN27" s="228">
        <f>IF(CN$11=0,0,-CN$52*(SUM(CN155,CN157,CN159,CN161,CN163))/Assumptions!$F$13)</f>
        <v/>
      </c>
      <c r="CO27" s="228">
        <f>IF(CO$11=0,0,-CO$52*(SUM(CO155,CO157,CO159,CO161,CO163))/Assumptions!$F$13)</f>
        <v/>
      </c>
      <c r="CP27" s="228">
        <f>IF(CP$11=0,0,-CP$52*(SUM(CP155,CP157,CP159,CP161,CP163))/Assumptions!$F$13)</f>
        <v/>
      </c>
      <c r="CQ27" s="228">
        <f>IF(CQ$11=0,0,-CQ$52*(SUM(CQ155,CQ157,CQ159,CQ161,CQ163))/Assumptions!$F$13)</f>
        <v/>
      </c>
      <c r="CR27" s="228">
        <f>IF(CR$11=0,0,-CR$52*(SUM(CR155,CR157,CR159,CR161,CR163))/Assumptions!$F$13)</f>
        <v/>
      </c>
      <c r="CS27" s="228">
        <f>IF(CS$11=0,0,-CS$52*(SUM(CS155,CS157,CS159,CS161,CS163))/Assumptions!$F$13)</f>
        <v/>
      </c>
      <c r="CT27" s="228">
        <f>IF(CT$11=0,0,-CT$52*(SUM(CT155,CT157,CT159,CT161,CT163))/Assumptions!$F$13)</f>
        <v/>
      </c>
      <c r="CU27" s="228">
        <f>IF(CU$11=0,0,-CU$52*(SUM(CU155,CU157,CU159,CU161,CU163))/Assumptions!$F$13)</f>
        <v/>
      </c>
      <c r="CV27" s="228">
        <f>IF(CV$11=0,0,-CV$52*(SUM(CV155,CV157,CV159,CV161,CV163))/Assumptions!$F$13)</f>
        <v/>
      </c>
      <c r="CW27" s="228">
        <f>IF(CW$11=0,0,-CW$52*(SUM(CW155,CW157,CW159,CW161,CW163))/Assumptions!$F$13)</f>
        <v/>
      </c>
      <c r="CX27" s="228">
        <f>IF(CX$11=0,0,-CX$52*(SUM(CX155,CX157,CX159,CX161,CX163))/Assumptions!$F$13)</f>
        <v/>
      </c>
      <c r="CY27" s="228">
        <f>IF(CY$11=0,0,-CY$52*(SUM(CY155,CY157,CY159,CY161,CY163))/Assumptions!$F$13)</f>
        <v/>
      </c>
      <c r="CZ27" s="228">
        <f>IF(CZ$11=0,0,-CZ$52*(SUM(CZ155,CZ157,CZ159,CZ161,CZ163))/Assumptions!$F$13)</f>
        <v/>
      </c>
      <c r="DA27" s="228">
        <f>IF(DA$11=0,0,-DA$52*(SUM(DA155,DA157,DA159,DA161,DA163))/Assumptions!$F$13)</f>
        <v/>
      </c>
      <c r="DB27" s="228">
        <f>IF(DB$11=0,0,-DB$52*(SUM(DB155,DB157,DB159,DB161,DB163))/Assumptions!$F$13)</f>
        <v/>
      </c>
      <c r="DC27" s="228">
        <f>IF(DC$11=0,0,-DC$52*(SUM(DC155,DC157,DC159,DC161,DC163))/Assumptions!$F$13)</f>
        <v/>
      </c>
      <c r="DD27" s="228">
        <f>IF(DD$11=0,0,-DD$52*(SUM(DD155,DD157,DD159,DD161,DD163))/Assumptions!$F$13)</f>
        <v/>
      </c>
      <c r="DE27" s="228">
        <f>IF(DE$11=0,0,-DE$52*(SUM(DE155,DE157,DE159,DE161,DE163))/Assumptions!$F$13)</f>
        <v/>
      </c>
      <c r="DF27" s="228">
        <f>IF(DF$11=0,0,-DF$52*(SUM(DF155,DF157,DF159,DF161,DF163))/Assumptions!$F$13)</f>
        <v/>
      </c>
      <c r="DG27" s="228">
        <f>IF(DG$11=0,0,-DG$52*(SUM(DG155,DG157,DG159,DG161,DG163))/Assumptions!$F$13)</f>
        <v/>
      </c>
      <c r="DH27" s="228">
        <f>IF(DH$11=0,0,-DH$52*(SUM(DH155,DH157,DH159,DH161,DH163))/Assumptions!$F$13)</f>
        <v/>
      </c>
      <c r="DI27" s="228">
        <f>IF(DI$11=0,0,-DI$52*(SUM(DI155,DI157,DI159,DI161,DI163))/Assumptions!$F$13)</f>
        <v/>
      </c>
      <c r="DJ27" s="228">
        <f>IF(DJ$11=0,0,-DJ$52*(SUM(DJ155,DJ157,DJ159,DJ161,DJ163))/Assumptions!$F$13)</f>
        <v/>
      </c>
      <c r="DK27" s="228">
        <f>IF(DK$11=0,0,-DK$52*(SUM(DK155,DK157,DK159,DK161,DK163))/Assumptions!$F$13)</f>
        <v/>
      </c>
      <c r="DL27" s="228">
        <f>IF(DL$11=0,0,-DL$52*(SUM(DL155,DL157,DL159,DL161,DL163))/Assumptions!$F$13)</f>
        <v/>
      </c>
      <c r="DM27" s="228">
        <f>IF(DM$11=0,0,-DM$52*(SUM(DM155,DM157,DM159,DM161,DM163))/Assumptions!$F$13)</f>
        <v/>
      </c>
      <c r="DN27" s="228">
        <f>IF(DN$11=0,0,-DN$52*(SUM(DN155,DN157,DN159,DN161,DN163))/Assumptions!$F$13)</f>
        <v/>
      </c>
      <c r="DO27" s="228">
        <f>IF(DO$11=0,0,-DO$52*(SUM(DO155,DO157,DO159,DO161,DO163))/Assumptions!$F$13)</f>
        <v/>
      </c>
      <c r="DP27" s="228">
        <f>IF(DP$11=0,0,-DP$52*(SUM(DP155,DP157,DP159,DP161,DP163))/Assumptions!$F$13)</f>
        <v/>
      </c>
      <c r="DQ27" s="228">
        <f>IF(DQ$11=0,0,-DQ$52*(SUM(DQ155,DQ157,DQ159,DQ161,DQ163))/Assumptions!$F$13)</f>
        <v/>
      </c>
      <c r="DR27" s="228">
        <f>IF(DR$11=0,0,-DR$52*(SUM(DR155,DR157,DR159,DR161,DR163))/Assumptions!$F$13)</f>
        <v/>
      </c>
      <c r="DS27" s="228">
        <f>IF(DS$11=0,0,-DS$52*(SUM(DS155,DS157,DS159,DS161,DS163))/Assumptions!$F$13)</f>
        <v/>
      </c>
      <c r="DT27" s="228">
        <f>IF(DT$11=0,0,-DT$52*(SUM(DT155,DT157,DT159,DT161,DT163))/Assumptions!$F$13)</f>
        <v/>
      </c>
    </row>
    <row r="28" ht="15" customHeight="1" s="148">
      <c r="A28" s="112" t="inlineStr">
        <is>
          <t>Total Market Expense Recoveries</t>
        </is>
      </c>
      <c r="C28" s="228">
        <f>SUM(D28:DT28)</f>
        <v/>
      </c>
      <c r="D28" s="228">
        <f>IF(D$11=0,0,-D$52*(SUM(D165,D167,D169,D171,D173))/Assumptions!$F$13)</f>
        <v/>
      </c>
      <c r="E28" s="228">
        <f>IF(E$11=0,0,-E$52*(SUM(E165,E167,E169,E171,E173))/Assumptions!$F$13)</f>
        <v/>
      </c>
      <c r="F28" s="228">
        <f>IF(F$11=0,0,-F$52*(SUM(F165,F167,F169,F171,F173))/Assumptions!$F$13)</f>
        <v/>
      </c>
      <c r="G28" s="228">
        <f>IF(G$11=0,0,-G$52*(SUM(G165,G167,G169,G171,G173))/Assumptions!$F$13)</f>
        <v/>
      </c>
      <c r="H28" s="228">
        <f>IF(H$11=0,0,-H$52*(SUM(H165,H167,H169,H171,H173))/Assumptions!$F$13)</f>
        <v/>
      </c>
      <c r="I28" s="228">
        <f>IF(I$11=0,0,-I$52*(SUM(I165,I167,I169,I171,I173))/Assumptions!$F$13)</f>
        <v/>
      </c>
      <c r="J28" s="228">
        <f>IF(J$11=0,0,-J$52*(SUM(J165,J167,J169,J171,J173))/Assumptions!$F$13)</f>
        <v/>
      </c>
      <c r="K28" s="228">
        <f>IF(K$11=0,0,-K$52*(SUM(K165,K167,K169,K171,K173))/Assumptions!$F$13)</f>
        <v/>
      </c>
      <c r="L28" s="228">
        <f>IF(L$11=0,0,-L$52*(SUM(L165,L167,L169,L171,L173))/Assumptions!$F$13)</f>
        <v/>
      </c>
      <c r="M28" s="228">
        <f>IF(M$11=0,0,-M$52*(SUM(M165,M167,M169,M171,M173))/Assumptions!$F$13)</f>
        <v/>
      </c>
      <c r="N28" s="228">
        <f>IF(N$11=0,0,-N$52*(SUM(N165,N167,N169,N171,N173))/Assumptions!$F$13)</f>
        <v/>
      </c>
      <c r="O28" s="228">
        <f>IF(O$11=0,0,-O$52*(SUM(O165,O167,O169,O171,O173))/Assumptions!$F$13)</f>
        <v/>
      </c>
      <c r="P28" s="228">
        <f>IF(P$11=0,0,-P$52*(SUM(P165,P167,P169,P171,P173))/Assumptions!$F$13)</f>
        <v/>
      </c>
      <c r="Q28" s="228">
        <f>IF(Q$11=0,0,-Q$52*(SUM(Q165,Q167,Q169,Q171,Q173))/Assumptions!$F$13)</f>
        <v/>
      </c>
      <c r="R28" s="228">
        <f>IF(R$11=0,0,-R$52*(SUM(R165,R167,R169,R171,R173))/Assumptions!$F$13)</f>
        <v/>
      </c>
      <c r="S28" s="228">
        <f>IF(S$11=0,0,-S$52*(SUM(S165,S167,S169,S171,S173))/Assumptions!$F$13)</f>
        <v/>
      </c>
      <c r="T28" s="228">
        <f>IF(T$11=0,0,-T$52*(SUM(T165,T167,T169,T171,T173))/Assumptions!$F$13)</f>
        <v/>
      </c>
      <c r="U28" s="228">
        <f>IF(U$11=0,0,-U$52*(SUM(U165,U167,U169,U171,U173))/Assumptions!$F$13)</f>
        <v/>
      </c>
      <c r="V28" s="228">
        <f>IF(V$11=0,0,-V$52*(SUM(V165,V167,V169,V171,V173))/Assumptions!$F$13)</f>
        <v/>
      </c>
      <c r="W28" s="228">
        <f>IF(W$11=0,0,-W$52*(SUM(W165,W167,W169,W171,W173))/Assumptions!$F$13)</f>
        <v/>
      </c>
      <c r="X28" s="228">
        <f>IF(X$11=0,0,-X$52*(SUM(X165,X167,X169,X171,X173))/Assumptions!$F$13)</f>
        <v/>
      </c>
      <c r="Y28" s="228">
        <f>IF(Y$11=0,0,-Y$52*(SUM(Y165,Y167,Y169,Y171,Y173))/Assumptions!$F$13)</f>
        <v/>
      </c>
      <c r="Z28" s="228">
        <f>IF(Z$11=0,0,-Z$52*(SUM(Z165,Z167,Z169,Z171,Z173))/Assumptions!$F$13)</f>
        <v/>
      </c>
      <c r="AA28" s="228">
        <f>IF(AA$11=0,0,-AA$52*(SUM(AA165,AA167,AA169,AA171,AA173))/Assumptions!$F$13)</f>
        <v/>
      </c>
      <c r="AB28" s="228">
        <f>IF(AB$11=0,0,-AB$52*(SUM(AB165,AB167,AB169,AB171,AB173))/Assumptions!$F$13)</f>
        <v/>
      </c>
      <c r="AC28" s="228">
        <f>IF(AC$11=0,0,-AC$52*(SUM(AC165,AC167,AC169,AC171,AC173))/Assumptions!$F$13)</f>
        <v/>
      </c>
      <c r="AD28" s="228">
        <f>IF(AD$11=0,0,-AD$52*(SUM(AD165,AD167,AD169,AD171,AD173))/Assumptions!$F$13)</f>
        <v/>
      </c>
      <c r="AE28" s="228">
        <f>IF(AE$11=0,0,-AE$52*(SUM(AE165,AE167,AE169,AE171,AE173))/Assumptions!$F$13)</f>
        <v/>
      </c>
      <c r="AF28" s="228">
        <f>IF(AF$11=0,0,-AF$52*(SUM(AF165,AF167,AF169,AF171,AF173))/Assumptions!$F$13)</f>
        <v/>
      </c>
      <c r="AG28" s="228">
        <f>IF(AG$11=0,0,-AG$52*(SUM(AG165,AG167,AG169,AG171,AG173))/Assumptions!$F$13)</f>
        <v/>
      </c>
      <c r="AH28" s="228">
        <f>IF(AH$11=0,0,-AH$52*(SUM(AH165,AH167,AH169,AH171,AH173))/Assumptions!$F$13)</f>
        <v/>
      </c>
      <c r="AI28" s="228">
        <f>IF(AI$11=0,0,-AI$52*(SUM(AI165,AI167,AI169,AI171,AI173))/Assumptions!$F$13)</f>
        <v/>
      </c>
      <c r="AJ28" s="228">
        <f>IF(AJ$11=0,0,-AJ$52*(SUM(AJ165,AJ167,AJ169,AJ171,AJ173))/Assumptions!$F$13)</f>
        <v/>
      </c>
      <c r="AK28" s="228">
        <f>IF(AK$11=0,0,-AK$52*(SUM(AK165,AK167,AK169,AK171,AK173))/Assumptions!$F$13)</f>
        <v/>
      </c>
      <c r="AL28" s="228">
        <f>IF(AL$11=0,0,-AL$52*(SUM(AL165,AL167,AL169,AL171,AL173))/Assumptions!$F$13)</f>
        <v/>
      </c>
      <c r="AM28" s="228">
        <f>IF(AM$11=0,0,-AM$52*(SUM(AM165,AM167,AM169,AM171,AM173))/Assumptions!$F$13)</f>
        <v/>
      </c>
      <c r="AN28" s="228">
        <f>IF(AN$11=0,0,-AN$52*(SUM(AN165,AN167,AN169,AN171,AN173))/Assumptions!$F$13)</f>
        <v/>
      </c>
      <c r="AO28" s="228">
        <f>IF(AO$11=0,0,-AO$52*(SUM(AO165,AO167,AO169,AO171,AO173))/Assumptions!$F$13)</f>
        <v/>
      </c>
      <c r="AP28" s="228">
        <f>IF(AP$11=0,0,-AP$52*(SUM(AP165,AP167,AP169,AP171,AP173))/Assumptions!$F$13)</f>
        <v/>
      </c>
      <c r="AQ28" s="228">
        <f>IF(AQ$11=0,0,-AQ$52*(SUM(AQ165,AQ167,AQ169,AQ171,AQ173))/Assumptions!$F$13)</f>
        <v/>
      </c>
      <c r="AR28" s="228">
        <f>IF(AR$11=0,0,-AR$52*(SUM(AR165,AR167,AR169,AR171,AR173))/Assumptions!$F$13)</f>
        <v/>
      </c>
      <c r="AS28" s="228">
        <f>IF(AS$11=0,0,-AS$52*(SUM(AS165,AS167,AS169,AS171,AS173))/Assumptions!$F$13)</f>
        <v/>
      </c>
      <c r="AT28" s="228">
        <f>IF(AT$11=0,0,-AT$52*(SUM(AT165,AT167,AT169,AT171,AT173))/Assumptions!$F$13)</f>
        <v/>
      </c>
      <c r="AU28" s="228">
        <f>IF(AU$11=0,0,-AU$52*(SUM(AU165,AU167,AU169,AU171,AU173))/Assumptions!$F$13)</f>
        <v/>
      </c>
      <c r="AV28" s="228">
        <f>IF(AV$11=0,0,-AV$52*(SUM(AV165,AV167,AV169,AV171,AV173))/Assumptions!$F$13)</f>
        <v/>
      </c>
      <c r="AW28" s="228">
        <f>IF(AW$11=0,0,-AW$52*(SUM(AW165,AW167,AW169,AW171,AW173))/Assumptions!$F$13)</f>
        <v/>
      </c>
      <c r="AX28" s="228">
        <f>IF(AX$11=0,0,-AX$52*(SUM(AX165,AX167,AX169,AX171,AX173))/Assumptions!$F$13)</f>
        <v/>
      </c>
      <c r="AY28" s="228">
        <f>IF(AY$11=0,0,-AY$52*(SUM(AY165,AY167,AY169,AY171,AY173))/Assumptions!$F$13)</f>
        <v/>
      </c>
      <c r="AZ28" s="228">
        <f>IF(AZ$11=0,0,-AZ$52*(SUM(AZ165,AZ167,AZ169,AZ171,AZ173))/Assumptions!$F$13)</f>
        <v/>
      </c>
      <c r="BA28" s="228">
        <f>IF(BA$11=0,0,-BA$52*(SUM(BA165,BA167,BA169,BA171,BA173))/Assumptions!$F$13)</f>
        <v/>
      </c>
      <c r="BB28" s="228">
        <f>IF(BB$11=0,0,-BB$52*(SUM(BB165,BB167,BB169,BB171,BB173))/Assumptions!$F$13)</f>
        <v/>
      </c>
      <c r="BC28" s="228">
        <f>IF(BC$11=0,0,-BC$52*(SUM(BC165,BC167,BC169,BC171,BC173))/Assumptions!$F$13)</f>
        <v/>
      </c>
      <c r="BD28" s="228">
        <f>IF(BD$11=0,0,-BD$52*(SUM(BD165,BD167,BD169,BD171,BD173))/Assumptions!$F$13)</f>
        <v/>
      </c>
      <c r="BE28" s="228">
        <f>IF(BE$11=0,0,-BE$52*(SUM(BE165,BE167,BE169,BE171,BE173))/Assumptions!$F$13)</f>
        <v/>
      </c>
      <c r="BF28" s="228">
        <f>IF(BF$11=0,0,-BF$52*(SUM(BF165,BF167,BF169,BF171,BF173))/Assumptions!$F$13)</f>
        <v/>
      </c>
      <c r="BG28" s="228">
        <f>IF(BG$11=0,0,-BG$52*(SUM(BG165,BG167,BG169,BG171,BG173))/Assumptions!$F$13)</f>
        <v/>
      </c>
      <c r="BH28" s="228">
        <f>IF(BH$11=0,0,-BH$52*(SUM(BH165,BH167,BH169,BH171,BH173))/Assumptions!$F$13)</f>
        <v/>
      </c>
      <c r="BI28" s="228">
        <f>IF(BI$11=0,0,-BI$52*(SUM(BI165,BI167,BI169,BI171,BI173))/Assumptions!$F$13)</f>
        <v/>
      </c>
      <c r="BJ28" s="228">
        <f>IF(BJ$11=0,0,-BJ$52*(SUM(BJ165,BJ167,BJ169,BJ171,BJ173))/Assumptions!$F$13)</f>
        <v/>
      </c>
      <c r="BK28" s="228">
        <f>IF(BK$11=0,0,-BK$52*(SUM(BK165,BK167,BK169,BK171,BK173))/Assumptions!$F$13)</f>
        <v/>
      </c>
      <c r="BL28" s="228">
        <f>IF(BL$11=0,0,-BL$52*(SUM(BL165,BL167,BL169,BL171,BL173))/Assumptions!$F$13)</f>
        <v/>
      </c>
      <c r="BM28" s="228">
        <f>IF(BM$11=0,0,-BM$52*(SUM(BM165,BM167,BM169,BM171,BM173))/Assumptions!$F$13)</f>
        <v/>
      </c>
      <c r="BN28" s="228">
        <f>IF(BN$11=0,0,-BN$52*(SUM(BN165,BN167,BN169,BN171,BN173))/Assumptions!$F$13)</f>
        <v/>
      </c>
      <c r="BO28" s="228">
        <f>IF(BO$11=0,0,-BO$52*(SUM(BO165,BO167,BO169,BO171,BO173))/Assumptions!$F$13)</f>
        <v/>
      </c>
      <c r="BP28" s="228">
        <f>IF(BP$11=0,0,-BP$52*(SUM(BP165,BP167,BP169,BP171,BP173))/Assumptions!$F$13)</f>
        <v/>
      </c>
      <c r="BQ28" s="228">
        <f>IF(BQ$11=0,0,-BQ$52*(SUM(BQ165,BQ167,BQ169,BQ171,BQ173))/Assumptions!$F$13)</f>
        <v/>
      </c>
      <c r="BR28" s="228">
        <f>IF(BR$11=0,0,-BR$52*(SUM(BR165,BR167,BR169,BR171,BR173))/Assumptions!$F$13)</f>
        <v/>
      </c>
      <c r="BS28" s="228">
        <f>IF(BS$11=0,0,-BS$52*(SUM(BS165,BS167,BS169,BS171,BS173))/Assumptions!$F$13)</f>
        <v/>
      </c>
      <c r="BT28" s="228">
        <f>IF(BT$11=0,0,-BT$52*(SUM(BT165,BT167,BT169,BT171,BT173))/Assumptions!$F$13)</f>
        <v/>
      </c>
      <c r="BU28" s="228">
        <f>IF(BU$11=0,0,-BU$52*(SUM(BU165,BU167,BU169,BU171,BU173))/Assumptions!$F$13)</f>
        <v/>
      </c>
      <c r="BV28" s="228">
        <f>IF(BV$11=0,0,-BV$52*(SUM(BV165,BV167,BV169,BV171,BV173))/Assumptions!$F$13)</f>
        <v/>
      </c>
      <c r="BW28" s="228">
        <f>IF(BW$11=0,0,-BW$52*(SUM(BW165,BW167,BW169,BW171,BW173))/Assumptions!$F$13)</f>
        <v/>
      </c>
      <c r="BX28" s="228">
        <f>IF(BX$11=0,0,-BX$52*(SUM(BX165,BX167,BX169,BX171,BX173))/Assumptions!$F$13)</f>
        <v/>
      </c>
      <c r="BY28" s="228">
        <f>IF(BY$11=0,0,-BY$52*(SUM(BY165,BY167,BY169,BY171,BY173))/Assumptions!$F$13)</f>
        <v/>
      </c>
      <c r="BZ28" s="228">
        <f>IF(BZ$11=0,0,-BZ$52*(SUM(BZ165,BZ167,BZ169,BZ171,BZ173))/Assumptions!$F$13)</f>
        <v/>
      </c>
      <c r="CA28" s="228">
        <f>IF(CA$11=0,0,-CA$52*(SUM(CA165,CA167,CA169,CA171,CA173))/Assumptions!$F$13)</f>
        <v/>
      </c>
      <c r="CB28" s="228">
        <f>IF(CB$11=0,0,-CB$52*(SUM(CB165,CB167,CB169,CB171,CB173))/Assumptions!$F$13)</f>
        <v/>
      </c>
      <c r="CC28" s="228">
        <f>IF(CC$11=0,0,-CC$52*(SUM(CC165,CC167,CC169,CC171,CC173))/Assumptions!$F$13)</f>
        <v/>
      </c>
      <c r="CD28" s="228">
        <f>IF(CD$11=0,0,-CD$52*(SUM(CD165,CD167,CD169,CD171,CD173))/Assumptions!$F$13)</f>
        <v/>
      </c>
      <c r="CE28" s="228">
        <f>IF(CE$11=0,0,-CE$52*(SUM(CE165,CE167,CE169,CE171,CE173))/Assumptions!$F$13)</f>
        <v/>
      </c>
      <c r="CF28" s="228">
        <f>IF(CF$11=0,0,-CF$52*(SUM(CF165,CF167,CF169,CF171,CF173))/Assumptions!$F$13)</f>
        <v/>
      </c>
      <c r="CG28" s="228">
        <f>IF(CG$11=0,0,-CG$52*(SUM(CG165,CG167,CG169,CG171,CG173))/Assumptions!$F$13)</f>
        <v/>
      </c>
      <c r="CH28" s="228">
        <f>IF(CH$11=0,0,-CH$52*(SUM(CH165,CH167,CH169,CH171,CH173))/Assumptions!$F$13)</f>
        <v/>
      </c>
      <c r="CI28" s="228">
        <f>IF(CI$11=0,0,-CI$52*(SUM(CI165,CI167,CI169,CI171,CI173))/Assumptions!$F$13)</f>
        <v/>
      </c>
      <c r="CJ28" s="228">
        <f>IF(CJ$11=0,0,-CJ$52*(SUM(CJ165,CJ167,CJ169,CJ171,CJ173))/Assumptions!$F$13)</f>
        <v/>
      </c>
      <c r="CK28" s="228">
        <f>IF(CK$11=0,0,-CK$52*(SUM(CK165,CK167,CK169,CK171,CK173))/Assumptions!$F$13)</f>
        <v/>
      </c>
      <c r="CL28" s="228">
        <f>IF(CL$11=0,0,-CL$52*(SUM(CL165,CL167,CL169,CL171,CL173))/Assumptions!$F$13)</f>
        <v/>
      </c>
      <c r="CM28" s="228">
        <f>IF(CM$11=0,0,-CM$52*(SUM(CM165,CM167,CM169,CM171,CM173))/Assumptions!$F$13)</f>
        <v/>
      </c>
      <c r="CN28" s="228">
        <f>IF(CN$11=0,0,-CN$52*(SUM(CN165,CN167,CN169,CN171,CN173))/Assumptions!$F$13)</f>
        <v/>
      </c>
      <c r="CO28" s="228">
        <f>IF(CO$11=0,0,-CO$52*(SUM(CO165,CO167,CO169,CO171,CO173))/Assumptions!$F$13)</f>
        <v/>
      </c>
      <c r="CP28" s="228">
        <f>IF(CP$11=0,0,-CP$52*(SUM(CP165,CP167,CP169,CP171,CP173))/Assumptions!$F$13)</f>
        <v/>
      </c>
      <c r="CQ28" s="228">
        <f>IF(CQ$11=0,0,-CQ$52*(SUM(CQ165,CQ167,CQ169,CQ171,CQ173))/Assumptions!$F$13)</f>
        <v/>
      </c>
      <c r="CR28" s="228">
        <f>IF(CR$11=0,0,-CR$52*(SUM(CR165,CR167,CR169,CR171,CR173))/Assumptions!$F$13)</f>
        <v/>
      </c>
      <c r="CS28" s="228">
        <f>IF(CS$11=0,0,-CS$52*(SUM(CS165,CS167,CS169,CS171,CS173))/Assumptions!$F$13)</f>
        <v/>
      </c>
      <c r="CT28" s="228">
        <f>IF(CT$11=0,0,-CT$52*(SUM(CT165,CT167,CT169,CT171,CT173))/Assumptions!$F$13)</f>
        <v/>
      </c>
      <c r="CU28" s="228">
        <f>IF(CU$11=0,0,-CU$52*(SUM(CU165,CU167,CU169,CU171,CU173))/Assumptions!$F$13)</f>
        <v/>
      </c>
      <c r="CV28" s="228">
        <f>IF(CV$11=0,0,-CV$52*(SUM(CV165,CV167,CV169,CV171,CV173))/Assumptions!$F$13)</f>
        <v/>
      </c>
      <c r="CW28" s="228">
        <f>IF(CW$11=0,0,-CW$52*(SUM(CW165,CW167,CW169,CW171,CW173))/Assumptions!$F$13)</f>
        <v/>
      </c>
      <c r="CX28" s="228">
        <f>IF(CX$11=0,0,-CX$52*(SUM(CX165,CX167,CX169,CX171,CX173))/Assumptions!$F$13)</f>
        <v/>
      </c>
      <c r="CY28" s="228">
        <f>IF(CY$11=0,0,-CY$52*(SUM(CY165,CY167,CY169,CY171,CY173))/Assumptions!$F$13)</f>
        <v/>
      </c>
      <c r="CZ28" s="228">
        <f>IF(CZ$11=0,0,-CZ$52*(SUM(CZ165,CZ167,CZ169,CZ171,CZ173))/Assumptions!$F$13)</f>
        <v/>
      </c>
      <c r="DA28" s="228">
        <f>IF(DA$11=0,0,-DA$52*(SUM(DA165,DA167,DA169,DA171,DA173))/Assumptions!$F$13)</f>
        <v/>
      </c>
      <c r="DB28" s="228">
        <f>IF(DB$11=0,0,-DB$52*(SUM(DB165,DB167,DB169,DB171,DB173))/Assumptions!$F$13)</f>
        <v/>
      </c>
      <c r="DC28" s="228">
        <f>IF(DC$11=0,0,-DC$52*(SUM(DC165,DC167,DC169,DC171,DC173))/Assumptions!$F$13)</f>
        <v/>
      </c>
      <c r="DD28" s="228">
        <f>IF(DD$11=0,0,-DD$52*(SUM(DD165,DD167,DD169,DD171,DD173))/Assumptions!$F$13)</f>
        <v/>
      </c>
      <c r="DE28" s="228">
        <f>IF(DE$11=0,0,-DE$52*(SUM(DE165,DE167,DE169,DE171,DE173))/Assumptions!$F$13)</f>
        <v/>
      </c>
      <c r="DF28" s="228">
        <f>IF(DF$11=0,0,-DF$52*(SUM(DF165,DF167,DF169,DF171,DF173))/Assumptions!$F$13)</f>
        <v/>
      </c>
      <c r="DG28" s="228">
        <f>IF(DG$11=0,0,-DG$52*(SUM(DG165,DG167,DG169,DG171,DG173))/Assumptions!$F$13)</f>
        <v/>
      </c>
      <c r="DH28" s="228">
        <f>IF(DH$11=0,0,-DH$52*(SUM(DH165,DH167,DH169,DH171,DH173))/Assumptions!$F$13)</f>
        <v/>
      </c>
      <c r="DI28" s="228">
        <f>IF(DI$11=0,0,-DI$52*(SUM(DI165,DI167,DI169,DI171,DI173))/Assumptions!$F$13)</f>
        <v/>
      </c>
      <c r="DJ28" s="228">
        <f>IF(DJ$11=0,0,-DJ$52*(SUM(DJ165,DJ167,DJ169,DJ171,DJ173))/Assumptions!$F$13)</f>
        <v/>
      </c>
      <c r="DK28" s="228">
        <f>IF(DK$11=0,0,-DK$52*(SUM(DK165,DK167,DK169,DK171,DK173))/Assumptions!$F$13)</f>
        <v/>
      </c>
      <c r="DL28" s="228">
        <f>IF(DL$11=0,0,-DL$52*(SUM(DL165,DL167,DL169,DL171,DL173))/Assumptions!$F$13)</f>
        <v/>
      </c>
      <c r="DM28" s="228">
        <f>IF(DM$11=0,0,-DM$52*(SUM(DM165,DM167,DM169,DM171,DM173))/Assumptions!$F$13)</f>
        <v/>
      </c>
      <c r="DN28" s="228">
        <f>IF(DN$11=0,0,-DN$52*(SUM(DN165,DN167,DN169,DN171,DN173))/Assumptions!$F$13)</f>
        <v/>
      </c>
      <c r="DO28" s="228">
        <f>IF(DO$11=0,0,-DO$52*(SUM(DO165,DO167,DO169,DO171,DO173))/Assumptions!$F$13)</f>
        <v/>
      </c>
      <c r="DP28" s="228">
        <f>IF(DP$11=0,0,-DP$52*(SUM(DP165,DP167,DP169,DP171,DP173))/Assumptions!$F$13)</f>
        <v/>
      </c>
      <c r="DQ28" s="228">
        <f>IF(DQ$11=0,0,-DQ$52*(SUM(DQ165,DQ167,DQ169,DQ171,DQ173))/Assumptions!$F$13)</f>
        <v/>
      </c>
      <c r="DR28" s="228">
        <f>IF(DR$11=0,0,-DR$52*(SUM(DR165,DR167,DR169,DR171,DR173))/Assumptions!$F$13)</f>
        <v/>
      </c>
      <c r="DS28" s="228">
        <f>IF(DS$11=0,0,-DS$52*(SUM(DS165,DS167,DS169,DS171,DS173))/Assumptions!$F$13)</f>
        <v/>
      </c>
      <c r="DT28" s="228">
        <f>IF(DT$11=0,0,-DT$52*(SUM(DT165,DT167,DT169,DT171,DT173))/Assumptions!$F$13)</f>
        <v/>
      </c>
    </row>
    <row r="29" ht="15" customHeight="1" s="148">
      <c r="A29" s="110" t="inlineStr">
        <is>
          <t>Total Expense Recoveries</t>
        </is>
      </c>
      <c r="C29" s="228">
        <f>SUM(D29:DT29)</f>
        <v/>
      </c>
      <c r="D29" s="228">
        <f>D$27+D$28</f>
        <v/>
      </c>
      <c r="E29" s="228">
        <f>E$27+E$28</f>
        <v/>
      </c>
      <c r="F29" s="228">
        <f>F$27+F$28</f>
        <v/>
      </c>
      <c r="G29" s="228">
        <f>G$27+G$28</f>
        <v/>
      </c>
      <c r="H29" s="228">
        <f>H$27+H$28</f>
        <v/>
      </c>
      <c r="I29" s="228">
        <f>I$27+I$28</f>
        <v/>
      </c>
      <c r="J29" s="228">
        <f>J$27+J$28</f>
        <v/>
      </c>
      <c r="K29" s="228">
        <f>K$27+K$28</f>
        <v/>
      </c>
      <c r="L29" s="228">
        <f>L$27+L$28</f>
        <v/>
      </c>
      <c r="M29" s="228">
        <f>M$27+M$28</f>
        <v/>
      </c>
      <c r="N29" s="228">
        <f>N$27+N$28</f>
        <v/>
      </c>
      <c r="O29" s="228">
        <f>O$27+O$28</f>
        <v/>
      </c>
      <c r="P29" s="228">
        <f>P$27+P$28</f>
        <v/>
      </c>
      <c r="Q29" s="228">
        <f>Q$27+Q$28</f>
        <v/>
      </c>
      <c r="R29" s="228">
        <f>R$27+R$28</f>
        <v/>
      </c>
      <c r="S29" s="228">
        <f>S$27+S$28</f>
        <v/>
      </c>
      <c r="T29" s="228">
        <f>T$27+T$28</f>
        <v/>
      </c>
      <c r="U29" s="228">
        <f>U$27+U$28</f>
        <v/>
      </c>
      <c r="V29" s="228">
        <f>V$27+V$28</f>
        <v/>
      </c>
      <c r="W29" s="228">
        <f>W$27+W$28</f>
        <v/>
      </c>
      <c r="X29" s="228">
        <f>X$27+X$28</f>
        <v/>
      </c>
      <c r="Y29" s="228">
        <f>Y$27+Y$28</f>
        <v/>
      </c>
      <c r="Z29" s="228">
        <f>Z$27+Z$28</f>
        <v/>
      </c>
      <c r="AA29" s="228">
        <f>AA$27+AA$28</f>
        <v/>
      </c>
      <c r="AB29" s="228">
        <f>AB$27+AB$28</f>
        <v/>
      </c>
      <c r="AC29" s="228">
        <f>AC$27+AC$28</f>
        <v/>
      </c>
      <c r="AD29" s="228">
        <f>AD$27+AD$28</f>
        <v/>
      </c>
      <c r="AE29" s="228">
        <f>AE$27+AE$28</f>
        <v/>
      </c>
      <c r="AF29" s="228">
        <f>AF$27+AF$28</f>
        <v/>
      </c>
      <c r="AG29" s="228">
        <f>AG$27+AG$28</f>
        <v/>
      </c>
      <c r="AH29" s="228">
        <f>AH$27+AH$28</f>
        <v/>
      </c>
      <c r="AI29" s="228">
        <f>AI$27+AI$28</f>
        <v/>
      </c>
      <c r="AJ29" s="228">
        <f>AJ$27+AJ$28</f>
        <v/>
      </c>
      <c r="AK29" s="228">
        <f>AK$27+AK$28</f>
        <v/>
      </c>
      <c r="AL29" s="228">
        <f>AL$27+AL$28</f>
        <v/>
      </c>
      <c r="AM29" s="228">
        <f>AM$27+AM$28</f>
        <v/>
      </c>
      <c r="AN29" s="228">
        <f>AN$27+AN$28</f>
        <v/>
      </c>
      <c r="AO29" s="228">
        <f>AO$27+AO$28</f>
        <v/>
      </c>
      <c r="AP29" s="228">
        <f>AP$27+AP$28</f>
        <v/>
      </c>
      <c r="AQ29" s="228">
        <f>AQ$27+AQ$28</f>
        <v/>
      </c>
      <c r="AR29" s="228">
        <f>AR$27+AR$28</f>
        <v/>
      </c>
      <c r="AS29" s="228">
        <f>AS$27+AS$28</f>
        <v/>
      </c>
      <c r="AT29" s="228">
        <f>AT$27+AT$28</f>
        <v/>
      </c>
      <c r="AU29" s="228">
        <f>AU$27+AU$28</f>
        <v/>
      </c>
      <c r="AV29" s="228">
        <f>AV$27+AV$28</f>
        <v/>
      </c>
      <c r="AW29" s="228">
        <f>AW$27+AW$28</f>
        <v/>
      </c>
      <c r="AX29" s="228">
        <f>AX$27+AX$28</f>
        <v/>
      </c>
      <c r="AY29" s="228">
        <f>AY$27+AY$28</f>
        <v/>
      </c>
      <c r="AZ29" s="228">
        <f>AZ$27+AZ$28</f>
        <v/>
      </c>
      <c r="BA29" s="228">
        <f>BA$27+BA$28</f>
        <v/>
      </c>
      <c r="BB29" s="228">
        <f>BB$27+BB$28</f>
        <v/>
      </c>
      <c r="BC29" s="228">
        <f>BC$27+BC$28</f>
        <v/>
      </c>
      <c r="BD29" s="228">
        <f>BD$27+BD$28</f>
        <v/>
      </c>
      <c r="BE29" s="228">
        <f>BE$27+BE$28</f>
        <v/>
      </c>
      <c r="BF29" s="228">
        <f>BF$27+BF$28</f>
        <v/>
      </c>
      <c r="BG29" s="228">
        <f>BG$27+BG$28</f>
        <v/>
      </c>
      <c r="BH29" s="228">
        <f>BH$27+BH$28</f>
        <v/>
      </c>
      <c r="BI29" s="228">
        <f>BI$27+BI$28</f>
        <v/>
      </c>
      <c r="BJ29" s="228">
        <f>BJ$27+BJ$28</f>
        <v/>
      </c>
      <c r="BK29" s="228">
        <f>BK$27+BK$28</f>
        <v/>
      </c>
      <c r="BL29" s="228">
        <f>BL$27+BL$28</f>
        <v/>
      </c>
      <c r="BM29" s="228">
        <f>BM$27+BM$28</f>
        <v/>
      </c>
      <c r="BN29" s="228">
        <f>BN$27+BN$28</f>
        <v/>
      </c>
      <c r="BO29" s="228">
        <f>BO$27+BO$28</f>
        <v/>
      </c>
      <c r="BP29" s="228">
        <f>BP$27+BP$28</f>
        <v/>
      </c>
      <c r="BQ29" s="228">
        <f>BQ$27+BQ$28</f>
        <v/>
      </c>
      <c r="BR29" s="228">
        <f>BR$27+BR$28</f>
        <v/>
      </c>
      <c r="BS29" s="228">
        <f>BS$27+BS$28</f>
        <v/>
      </c>
      <c r="BT29" s="228">
        <f>BT$27+BT$28</f>
        <v/>
      </c>
      <c r="BU29" s="228">
        <f>BU$27+BU$28</f>
        <v/>
      </c>
      <c r="BV29" s="228">
        <f>BV$27+BV$28</f>
        <v/>
      </c>
      <c r="BW29" s="228">
        <f>BW$27+BW$28</f>
        <v/>
      </c>
      <c r="BX29" s="228">
        <f>BX$27+BX$28</f>
        <v/>
      </c>
      <c r="BY29" s="228">
        <f>BY$27+BY$28</f>
        <v/>
      </c>
      <c r="BZ29" s="228">
        <f>BZ$27+BZ$28</f>
        <v/>
      </c>
      <c r="CA29" s="228">
        <f>CA$27+CA$28</f>
        <v/>
      </c>
      <c r="CB29" s="228">
        <f>CB$27+CB$28</f>
        <v/>
      </c>
      <c r="CC29" s="228">
        <f>CC$27+CC$28</f>
        <v/>
      </c>
      <c r="CD29" s="228">
        <f>CD$27+CD$28</f>
        <v/>
      </c>
      <c r="CE29" s="228">
        <f>CE$27+CE$28</f>
        <v/>
      </c>
      <c r="CF29" s="228">
        <f>CF$27+CF$28</f>
        <v/>
      </c>
      <c r="CG29" s="228">
        <f>CG$27+CG$28</f>
        <v/>
      </c>
      <c r="CH29" s="228">
        <f>CH$27+CH$28</f>
        <v/>
      </c>
      <c r="CI29" s="228">
        <f>CI$27+CI$28</f>
        <v/>
      </c>
      <c r="CJ29" s="228">
        <f>CJ$27+CJ$28</f>
        <v/>
      </c>
      <c r="CK29" s="228">
        <f>CK$27+CK$28</f>
        <v/>
      </c>
      <c r="CL29" s="228">
        <f>CL$27+CL$28</f>
        <v/>
      </c>
      <c r="CM29" s="228">
        <f>CM$27+CM$28</f>
        <v/>
      </c>
      <c r="CN29" s="228">
        <f>CN$27+CN$28</f>
        <v/>
      </c>
      <c r="CO29" s="228">
        <f>CO$27+CO$28</f>
        <v/>
      </c>
      <c r="CP29" s="228">
        <f>CP$27+CP$28</f>
        <v/>
      </c>
      <c r="CQ29" s="228">
        <f>CQ$27+CQ$28</f>
        <v/>
      </c>
      <c r="CR29" s="228">
        <f>CR$27+CR$28</f>
        <v/>
      </c>
      <c r="CS29" s="228">
        <f>CS$27+CS$28</f>
        <v/>
      </c>
      <c r="CT29" s="228">
        <f>CT$27+CT$28</f>
        <v/>
      </c>
      <c r="CU29" s="228">
        <f>CU$27+CU$28</f>
        <v/>
      </c>
      <c r="CV29" s="228">
        <f>CV$27+CV$28</f>
        <v/>
      </c>
      <c r="CW29" s="228">
        <f>CW$27+CW$28</f>
        <v/>
      </c>
      <c r="CX29" s="228">
        <f>CX$27+CX$28</f>
        <v/>
      </c>
      <c r="CY29" s="228">
        <f>CY$27+CY$28</f>
        <v/>
      </c>
      <c r="CZ29" s="228">
        <f>CZ$27+CZ$28</f>
        <v/>
      </c>
      <c r="DA29" s="228">
        <f>DA$27+DA$28</f>
        <v/>
      </c>
      <c r="DB29" s="228">
        <f>DB$27+DB$28</f>
        <v/>
      </c>
      <c r="DC29" s="228">
        <f>DC$27+DC$28</f>
        <v/>
      </c>
      <c r="DD29" s="228">
        <f>DD$27+DD$28</f>
        <v/>
      </c>
      <c r="DE29" s="228">
        <f>DE$27+DE$28</f>
        <v/>
      </c>
      <c r="DF29" s="228">
        <f>DF$27+DF$28</f>
        <v/>
      </c>
      <c r="DG29" s="228">
        <f>DG$27+DG$28</f>
        <v/>
      </c>
      <c r="DH29" s="228">
        <f>DH$27+DH$28</f>
        <v/>
      </c>
      <c r="DI29" s="228">
        <f>DI$27+DI$28</f>
        <v/>
      </c>
      <c r="DJ29" s="228">
        <f>DJ$27+DJ$28</f>
        <v/>
      </c>
      <c r="DK29" s="228">
        <f>DK$27+DK$28</f>
        <v/>
      </c>
      <c r="DL29" s="228">
        <f>DL$27+DL$28</f>
        <v/>
      </c>
      <c r="DM29" s="228">
        <f>DM$27+DM$28</f>
        <v/>
      </c>
      <c r="DN29" s="228">
        <f>DN$27+DN$28</f>
        <v/>
      </c>
      <c r="DO29" s="228">
        <f>DO$27+DO$28</f>
        <v/>
      </c>
      <c r="DP29" s="228">
        <f>DP$27+DP$28</f>
        <v/>
      </c>
      <c r="DQ29" s="228">
        <f>DQ$27+DQ$28</f>
        <v/>
      </c>
      <c r="DR29" s="228">
        <f>DR$27+DR$28</f>
        <v/>
      </c>
      <c r="DS29" s="228">
        <f>DS$27+DS$28</f>
        <v/>
      </c>
      <c r="DT29" s="228">
        <f>DT$27+DT$28</f>
        <v/>
      </c>
    </row>
    <row r="30" ht="15" customHeight="1" s="148">
      <c r="A30" s="110" t="inlineStr">
        <is>
          <t>Total Other Revenue</t>
        </is>
      </c>
      <c r="C30" s="228">
        <f>SUM(D30:DT30)</f>
        <v/>
      </c>
      <c r="D30" s="228">
        <f>IF(D$11=0,0,ROUND(Assumptions!$F$13*(Assumptions!$P$11+Assumptions!$P$12+Assumptions!$P$13+Assumptions!$P$14+Assumptions!$P$15+Assumptions!$P$16)*(1+Assumptions!$P$37)^(D$9-1)/12,0))</f>
        <v/>
      </c>
      <c r="E30" s="228">
        <f>IF(E$11=0,0,ROUND(Assumptions!$F$13*(Assumptions!$P$11+Assumptions!$P$12+Assumptions!$P$13+Assumptions!$P$14+Assumptions!$P$15+Assumptions!$P$16)*(1+Assumptions!$P$37)^(E$9-1)/12,0))</f>
        <v/>
      </c>
      <c r="F30" s="228">
        <f>IF(F$11=0,0,ROUND(Assumptions!$F$13*(Assumptions!$P$11+Assumptions!$P$12+Assumptions!$P$13+Assumptions!$P$14+Assumptions!$P$15+Assumptions!$P$16)*(1+Assumptions!$P$37)^(F$9-1)/12,0))</f>
        <v/>
      </c>
      <c r="G30" s="228">
        <f>IF(G$11=0,0,ROUND(Assumptions!$F$13*(Assumptions!$P$11+Assumptions!$P$12+Assumptions!$P$13+Assumptions!$P$14+Assumptions!$P$15+Assumptions!$P$16)*(1+Assumptions!$P$37)^(G$9-1)/12,0))</f>
        <v/>
      </c>
      <c r="H30" s="228">
        <f>IF(H$11=0,0,ROUND(Assumptions!$F$13*(Assumptions!$P$11+Assumptions!$P$12+Assumptions!$P$13+Assumptions!$P$14+Assumptions!$P$15+Assumptions!$P$16)*(1+Assumptions!$P$37)^(H$9-1)/12,0))</f>
        <v/>
      </c>
      <c r="I30" s="228">
        <f>IF(I$11=0,0,ROUND(Assumptions!$F$13*(Assumptions!$P$11+Assumptions!$P$12+Assumptions!$P$13+Assumptions!$P$14+Assumptions!$P$15+Assumptions!$P$16)*(1+Assumptions!$P$37)^(I$9-1)/12,0))</f>
        <v/>
      </c>
      <c r="J30" s="228">
        <f>IF(J$11=0,0,ROUND(Assumptions!$F$13*(Assumptions!$P$11+Assumptions!$P$12+Assumptions!$P$13+Assumptions!$P$14+Assumptions!$P$15+Assumptions!$P$16)*(1+Assumptions!$P$37)^(J$9-1)/12,0))</f>
        <v/>
      </c>
      <c r="K30" s="228">
        <f>IF(K$11=0,0,ROUND(Assumptions!$F$13*(Assumptions!$P$11+Assumptions!$P$12+Assumptions!$P$13+Assumptions!$P$14+Assumptions!$P$15+Assumptions!$P$16)*(1+Assumptions!$P$37)^(K$9-1)/12,0))</f>
        <v/>
      </c>
      <c r="L30" s="228">
        <f>IF(L$11=0,0,ROUND(Assumptions!$F$13*(Assumptions!$P$11+Assumptions!$P$12+Assumptions!$P$13+Assumptions!$P$14+Assumptions!$P$15+Assumptions!$P$16)*(1+Assumptions!$P$37)^(L$9-1)/12,0))</f>
        <v/>
      </c>
      <c r="M30" s="228">
        <f>IF(M$11=0,0,ROUND(Assumptions!$F$13*(Assumptions!$P$11+Assumptions!$P$12+Assumptions!$P$13+Assumptions!$P$14+Assumptions!$P$15+Assumptions!$P$16)*(1+Assumptions!$P$37)^(M$9-1)/12,0))</f>
        <v/>
      </c>
      <c r="N30" s="228">
        <f>IF(N$11=0,0,ROUND(Assumptions!$F$13*(Assumptions!$P$11+Assumptions!$P$12+Assumptions!$P$13+Assumptions!$P$14+Assumptions!$P$15+Assumptions!$P$16)*(1+Assumptions!$P$37)^(N$9-1)/12,0))</f>
        <v/>
      </c>
      <c r="O30" s="228">
        <f>IF(O$11=0,0,ROUND(Assumptions!$F$13*(Assumptions!$P$11+Assumptions!$P$12+Assumptions!$P$13+Assumptions!$P$14+Assumptions!$P$15+Assumptions!$P$16)*(1+Assumptions!$P$37)^(O$9-1)/12,0))</f>
        <v/>
      </c>
      <c r="P30" s="228">
        <f>IF(P$11=0,0,ROUND(Assumptions!$F$13*(Assumptions!$P$11+Assumptions!$P$12+Assumptions!$P$13+Assumptions!$P$14+Assumptions!$P$15+Assumptions!$P$16)*(1+Assumptions!$P$37)^(P$9-1)/12,0))</f>
        <v/>
      </c>
      <c r="Q30" s="228">
        <f>IF(Q$11=0,0,ROUND(Assumptions!$F$13*(Assumptions!$P$11+Assumptions!$P$12+Assumptions!$P$13+Assumptions!$P$14+Assumptions!$P$15+Assumptions!$P$16)*(1+Assumptions!$P$37)^(Q$9-1)/12,0))</f>
        <v/>
      </c>
      <c r="R30" s="228">
        <f>IF(R$11=0,0,ROUND(Assumptions!$F$13*(Assumptions!$P$11+Assumptions!$P$12+Assumptions!$P$13+Assumptions!$P$14+Assumptions!$P$15+Assumptions!$P$16)*(1+Assumptions!$P$37)^(R$9-1)/12,0))</f>
        <v/>
      </c>
      <c r="S30" s="228">
        <f>IF(S$11=0,0,ROUND(Assumptions!$F$13*(Assumptions!$P$11+Assumptions!$P$12+Assumptions!$P$13+Assumptions!$P$14+Assumptions!$P$15+Assumptions!$P$16)*(1+Assumptions!$P$37)^(S$9-1)/12,0))</f>
        <v/>
      </c>
      <c r="T30" s="228">
        <f>IF(T$11=0,0,ROUND(Assumptions!$F$13*(Assumptions!$P$11+Assumptions!$P$12+Assumptions!$P$13+Assumptions!$P$14+Assumptions!$P$15+Assumptions!$P$16)*(1+Assumptions!$P$37)^(T$9-1)/12,0))</f>
        <v/>
      </c>
      <c r="U30" s="228">
        <f>IF(U$11=0,0,ROUND(Assumptions!$F$13*(Assumptions!$P$11+Assumptions!$P$12+Assumptions!$P$13+Assumptions!$P$14+Assumptions!$P$15+Assumptions!$P$16)*(1+Assumptions!$P$37)^(U$9-1)/12,0))</f>
        <v/>
      </c>
      <c r="V30" s="228">
        <f>IF(V$11=0,0,ROUND(Assumptions!$F$13*(Assumptions!$P$11+Assumptions!$P$12+Assumptions!$P$13+Assumptions!$P$14+Assumptions!$P$15+Assumptions!$P$16)*(1+Assumptions!$P$37)^(V$9-1)/12,0))</f>
        <v/>
      </c>
      <c r="W30" s="228">
        <f>IF(W$11=0,0,ROUND(Assumptions!$F$13*(Assumptions!$P$11+Assumptions!$P$12+Assumptions!$P$13+Assumptions!$P$14+Assumptions!$P$15+Assumptions!$P$16)*(1+Assumptions!$P$37)^(W$9-1)/12,0))</f>
        <v/>
      </c>
      <c r="X30" s="228">
        <f>IF(X$11=0,0,ROUND(Assumptions!$F$13*(Assumptions!$P$11+Assumptions!$P$12+Assumptions!$P$13+Assumptions!$P$14+Assumptions!$P$15+Assumptions!$P$16)*(1+Assumptions!$P$37)^(X$9-1)/12,0))</f>
        <v/>
      </c>
      <c r="Y30" s="228">
        <f>IF(Y$11=0,0,ROUND(Assumptions!$F$13*(Assumptions!$P$11+Assumptions!$P$12+Assumptions!$P$13+Assumptions!$P$14+Assumptions!$P$15+Assumptions!$P$16)*(1+Assumptions!$P$37)^(Y$9-1)/12,0))</f>
        <v/>
      </c>
      <c r="Z30" s="228">
        <f>IF(Z$11=0,0,ROUND(Assumptions!$F$13*(Assumptions!$P$11+Assumptions!$P$12+Assumptions!$P$13+Assumptions!$P$14+Assumptions!$P$15+Assumptions!$P$16)*(1+Assumptions!$P$37)^(Z$9-1)/12,0))</f>
        <v/>
      </c>
      <c r="AA30" s="228">
        <f>IF(AA$11=0,0,ROUND(Assumptions!$F$13*(Assumptions!$P$11+Assumptions!$P$12+Assumptions!$P$13+Assumptions!$P$14+Assumptions!$P$15+Assumptions!$P$16)*(1+Assumptions!$P$37)^(AA$9-1)/12,0))</f>
        <v/>
      </c>
      <c r="AB30" s="228">
        <f>IF(AB$11=0,0,ROUND(Assumptions!$F$13*(Assumptions!$P$11+Assumptions!$P$12+Assumptions!$P$13+Assumptions!$P$14+Assumptions!$P$15+Assumptions!$P$16)*(1+Assumptions!$P$37)^(AB$9-1)/12,0))</f>
        <v/>
      </c>
      <c r="AC30" s="228">
        <f>IF(AC$11=0,0,ROUND(Assumptions!$F$13*(Assumptions!$P$11+Assumptions!$P$12+Assumptions!$P$13+Assumptions!$P$14+Assumptions!$P$15+Assumptions!$P$16)*(1+Assumptions!$P$37)^(AC$9-1)/12,0))</f>
        <v/>
      </c>
      <c r="AD30" s="228">
        <f>IF(AD$11=0,0,ROUND(Assumptions!$F$13*(Assumptions!$P$11+Assumptions!$P$12+Assumptions!$P$13+Assumptions!$P$14+Assumptions!$P$15+Assumptions!$P$16)*(1+Assumptions!$P$37)^(AD$9-1)/12,0))</f>
        <v/>
      </c>
      <c r="AE30" s="228">
        <f>IF(AE$11=0,0,ROUND(Assumptions!$F$13*(Assumptions!$P$11+Assumptions!$P$12+Assumptions!$P$13+Assumptions!$P$14+Assumptions!$P$15+Assumptions!$P$16)*(1+Assumptions!$P$37)^(AE$9-1)/12,0))</f>
        <v/>
      </c>
      <c r="AF30" s="228">
        <f>IF(AF$11=0,0,ROUND(Assumptions!$F$13*(Assumptions!$P$11+Assumptions!$P$12+Assumptions!$P$13+Assumptions!$P$14+Assumptions!$P$15+Assumptions!$P$16)*(1+Assumptions!$P$37)^(AF$9-1)/12,0))</f>
        <v/>
      </c>
      <c r="AG30" s="228">
        <f>IF(AG$11=0,0,ROUND(Assumptions!$F$13*(Assumptions!$P$11+Assumptions!$P$12+Assumptions!$P$13+Assumptions!$P$14+Assumptions!$P$15+Assumptions!$P$16)*(1+Assumptions!$P$37)^(AG$9-1)/12,0))</f>
        <v/>
      </c>
      <c r="AH30" s="228">
        <f>IF(AH$11=0,0,ROUND(Assumptions!$F$13*(Assumptions!$P$11+Assumptions!$P$12+Assumptions!$P$13+Assumptions!$P$14+Assumptions!$P$15+Assumptions!$P$16)*(1+Assumptions!$P$37)^(AH$9-1)/12,0))</f>
        <v/>
      </c>
      <c r="AI30" s="228">
        <f>IF(AI$11=0,0,ROUND(Assumptions!$F$13*(Assumptions!$P$11+Assumptions!$P$12+Assumptions!$P$13+Assumptions!$P$14+Assumptions!$P$15+Assumptions!$P$16)*(1+Assumptions!$P$37)^(AI$9-1)/12,0))</f>
        <v/>
      </c>
      <c r="AJ30" s="228">
        <f>IF(AJ$11=0,0,ROUND(Assumptions!$F$13*(Assumptions!$P$11+Assumptions!$P$12+Assumptions!$P$13+Assumptions!$P$14+Assumptions!$P$15+Assumptions!$P$16)*(1+Assumptions!$P$37)^(AJ$9-1)/12,0))</f>
        <v/>
      </c>
      <c r="AK30" s="228">
        <f>IF(AK$11=0,0,ROUND(Assumptions!$F$13*(Assumptions!$P$11+Assumptions!$P$12+Assumptions!$P$13+Assumptions!$P$14+Assumptions!$P$15+Assumptions!$P$16)*(1+Assumptions!$P$37)^(AK$9-1)/12,0))</f>
        <v/>
      </c>
      <c r="AL30" s="228">
        <f>IF(AL$11=0,0,ROUND(Assumptions!$F$13*(Assumptions!$P$11+Assumptions!$P$12+Assumptions!$P$13+Assumptions!$P$14+Assumptions!$P$15+Assumptions!$P$16)*(1+Assumptions!$P$37)^(AL$9-1)/12,0))</f>
        <v/>
      </c>
      <c r="AM30" s="228">
        <f>IF(AM$11=0,0,ROUND(Assumptions!$F$13*(Assumptions!$P$11+Assumptions!$P$12+Assumptions!$P$13+Assumptions!$P$14+Assumptions!$P$15+Assumptions!$P$16)*(1+Assumptions!$P$37)^(AM$9-1)/12,0))</f>
        <v/>
      </c>
      <c r="AN30" s="228">
        <f>IF(AN$11=0,0,ROUND(Assumptions!$F$13*(Assumptions!$P$11+Assumptions!$P$12+Assumptions!$P$13+Assumptions!$P$14+Assumptions!$P$15+Assumptions!$P$16)*(1+Assumptions!$P$37)^(AN$9-1)/12,0))</f>
        <v/>
      </c>
      <c r="AO30" s="228">
        <f>IF(AO$11=0,0,ROUND(Assumptions!$F$13*(Assumptions!$P$11+Assumptions!$P$12+Assumptions!$P$13+Assumptions!$P$14+Assumptions!$P$15+Assumptions!$P$16)*(1+Assumptions!$P$37)^(AO$9-1)/12,0))</f>
        <v/>
      </c>
      <c r="AP30" s="228">
        <f>IF(AP$11=0,0,ROUND(Assumptions!$F$13*(Assumptions!$P$11+Assumptions!$P$12+Assumptions!$P$13+Assumptions!$P$14+Assumptions!$P$15+Assumptions!$P$16)*(1+Assumptions!$P$37)^(AP$9-1)/12,0))</f>
        <v/>
      </c>
      <c r="AQ30" s="228">
        <f>IF(AQ$11=0,0,ROUND(Assumptions!$F$13*(Assumptions!$P$11+Assumptions!$P$12+Assumptions!$P$13+Assumptions!$P$14+Assumptions!$P$15+Assumptions!$P$16)*(1+Assumptions!$P$37)^(AQ$9-1)/12,0))</f>
        <v/>
      </c>
      <c r="AR30" s="228">
        <f>IF(AR$11=0,0,ROUND(Assumptions!$F$13*(Assumptions!$P$11+Assumptions!$P$12+Assumptions!$P$13+Assumptions!$P$14+Assumptions!$P$15+Assumptions!$P$16)*(1+Assumptions!$P$37)^(AR$9-1)/12,0))</f>
        <v/>
      </c>
      <c r="AS30" s="228">
        <f>IF(AS$11=0,0,ROUND(Assumptions!$F$13*(Assumptions!$P$11+Assumptions!$P$12+Assumptions!$P$13+Assumptions!$P$14+Assumptions!$P$15+Assumptions!$P$16)*(1+Assumptions!$P$37)^(AS$9-1)/12,0))</f>
        <v/>
      </c>
      <c r="AT30" s="228">
        <f>IF(AT$11=0,0,ROUND(Assumptions!$F$13*(Assumptions!$P$11+Assumptions!$P$12+Assumptions!$P$13+Assumptions!$P$14+Assumptions!$P$15+Assumptions!$P$16)*(1+Assumptions!$P$37)^(AT$9-1)/12,0))</f>
        <v/>
      </c>
      <c r="AU30" s="228">
        <f>IF(AU$11=0,0,ROUND(Assumptions!$F$13*(Assumptions!$P$11+Assumptions!$P$12+Assumptions!$P$13+Assumptions!$P$14+Assumptions!$P$15+Assumptions!$P$16)*(1+Assumptions!$P$37)^(AU$9-1)/12,0))</f>
        <v/>
      </c>
      <c r="AV30" s="228">
        <f>IF(AV$11=0,0,ROUND(Assumptions!$F$13*(Assumptions!$P$11+Assumptions!$P$12+Assumptions!$P$13+Assumptions!$P$14+Assumptions!$P$15+Assumptions!$P$16)*(1+Assumptions!$P$37)^(AV$9-1)/12,0))</f>
        <v/>
      </c>
      <c r="AW30" s="228">
        <f>IF(AW$11=0,0,ROUND(Assumptions!$F$13*(Assumptions!$P$11+Assumptions!$P$12+Assumptions!$P$13+Assumptions!$P$14+Assumptions!$P$15+Assumptions!$P$16)*(1+Assumptions!$P$37)^(AW$9-1)/12,0))</f>
        <v/>
      </c>
      <c r="AX30" s="228">
        <f>IF(AX$11=0,0,ROUND(Assumptions!$F$13*(Assumptions!$P$11+Assumptions!$P$12+Assumptions!$P$13+Assumptions!$P$14+Assumptions!$P$15+Assumptions!$P$16)*(1+Assumptions!$P$37)^(AX$9-1)/12,0))</f>
        <v/>
      </c>
      <c r="AY30" s="228">
        <f>IF(AY$11=0,0,ROUND(Assumptions!$F$13*(Assumptions!$P$11+Assumptions!$P$12+Assumptions!$P$13+Assumptions!$P$14+Assumptions!$P$15+Assumptions!$P$16)*(1+Assumptions!$P$37)^(AY$9-1)/12,0))</f>
        <v/>
      </c>
      <c r="AZ30" s="228">
        <f>IF(AZ$11=0,0,ROUND(Assumptions!$F$13*(Assumptions!$P$11+Assumptions!$P$12+Assumptions!$P$13+Assumptions!$P$14+Assumptions!$P$15+Assumptions!$P$16)*(1+Assumptions!$P$37)^(AZ$9-1)/12,0))</f>
        <v/>
      </c>
      <c r="BA30" s="228">
        <f>IF(BA$11=0,0,ROUND(Assumptions!$F$13*(Assumptions!$P$11+Assumptions!$P$12+Assumptions!$P$13+Assumptions!$P$14+Assumptions!$P$15+Assumptions!$P$16)*(1+Assumptions!$P$37)^(BA$9-1)/12,0))</f>
        <v/>
      </c>
      <c r="BB30" s="228">
        <f>IF(BB$11=0,0,ROUND(Assumptions!$F$13*(Assumptions!$P$11+Assumptions!$P$12+Assumptions!$P$13+Assumptions!$P$14+Assumptions!$P$15+Assumptions!$P$16)*(1+Assumptions!$P$37)^(BB$9-1)/12,0))</f>
        <v/>
      </c>
      <c r="BC30" s="228">
        <f>IF(BC$11=0,0,ROUND(Assumptions!$F$13*(Assumptions!$P$11+Assumptions!$P$12+Assumptions!$P$13+Assumptions!$P$14+Assumptions!$P$15+Assumptions!$P$16)*(1+Assumptions!$P$37)^(BC$9-1)/12,0))</f>
        <v/>
      </c>
      <c r="BD30" s="228">
        <f>IF(BD$11=0,0,ROUND(Assumptions!$F$13*(Assumptions!$P$11+Assumptions!$P$12+Assumptions!$P$13+Assumptions!$P$14+Assumptions!$P$15+Assumptions!$P$16)*(1+Assumptions!$P$37)^(BD$9-1)/12,0))</f>
        <v/>
      </c>
      <c r="BE30" s="228">
        <f>IF(BE$11=0,0,ROUND(Assumptions!$F$13*(Assumptions!$P$11+Assumptions!$P$12+Assumptions!$P$13+Assumptions!$P$14+Assumptions!$P$15+Assumptions!$P$16)*(1+Assumptions!$P$37)^(BE$9-1)/12,0))</f>
        <v/>
      </c>
      <c r="BF30" s="228">
        <f>IF(BF$11=0,0,ROUND(Assumptions!$F$13*(Assumptions!$P$11+Assumptions!$P$12+Assumptions!$P$13+Assumptions!$P$14+Assumptions!$P$15+Assumptions!$P$16)*(1+Assumptions!$P$37)^(BF$9-1)/12,0))</f>
        <v/>
      </c>
      <c r="BG30" s="228">
        <f>IF(BG$11=0,0,ROUND(Assumptions!$F$13*(Assumptions!$P$11+Assumptions!$P$12+Assumptions!$P$13+Assumptions!$P$14+Assumptions!$P$15+Assumptions!$P$16)*(1+Assumptions!$P$37)^(BG$9-1)/12,0))</f>
        <v/>
      </c>
      <c r="BH30" s="228">
        <f>IF(BH$11=0,0,ROUND(Assumptions!$F$13*(Assumptions!$P$11+Assumptions!$P$12+Assumptions!$P$13+Assumptions!$P$14+Assumptions!$P$15+Assumptions!$P$16)*(1+Assumptions!$P$37)^(BH$9-1)/12,0))</f>
        <v/>
      </c>
      <c r="BI30" s="228">
        <f>IF(BI$11=0,0,ROUND(Assumptions!$F$13*(Assumptions!$P$11+Assumptions!$P$12+Assumptions!$P$13+Assumptions!$P$14+Assumptions!$P$15+Assumptions!$P$16)*(1+Assumptions!$P$37)^(BI$9-1)/12,0))</f>
        <v/>
      </c>
      <c r="BJ30" s="228">
        <f>IF(BJ$11=0,0,ROUND(Assumptions!$F$13*(Assumptions!$P$11+Assumptions!$P$12+Assumptions!$P$13+Assumptions!$P$14+Assumptions!$P$15+Assumptions!$P$16)*(1+Assumptions!$P$37)^(BJ$9-1)/12,0))</f>
        <v/>
      </c>
      <c r="BK30" s="228">
        <f>IF(BK$11=0,0,ROUND(Assumptions!$F$13*(Assumptions!$P$11+Assumptions!$P$12+Assumptions!$P$13+Assumptions!$P$14+Assumptions!$P$15+Assumptions!$P$16)*(1+Assumptions!$P$37)^(BK$9-1)/12,0))</f>
        <v/>
      </c>
      <c r="BL30" s="228">
        <f>IF(BL$11=0,0,ROUND(Assumptions!$F$13*(Assumptions!$P$11+Assumptions!$P$12+Assumptions!$P$13+Assumptions!$P$14+Assumptions!$P$15+Assumptions!$P$16)*(1+Assumptions!$P$37)^(BL$9-1)/12,0))</f>
        <v/>
      </c>
      <c r="BM30" s="228">
        <f>IF(BM$11=0,0,ROUND(Assumptions!$F$13*(Assumptions!$P$11+Assumptions!$P$12+Assumptions!$P$13+Assumptions!$P$14+Assumptions!$P$15+Assumptions!$P$16)*(1+Assumptions!$P$37)^(BM$9-1)/12,0))</f>
        <v/>
      </c>
      <c r="BN30" s="228">
        <f>IF(BN$11=0,0,ROUND(Assumptions!$F$13*(Assumptions!$P$11+Assumptions!$P$12+Assumptions!$P$13+Assumptions!$P$14+Assumptions!$P$15+Assumptions!$P$16)*(1+Assumptions!$P$37)^(BN$9-1)/12,0))</f>
        <v/>
      </c>
      <c r="BO30" s="228">
        <f>IF(BO$11=0,0,ROUND(Assumptions!$F$13*(Assumptions!$P$11+Assumptions!$P$12+Assumptions!$P$13+Assumptions!$P$14+Assumptions!$P$15+Assumptions!$P$16)*(1+Assumptions!$P$37)^(BO$9-1)/12,0))</f>
        <v/>
      </c>
      <c r="BP30" s="228">
        <f>IF(BP$11=0,0,ROUND(Assumptions!$F$13*(Assumptions!$P$11+Assumptions!$P$12+Assumptions!$P$13+Assumptions!$P$14+Assumptions!$P$15+Assumptions!$P$16)*(1+Assumptions!$P$37)^(BP$9-1)/12,0))</f>
        <v/>
      </c>
      <c r="BQ30" s="228">
        <f>IF(BQ$11=0,0,ROUND(Assumptions!$F$13*(Assumptions!$P$11+Assumptions!$P$12+Assumptions!$P$13+Assumptions!$P$14+Assumptions!$P$15+Assumptions!$P$16)*(1+Assumptions!$P$37)^(BQ$9-1)/12,0))</f>
        <v/>
      </c>
      <c r="BR30" s="228">
        <f>IF(BR$11=0,0,ROUND(Assumptions!$F$13*(Assumptions!$P$11+Assumptions!$P$12+Assumptions!$P$13+Assumptions!$P$14+Assumptions!$P$15+Assumptions!$P$16)*(1+Assumptions!$P$37)^(BR$9-1)/12,0))</f>
        <v/>
      </c>
      <c r="BS30" s="228">
        <f>IF(BS$11=0,0,ROUND(Assumptions!$F$13*(Assumptions!$P$11+Assumptions!$P$12+Assumptions!$P$13+Assumptions!$P$14+Assumptions!$P$15+Assumptions!$P$16)*(1+Assumptions!$P$37)^(BS$9-1)/12,0))</f>
        <v/>
      </c>
      <c r="BT30" s="228">
        <f>IF(BT$11=0,0,ROUND(Assumptions!$F$13*(Assumptions!$P$11+Assumptions!$P$12+Assumptions!$P$13+Assumptions!$P$14+Assumptions!$P$15+Assumptions!$P$16)*(1+Assumptions!$P$37)^(BT$9-1)/12,0))</f>
        <v/>
      </c>
      <c r="BU30" s="228">
        <f>IF(BU$11=0,0,ROUND(Assumptions!$F$13*(Assumptions!$P$11+Assumptions!$P$12+Assumptions!$P$13+Assumptions!$P$14+Assumptions!$P$15+Assumptions!$P$16)*(1+Assumptions!$P$37)^(BU$9-1)/12,0))</f>
        <v/>
      </c>
      <c r="BV30" s="228">
        <f>IF(BV$11=0,0,ROUND(Assumptions!$F$13*(Assumptions!$P$11+Assumptions!$P$12+Assumptions!$P$13+Assumptions!$P$14+Assumptions!$P$15+Assumptions!$P$16)*(1+Assumptions!$P$37)^(BV$9-1)/12,0))</f>
        <v/>
      </c>
      <c r="BW30" s="228">
        <f>IF(BW$11=0,0,ROUND(Assumptions!$F$13*(Assumptions!$P$11+Assumptions!$P$12+Assumptions!$P$13+Assumptions!$P$14+Assumptions!$P$15+Assumptions!$P$16)*(1+Assumptions!$P$37)^(BW$9-1)/12,0))</f>
        <v/>
      </c>
      <c r="BX30" s="228">
        <f>IF(BX$11=0,0,ROUND(Assumptions!$F$13*(Assumptions!$P$11+Assumptions!$P$12+Assumptions!$P$13+Assumptions!$P$14+Assumptions!$P$15+Assumptions!$P$16)*(1+Assumptions!$P$37)^(BX$9-1)/12,0))</f>
        <v/>
      </c>
      <c r="BY30" s="228">
        <f>IF(BY$11=0,0,ROUND(Assumptions!$F$13*(Assumptions!$P$11+Assumptions!$P$12+Assumptions!$P$13+Assumptions!$P$14+Assumptions!$P$15+Assumptions!$P$16)*(1+Assumptions!$P$37)^(BY$9-1)/12,0))</f>
        <v/>
      </c>
      <c r="BZ30" s="228">
        <f>IF(BZ$11=0,0,ROUND(Assumptions!$F$13*(Assumptions!$P$11+Assumptions!$P$12+Assumptions!$P$13+Assumptions!$P$14+Assumptions!$P$15+Assumptions!$P$16)*(1+Assumptions!$P$37)^(BZ$9-1)/12,0))</f>
        <v/>
      </c>
      <c r="CA30" s="228">
        <f>IF(CA$11=0,0,ROUND(Assumptions!$F$13*(Assumptions!$P$11+Assumptions!$P$12+Assumptions!$P$13+Assumptions!$P$14+Assumptions!$P$15+Assumptions!$P$16)*(1+Assumptions!$P$37)^(CA$9-1)/12,0))</f>
        <v/>
      </c>
      <c r="CB30" s="228">
        <f>IF(CB$11=0,0,ROUND(Assumptions!$F$13*(Assumptions!$P$11+Assumptions!$P$12+Assumptions!$P$13+Assumptions!$P$14+Assumptions!$P$15+Assumptions!$P$16)*(1+Assumptions!$P$37)^(CB$9-1)/12,0))</f>
        <v/>
      </c>
      <c r="CC30" s="228">
        <f>IF(CC$11=0,0,ROUND(Assumptions!$F$13*(Assumptions!$P$11+Assumptions!$P$12+Assumptions!$P$13+Assumptions!$P$14+Assumptions!$P$15+Assumptions!$P$16)*(1+Assumptions!$P$37)^(CC$9-1)/12,0))</f>
        <v/>
      </c>
      <c r="CD30" s="228">
        <f>IF(CD$11=0,0,ROUND(Assumptions!$F$13*(Assumptions!$P$11+Assumptions!$P$12+Assumptions!$P$13+Assumptions!$P$14+Assumptions!$P$15+Assumptions!$P$16)*(1+Assumptions!$P$37)^(CD$9-1)/12,0))</f>
        <v/>
      </c>
      <c r="CE30" s="228">
        <f>IF(CE$11=0,0,ROUND(Assumptions!$F$13*(Assumptions!$P$11+Assumptions!$P$12+Assumptions!$P$13+Assumptions!$P$14+Assumptions!$P$15+Assumptions!$P$16)*(1+Assumptions!$P$37)^(CE$9-1)/12,0))</f>
        <v/>
      </c>
      <c r="CF30" s="228">
        <f>IF(CF$11=0,0,ROUND(Assumptions!$F$13*(Assumptions!$P$11+Assumptions!$P$12+Assumptions!$P$13+Assumptions!$P$14+Assumptions!$P$15+Assumptions!$P$16)*(1+Assumptions!$P$37)^(CF$9-1)/12,0))</f>
        <v/>
      </c>
      <c r="CG30" s="228">
        <f>IF(CG$11=0,0,ROUND(Assumptions!$F$13*(Assumptions!$P$11+Assumptions!$P$12+Assumptions!$P$13+Assumptions!$P$14+Assumptions!$P$15+Assumptions!$P$16)*(1+Assumptions!$P$37)^(CG$9-1)/12,0))</f>
        <v/>
      </c>
      <c r="CH30" s="228">
        <f>IF(CH$11=0,0,ROUND(Assumptions!$F$13*(Assumptions!$P$11+Assumptions!$P$12+Assumptions!$P$13+Assumptions!$P$14+Assumptions!$P$15+Assumptions!$P$16)*(1+Assumptions!$P$37)^(CH$9-1)/12,0))</f>
        <v/>
      </c>
      <c r="CI30" s="228">
        <f>IF(CI$11=0,0,ROUND(Assumptions!$F$13*(Assumptions!$P$11+Assumptions!$P$12+Assumptions!$P$13+Assumptions!$P$14+Assumptions!$P$15+Assumptions!$P$16)*(1+Assumptions!$P$37)^(CI$9-1)/12,0))</f>
        <v/>
      </c>
      <c r="CJ30" s="228">
        <f>IF(CJ$11=0,0,ROUND(Assumptions!$F$13*(Assumptions!$P$11+Assumptions!$P$12+Assumptions!$P$13+Assumptions!$P$14+Assumptions!$P$15+Assumptions!$P$16)*(1+Assumptions!$P$37)^(CJ$9-1)/12,0))</f>
        <v/>
      </c>
      <c r="CK30" s="228">
        <f>IF(CK$11=0,0,ROUND(Assumptions!$F$13*(Assumptions!$P$11+Assumptions!$P$12+Assumptions!$P$13+Assumptions!$P$14+Assumptions!$P$15+Assumptions!$P$16)*(1+Assumptions!$P$37)^(CK$9-1)/12,0))</f>
        <v/>
      </c>
      <c r="CL30" s="228">
        <f>IF(CL$11=0,0,ROUND(Assumptions!$F$13*(Assumptions!$P$11+Assumptions!$P$12+Assumptions!$P$13+Assumptions!$P$14+Assumptions!$P$15+Assumptions!$P$16)*(1+Assumptions!$P$37)^(CL$9-1)/12,0))</f>
        <v/>
      </c>
      <c r="CM30" s="228">
        <f>IF(CM$11=0,0,ROUND(Assumptions!$F$13*(Assumptions!$P$11+Assumptions!$P$12+Assumptions!$P$13+Assumptions!$P$14+Assumptions!$P$15+Assumptions!$P$16)*(1+Assumptions!$P$37)^(CM$9-1)/12,0))</f>
        <v/>
      </c>
      <c r="CN30" s="228">
        <f>IF(CN$11=0,0,ROUND(Assumptions!$F$13*(Assumptions!$P$11+Assumptions!$P$12+Assumptions!$P$13+Assumptions!$P$14+Assumptions!$P$15+Assumptions!$P$16)*(1+Assumptions!$P$37)^(CN$9-1)/12,0))</f>
        <v/>
      </c>
      <c r="CO30" s="228">
        <f>IF(CO$11=0,0,ROUND(Assumptions!$F$13*(Assumptions!$P$11+Assumptions!$P$12+Assumptions!$P$13+Assumptions!$P$14+Assumptions!$P$15+Assumptions!$P$16)*(1+Assumptions!$P$37)^(CO$9-1)/12,0))</f>
        <v/>
      </c>
      <c r="CP30" s="228">
        <f>IF(CP$11=0,0,ROUND(Assumptions!$F$13*(Assumptions!$P$11+Assumptions!$P$12+Assumptions!$P$13+Assumptions!$P$14+Assumptions!$P$15+Assumptions!$P$16)*(1+Assumptions!$P$37)^(CP$9-1)/12,0))</f>
        <v/>
      </c>
      <c r="CQ30" s="228">
        <f>IF(CQ$11=0,0,ROUND(Assumptions!$F$13*(Assumptions!$P$11+Assumptions!$P$12+Assumptions!$P$13+Assumptions!$P$14+Assumptions!$P$15+Assumptions!$P$16)*(1+Assumptions!$P$37)^(CQ$9-1)/12,0))</f>
        <v/>
      </c>
      <c r="CR30" s="228">
        <f>IF(CR$11=0,0,ROUND(Assumptions!$F$13*(Assumptions!$P$11+Assumptions!$P$12+Assumptions!$P$13+Assumptions!$P$14+Assumptions!$P$15+Assumptions!$P$16)*(1+Assumptions!$P$37)^(CR$9-1)/12,0))</f>
        <v/>
      </c>
      <c r="CS30" s="228">
        <f>IF(CS$11=0,0,ROUND(Assumptions!$F$13*(Assumptions!$P$11+Assumptions!$P$12+Assumptions!$P$13+Assumptions!$P$14+Assumptions!$P$15+Assumptions!$P$16)*(1+Assumptions!$P$37)^(CS$9-1)/12,0))</f>
        <v/>
      </c>
      <c r="CT30" s="228">
        <f>IF(CT$11=0,0,ROUND(Assumptions!$F$13*(Assumptions!$P$11+Assumptions!$P$12+Assumptions!$P$13+Assumptions!$P$14+Assumptions!$P$15+Assumptions!$P$16)*(1+Assumptions!$P$37)^(CT$9-1)/12,0))</f>
        <v/>
      </c>
      <c r="CU30" s="228">
        <f>IF(CU$11=0,0,ROUND(Assumptions!$F$13*(Assumptions!$P$11+Assumptions!$P$12+Assumptions!$P$13+Assumptions!$P$14+Assumptions!$P$15+Assumptions!$P$16)*(1+Assumptions!$P$37)^(CU$9-1)/12,0))</f>
        <v/>
      </c>
      <c r="CV30" s="228">
        <f>IF(CV$11=0,0,ROUND(Assumptions!$F$13*(Assumptions!$P$11+Assumptions!$P$12+Assumptions!$P$13+Assumptions!$P$14+Assumptions!$P$15+Assumptions!$P$16)*(1+Assumptions!$P$37)^(CV$9-1)/12,0))</f>
        <v/>
      </c>
      <c r="CW30" s="228">
        <f>IF(CW$11=0,0,ROUND(Assumptions!$F$13*(Assumptions!$P$11+Assumptions!$P$12+Assumptions!$P$13+Assumptions!$P$14+Assumptions!$P$15+Assumptions!$P$16)*(1+Assumptions!$P$37)^(CW$9-1)/12,0))</f>
        <v/>
      </c>
      <c r="CX30" s="228">
        <f>IF(CX$11=0,0,ROUND(Assumptions!$F$13*(Assumptions!$P$11+Assumptions!$P$12+Assumptions!$P$13+Assumptions!$P$14+Assumptions!$P$15+Assumptions!$P$16)*(1+Assumptions!$P$37)^(CX$9-1)/12,0))</f>
        <v/>
      </c>
      <c r="CY30" s="228">
        <f>IF(CY$11=0,0,ROUND(Assumptions!$F$13*(Assumptions!$P$11+Assumptions!$P$12+Assumptions!$P$13+Assumptions!$P$14+Assumptions!$P$15+Assumptions!$P$16)*(1+Assumptions!$P$37)^(CY$9-1)/12,0))</f>
        <v/>
      </c>
      <c r="CZ30" s="228">
        <f>IF(CZ$11=0,0,ROUND(Assumptions!$F$13*(Assumptions!$P$11+Assumptions!$P$12+Assumptions!$P$13+Assumptions!$P$14+Assumptions!$P$15+Assumptions!$P$16)*(1+Assumptions!$P$37)^(CZ$9-1)/12,0))</f>
        <v/>
      </c>
      <c r="DA30" s="228">
        <f>IF(DA$11=0,0,ROUND(Assumptions!$F$13*(Assumptions!$P$11+Assumptions!$P$12+Assumptions!$P$13+Assumptions!$P$14+Assumptions!$P$15+Assumptions!$P$16)*(1+Assumptions!$P$37)^(DA$9-1)/12,0))</f>
        <v/>
      </c>
      <c r="DB30" s="228">
        <f>IF(DB$11=0,0,ROUND(Assumptions!$F$13*(Assumptions!$P$11+Assumptions!$P$12+Assumptions!$P$13+Assumptions!$P$14+Assumptions!$P$15+Assumptions!$P$16)*(1+Assumptions!$P$37)^(DB$9-1)/12,0))</f>
        <v/>
      </c>
      <c r="DC30" s="228">
        <f>IF(DC$11=0,0,ROUND(Assumptions!$F$13*(Assumptions!$P$11+Assumptions!$P$12+Assumptions!$P$13+Assumptions!$P$14+Assumptions!$P$15+Assumptions!$P$16)*(1+Assumptions!$P$37)^(DC$9-1)/12,0))</f>
        <v/>
      </c>
      <c r="DD30" s="228">
        <f>IF(DD$11=0,0,ROUND(Assumptions!$F$13*(Assumptions!$P$11+Assumptions!$P$12+Assumptions!$P$13+Assumptions!$P$14+Assumptions!$P$15+Assumptions!$P$16)*(1+Assumptions!$P$37)^(DD$9-1)/12,0))</f>
        <v/>
      </c>
      <c r="DE30" s="228">
        <f>IF(DE$11=0,0,ROUND(Assumptions!$F$13*(Assumptions!$P$11+Assumptions!$P$12+Assumptions!$P$13+Assumptions!$P$14+Assumptions!$P$15+Assumptions!$P$16)*(1+Assumptions!$P$37)^(DE$9-1)/12,0))</f>
        <v/>
      </c>
      <c r="DF30" s="228">
        <f>IF(DF$11=0,0,ROUND(Assumptions!$F$13*(Assumptions!$P$11+Assumptions!$P$12+Assumptions!$P$13+Assumptions!$P$14+Assumptions!$P$15+Assumptions!$P$16)*(1+Assumptions!$P$37)^(DF$9-1)/12,0))</f>
        <v/>
      </c>
      <c r="DG30" s="228">
        <f>IF(DG$11=0,0,ROUND(Assumptions!$F$13*(Assumptions!$P$11+Assumptions!$P$12+Assumptions!$P$13+Assumptions!$P$14+Assumptions!$P$15+Assumptions!$P$16)*(1+Assumptions!$P$37)^(DG$9-1)/12,0))</f>
        <v/>
      </c>
      <c r="DH30" s="228">
        <f>IF(DH$11=0,0,ROUND(Assumptions!$F$13*(Assumptions!$P$11+Assumptions!$P$12+Assumptions!$P$13+Assumptions!$P$14+Assumptions!$P$15+Assumptions!$P$16)*(1+Assumptions!$P$37)^(DH$9-1)/12,0))</f>
        <v/>
      </c>
      <c r="DI30" s="228">
        <f>IF(DI$11=0,0,ROUND(Assumptions!$F$13*(Assumptions!$P$11+Assumptions!$P$12+Assumptions!$P$13+Assumptions!$P$14+Assumptions!$P$15+Assumptions!$P$16)*(1+Assumptions!$P$37)^(DI$9-1)/12,0))</f>
        <v/>
      </c>
      <c r="DJ30" s="228">
        <f>IF(DJ$11=0,0,ROUND(Assumptions!$F$13*(Assumptions!$P$11+Assumptions!$P$12+Assumptions!$P$13+Assumptions!$P$14+Assumptions!$P$15+Assumptions!$P$16)*(1+Assumptions!$P$37)^(DJ$9-1)/12,0))</f>
        <v/>
      </c>
      <c r="DK30" s="228">
        <f>IF(DK$11=0,0,ROUND(Assumptions!$F$13*(Assumptions!$P$11+Assumptions!$P$12+Assumptions!$P$13+Assumptions!$P$14+Assumptions!$P$15+Assumptions!$P$16)*(1+Assumptions!$P$37)^(DK$9-1)/12,0))</f>
        <v/>
      </c>
      <c r="DL30" s="228">
        <f>IF(DL$11=0,0,ROUND(Assumptions!$F$13*(Assumptions!$P$11+Assumptions!$P$12+Assumptions!$P$13+Assumptions!$P$14+Assumptions!$P$15+Assumptions!$P$16)*(1+Assumptions!$P$37)^(DL$9-1)/12,0))</f>
        <v/>
      </c>
      <c r="DM30" s="228">
        <f>IF(DM$11=0,0,ROUND(Assumptions!$F$13*(Assumptions!$P$11+Assumptions!$P$12+Assumptions!$P$13+Assumptions!$P$14+Assumptions!$P$15+Assumptions!$P$16)*(1+Assumptions!$P$37)^(DM$9-1)/12,0))</f>
        <v/>
      </c>
      <c r="DN30" s="228">
        <f>IF(DN$11=0,0,ROUND(Assumptions!$F$13*(Assumptions!$P$11+Assumptions!$P$12+Assumptions!$P$13+Assumptions!$P$14+Assumptions!$P$15+Assumptions!$P$16)*(1+Assumptions!$P$37)^(DN$9-1)/12,0))</f>
        <v/>
      </c>
      <c r="DO30" s="228">
        <f>IF(DO$11=0,0,ROUND(Assumptions!$F$13*(Assumptions!$P$11+Assumptions!$P$12+Assumptions!$P$13+Assumptions!$P$14+Assumptions!$P$15+Assumptions!$P$16)*(1+Assumptions!$P$37)^(DO$9-1)/12,0))</f>
        <v/>
      </c>
      <c r="DP30" s="228">
        <f>IF(DP$11=0,0,ROUND(Assumptions!$F$13*(Assumptions!$P$11+Assumptions!$P$12+Assumptions!$P$13+Assumptions!$P$14+Assumptions!$P$15+Assumptions!$P$16)*(1+Assumptions!$P$37)^(DP$9-1)/12,0))</f>
        <v/>
      </c>
      <c r="DQ30" s="228">
        <f>IF(DQ$11=0,0,ROUND(Assumptions!$F$13*(Assumptions!$P$11+Assumptions!$P$12+Assumptions!$P$13+Assumptions!$P$14+Assumptions!$P$15+Assumptions!$P$16)*(1+Assumptions!$P$37)^(DQ$9-1)/12,0))</f>
        <v/>
      </c>
      <c r="DR30" s="228">
        <f>IF(DR$11=0,0,ROUND(Assumptions!$F$13*(Assumptions!$P$11+Assumptions!$P$12+Assumptions!$P$13+Assumptions!$P$14+Assumptions!$P$15+Assumptions!$P$16)*(1+Assumptions!$P$37)^(DR$9-1)/12,0))</f>
        <v/>
      </c>
      <c r="DS30" s="228">
        <f>IF(DS$11=0,0,ROUND(Assumptions!$F$13*(Assumptions!$P$11+Assumptions!$P$12+Assumptions!$P$13+Assumptions!$P$14+Assumptions!$P$15+Assumptions!$P$16)*(1+Assumptions!$P$37)^(DS$9-1)/12,0))</f>
        <v/>
      </c>
      <c r="DT30" s="228">
        <f>IF(DT$11=0,0,ROUND(Assumptions!$F$13*(Assumptions!$P$11+Assumptions!$P$12+Assumptions!$P$13+Assumptions!$P$14+Assumptions!$P$15+Assumptions!$P$16)*(1+Assumptions!$P$37)^(DT$9-1)/12,0))</f>
        <v/>
      </c>
    </row>
    <row r="31" ht="15" customHeight="1" s="148">
      <c r="A31" s="110" t="inlineStr">
        <is>
          <t>Gross Rental Revenue</t>
        </is>
      </c>
      <c r="C31" s="228">
        <f>SUM(D31:DT31)</f>
        <v/>
      </c>
      <c r="D31" s="228">
        <f>D$25+D$29+D$30</f>
        <v/>
      </c>
      <c r="E31" s="228">
        <f>E$25+E$29+E$30</f>
        <v/>
      </c>
      <c r="F31" s="228">
        <f>F$25+F$29+F$30</f>
        <v/>
      </c>
      <c r="G31" s="228">
        <f>G$25+G$29+G$30</f>
        <v/>
      </c>
      <c r="H31" s="228">
        <f>H$25+H$29+H$30</f>
        <v/>
      </c>
      <c r="I31" s="228">
        <f>I$25+I$29+I$30</f>
        <v/>
      </c>
      <c r="J31" s="228">
        <f>J$25+J$29+J$30</f>
        <v/>
      </c>
      <c r="K31" s="228">
        <f>K$25+K$29+K$30</f>
        <v/>
      </c>
      <c r="L31" s="228">
        <f>L$25+L$29+L$30</f>
        <v/>
      </c>
      <c r="M31" s="228">
        <f>M$25+M$29+M$30</f>
        <v/>
      </c>
      <c r="N31" s="228">
        <f>N$25+N$29+N$30</f>
        <v/>
      </c>
      <c r="O31" s="228">
        <f>O$25+O$29+O$30</f>
        <v/>
      </c>
      <c r="P31" s="228">
        <f>P$25+P$29+P$30</f>
        <v/>
      </c>
      <c r="Q31" s="228">
        <f>Q$25+Q$29+Q$30</f>
        <v/>
      </c>
      <c r="R31" s="228">
        <f>R$25+R$29+R$30</f>
        <v/>
      </c>
      <c r="S31" s="228">
        <f>S$25+S$29+S$30</f>
        <v/>
      </c>
      <c r="T31" s="228">
        <f>T$25+T$29+T$30</f>
        <v/>
      </c>
      <c r="U31" s="228">
        <f>U$25+U$29+U$30</f>
        <v/>
      </c>
      <c r="V31" s="228">
        <f>V$25+V$29+V$30</f>
        <v/>
      </c>
      <c r="W31" s="228">
        <f>W$25+W$29+W$30</f>
        <v/>
      </c>
      <c r="X31" s="228">
        <f>X$25+X$29+X$30</f>
        <v/>
      </c>
      <c r="Y31" s="228">
        <f>Y$25+Y$29+Y$30</f>
        <v/>
      </c>
      <c r="Z31" s="228">
        <f>Z$25+Z$29+Z$30</f>
        <v/>
      </c>
      <c r="AA31" s="228">
        <f>AA$25+AA$29+AA$30</f>
        <v/>
      </c>
      <c r="AB31" s="228">
        <f>AB$25+AB$29+AB$30</f>
        <v/>
      </c>
      <c r="AC31" s="228">
        <f>AC$25+AC$29+AC$30</f>
        <v/>
      </c>
      <c r="AD31" s="228">
        <f>AD$25+AD$29+AD$30</f>
        <v/>
      </c>
      <c r="AE31" s="228">
        <f>AE$25+AE$29+AE$30</f>
        <v/>
      </c>
      <c r="AF31" s="228">
        <f>AF$25+AF$29+AF$30</f>
        <v/>
      </c>
      <c r="AG31" s="228">
        <f>AG$25+AG$29+AG$30</f>
        <v/>
      </c>
      <c r="AH31" s="228">
        <f>AH$25+AH$29+AH$30</f>
        <v/>
      </c>
      <c r="AI31" s="228">
        <f>AI$25+AI$29+AI$30</f>
        <v/>
      </c>
      <c r="AJ31" s="228">
        <f>AJ$25+AJ$29+AJ$30</f>
        <v/>
      </c>
      <c r="AK31" s="228">
        <f>AK$25+AK$29+AK$30</f>
        <v/>
      </c>
      <c r="AL31" s="228">
        <f>AL$25+AL$29+AL$30</f>
        <v/>
      </c>
      <c r="AM31" s="228">
        <f>AM$25+AM$29+AM$30</f>
        <v/>
      </c>
      <c r="AN31" s="228">
        <f>AN$25+AN$29+AN$30</f>
        <v/>
      </c>
      <c r="AO31" s="228">
        <f>AO$25+AO$29+AO$30</f>
        <v/>
      </c>
      <c r="AP31" s="228">
        <f>AP$25+AP$29+AP$30</f>
        <v/>
      </c>
      <c r="AQ31" s="228">
        <f>AQ$25+AQ$29+AQ$30</f>
        <v/>
      </c>
      <c r="AR31" s="228">
        <f>AR$25+AR$29+AR$30</f>
        <v/>
      </c>
      <c r="AS31" s="228">
        <f>AS$25+AS$29+AS$30</f>
        <v/>
      </c>
      <c r="AT31" s="228">
        <f>AT$25+AT$29+AT$30</f>
        <v/>
      </c>
      <c r="AU31" s="228">
        <f>AU$25+AU$29+AU$30</f>
        <v/>
      </c>
      <c r="AV31" s="228">
        <f>AV$25+AV$29+AV$30</f>
        <v/>
      </c>
      <c r="AW31" s="228">
        <f>AW$25+AW$29+AW$30</f>
        <v/>
      </c>
      <c r="AX31" s="228">
        <f>AX$25+AX$29+AX$30</f>
        <v/>
      </c>
      <c r="AY31" s="228">
        <f>AY$25+AY$29+AY$30</f>
        <v/>
      </c>
      <c r="AZ31" s="228">
        <f>AZ$25+AZ$29+AZ$30</f>
        <v/>
      </c>
      <c r="BA31" s="228">
        <f>BA$25+BA$29+BA$30</f>
        <v/>
      </c>
      <c r="BB31" s="228">
        <f>BB$25+BB$29+BB$30</f>
        <v/>
      </c>
      <c r="BC31" s="228">
        <f>BC$25+BC$29+BC$30</f>
        <v/>
      </c>
      <c r="BD31" s="228">
        <f>BD$25+BD$29+BD$30</f>
        <v/>
      </c>
      <c r="BE31" s="228">
        <f>BE$25+BE$29+BE$30</f>
        <v/>
      </c>
      <c r="BF31" s="228">
        <f>BF$25+BF$29+BF$30</f>
        <v/>
      </c>
      <c r="BG31" s="228">
        <f>BG$25+BG$29+BG$30</f>
        <v/>
      </c>
      <c r="BH31" s="228">
        <f>BH$25+BH$29+BH$30</f>
        <v/>
      </c>
      <c r="BI31" s="228">
        <f>BI$25+BI$29+BI$30</f>
        <v/>
      </c>
      <c r="BJ31" s="228">
        <f>BJ$25+BJ$29+BJ$30</f>
        <v/>
      </c>
      <c r="BK31" s="228">
        <f>BK$25+BK$29+BK$30</f>
        <v/>
      </c>
      <c r="BL31" s="228">
        <f>BL$25+BL$29+BL$30</f>
        <v/>
      </c>
      <c r="BM31" s="228">
        <f>BM$25+BM$29+BM$30</f>
        <v/>
      </c>
      <c r="BN31" s="228">
        <f>BN$25+BN$29+BN$30</f>
        <v/>
      </c>
      <c r="BO31" s="228">
        <f>BO$25+BO$29+BO$30</f>
        <v/>
      </c>
      <c r="BP31" s="228">
        <f>BP$25+BP$29+BP$30</f>
        <v/>
      </c>
      <c r="BQ31" s="228">
        <f>BQ$25+BQ$29+BQ$30</f>
        <v/>
      </c>
      <c r="BR31" s="228">
        <f>BR$25+BR$29+BR$30</f>
        <v/>
      </c>
      <c r="BS31" s="228">
        <f>BS$25+BS$29+BS$30</f>
        <v/>
      </c>
      <c r="BT31" s="228">
        <f>BT$25+BT$29+BT$30</f>
        <v/>
      </c>
      <c r="BU31" s="228">
        <f>BU$25+BU$29+BU$30</f>
        <v/>
      </c>
      <c r="BV31" s="228">
        <f>BV$25+BV$29+BV$30</f>
        <v/>
      </c>
      <c r="BW31" s="228">
        <f>BW$25+BW$29+BW$30</f>
        <v/>
      </c>
      <c r="BX31" s="228">
        <f>BX$25+BX$29+BX$30</f>
        <v/>
      </c>
      <c r="BY31" s="228">
        <f>BY$25+BY$29+BY$30</f>
        <v/>
      </c>
      <c r="BZ31" s="228">
        <f>BZ$25+BZ$29+BZ$30</f>
        <v/>
      </c>
      <c r="CA31" s="228">
        <f>CA$25+CA$29+CA$30</f>
        <v/>
      </c>
      <c r="CB31" s="228">
        <f>CB$25+CB$29+CB$30</f>
        <v/>
      </c>
      <c r="CC31" s="228">
        <f>CC$25+CC$29+CC$30</f>
        <v/>
      </c>
      <c r="CD31" s="228">
        <f>CD$25+CD$29+CD$30</f>
        <v/>
      </c>
      <c r="CE31" s="228">
        <f>CE$25+CE$29+CE$30</f>
        <v/>
      </c>
      <c r="CF31" s="228">
        <f>CF$25+CF$29+CF$30</f>
        <v/>
      </c>
      <c r="CG31" s="228">
        <f>CG$25+CG$29+CG$30</f>
        <v/>
      </c>
      <c r="CH31" s="228">
        <f>CH$25+CH$29+CH$30</f>
        <v/>
      </c>
      <c r="CI31" s="228">
        <f>CI$25+CI$29+CI$30</f>
        <v/>
      </c>
      <c r="CJ31" s="228">
        <f>CJ$25+CJ$29+CJ$30</f>
        <v/>
      </c>
      <c r="CK31" s="228">
        <f>CK$25+CK$29+CK$30</f>
        <v/>
      </c>
      <c r="CL31" s="228">
        <f>CL$25+CL$29+CL$30</f>
        <v/>
      </c>
      <c r="CM31" s="228">
        <f>CM$25+CM$29+CM$30</f>
        <v/>
      </c>
      <c r="CN31" s="228">
        <f>CN$25+CN$29+CN$30</f>
        <v/>
      </c>
      <c r="CO31" s="228">
        <f>CO$25+CO$29+CO$30</f>
        <v/>
      </c>
      <c r="CP31" s="228">
        <f>CP$25+CP$29+CP$30</f>
        <v/>
      </c>
      <c r="CQ31" s="228">
        <f>CQ$25+CQ$29+CQ$30</f>
        <v/>
      </c>
      <c r="CR31" s="228">
        <f>CR$25+CR$29+CR$30</f>
        <v/>
      </c>
      <c r="CS31" s="228">
        <f>CS$25+CS$29+CS$30</f>
        <v/>
      </c>
      <c r="CT31" s="228">
        <f>CT$25+CT$29+CT$30</f>
        <v/>
      </c>
      <c r="CU31" s="228">
        <f>CU$25+CU$29+CU$30</f>
        <v/>
      </c>
      <c r="CV31" s="228">
        <f>CV$25+CV$29+CV$30</f>
        <v/>
      </c>
      <c r="CW31" s="228">
        <f>CW$25+CW$29+CW$30</f>
        <v/>
      </c>
      <c r="CX31" s="228">
        <f>CX$25+CX$29+CX$30</f>
        <v/>
      </c>
      <c r="CY31" s="228">
        <f>CY$25+CY$29+CY$30</f>
        <v/>
      </c>
      <c r="CZ31" s="228">
        <f>CZ$25+CZ$29+CZ$30</f>
        <v/>
      </c>
      <c r="DA31" s="228">
        <f>DA$25+DA$29+DA$30</f>
        <v/>
      </c>
      <c r="DB31" s="228">
        <f>DB$25+DB$29+DB$30</f>
        <v/>
      </c>
      <c r="DC31" s="228">
        <f>DC$25+DC$29+DC$30</f>
        <v/>
      </c>
      <c r="DD31" s="228">
        <f>DD$25+DD$29+DD$30</f>
        <v/>
      </c>
      <c r="DE31" s="228">
        <f>DE$25+DE$29+DE$30</f>
        <v/>
      </c>
      <c r="DF31" s="228">
        <f>DF$25+DF$29+DF$30</f>
        <v/>
      </c>
      <c r="DG31" s="228">
        <f>DG$25+DG$29+DG$30</f>
        <v/>
      </c>
      <c r="DH31" s="228">
        <f>DH$25+DH$29+DH$30</f>
        <v/>
      </c>
      <c r="DI31" s="228">
        <f>DI$25+DI$29+DI$30</f>
        <v/>
      </c>
      <c r="DJ31" s="228">
        <f>DJ$25+DJ$29+DJ$30</f>
        <v/>
      </c>
      <c r="DK31" s="228">
        <f>DK$25+DK$29+DK$30</f>
        <v/>
      </c>
      <c r="DL31" s="228">
        <f>DL$25+DL$29+DL$30</f>
        <v/>
      </c>
      <c r="DM31" s="228">
        <f>DM$25+DM$29+DM$30</f>
        <v/>
      </c>
      <c r="DN31" s="228">
        <f>DN$25+DN$29+DN$30</f>
        <v/>
      </c>
      <c r="DO31" s="228">
        <f>DO$25+DO$29+DO$30</f>
        <v/>
      </c>
      <c r="DP31" s="228">
        <f>DP$25+DP$29+DP$30</f>
        <v/>
      </c>
      <c r="DQ31" s="228">
        <f>DQ$25+DQ$29+DQ$30</f>
        <v/>
      </c>
      <c r="DR31" s="228">
        <f>DR$25+DR$29+DR$30</f>
        <v/>
      </c>
      <c r="DS31" s="228">
        <f>DS$25+DS$29+DS$30</f>
        <v/>
      </c>
      <c r="DT31" s="228">
        <f>DT$25+DT$29+DT$30</f>
        <v/>
      </c>
    </row>
    <row r="33" ht="15" customHeight="1" s="148">
      <c r="A33" s="112" t="inlineStr">
        <is>
          <t>General Vacancy</t>
        </is>
      </c>
      <c r="C33" s="228">
        <f>SUM(D33:DT33)</f>
        <v/>
      </c>
      <c r="D33" s="228">
        <f>-D$31*Assumptions!$P$7</f>
        <v/>
      </c>
      <c r="E33" s="228">
        <f>-E$31*Assumptions!$P$7</f>
        <v/>
      </c>
      <c r="F33" s="228">
        <f>-F$31*Assumptions!$P$7</f>
        <v/>
      </c>
      <c r="G33" s="228">
        <f>-G$31*Assumptions!$P$7</f>
        <v/>
      </c>
      <c r="H33" s="228">
        <f>-H$31*Assumptions!$P$7</f>
        <v/>
      </c>
      <c r="I33" s="228">
        <f>-I$31*Assumptions!$P$7</f>
        <v/>
      </c>
      <c r="J33" s="228">
        <f>-J$31*Assumptions!$P$7</f>
        <v/>
      </c>
      <c r="K33" s="228">
        <f>-K$31*Assumptions!$P$7</f>
        <v/>
      </c>
      <c r="L33" s="228">
        <f>-L$31*Assumptions!$P$7</f>
        <v/>
      </c>
      <c r="M33" s="228">
        <f>-M$31*Assumptions!$P$7</f>
        <v/>
      </c>
      <c r="N33" s="228">
        <f>-N$31*Assumptions!$P$7</f>
        <v/>
      </c>
      <c r="O33" s="228">
        <f>-O$31*Assumptions!$P$7</f>
        <v/>
      </c>
      <c r="P33" s="228">
        <f>-P$31*Assumptions!$P$7</f>
        <v/>
      </c>
      <c r="Q33" s="228">
        <f>-Q$31*Assumptions!$P$7</f>
        <v/>
      </c>
      <c r="R33" s="228">
        <f>-R$31*Assumptions!$P$7</f>
        <v/>
      </c>
      <c r="S33" s="228">
        <f>-S$31*Assumptions!$P$7</f>
        <v/>
      </c>
      <c r="T33" s="228">
        <f>-T$31*Assumptions!$P$7</f>
        <v/>
      </c>
      <c r="U33" s="228">
        <f>-U$31*Assumptions!$P$7</f>
        <v/>
      </c>
      <c r="V33" s="228">
        <f>-V$31*Assumptions!$P$7</f>
        <v/>
      </c>
      <c r="W33" s="228">
        <f>-W$31*Assumptions!$P$7</f>
        <v/>
      </c>
      <c r="X33" s="228">
        <f>-X$31*Assumptions!$P$7</f>
        <v/>
      </c>
      <c r="Y33" s="228">
        <f>-Y$31*Assumptions!$P$7</f>
        <v/>
      </c>
      <c r="Z33" s="228">
        <f>-Z$31*Assumptions!$P$7</f>
        <v/>
      </c>
      <c r="AA33" s="228">
        <f>-AA$31*Assumptions!$P$7</f>
        <v/>
      </c>
      <c r="AB33" s="228">
        <f>-AB$31*Assumptions!$P$7</f>
        <v/>
      </c>
      <c r="AC33" s="228">
        <f>-AC$31*Assumptions!$P$7</f>
        <v/>
      </c>
      <c r="AD33" s="228">
        <f>-AD$31*Assumptions!$P$7</f>
        <v/>
      </c>
      <c r="AE33" s="228">
        <f>-AE$31*Assumptions!$P$7</f>
        <v/>
      </c>
      <c r="AF33" s="228">
        <f>-AF$31*Assumptions!$P$7</f>
        <v/>
      </c>
      <c r="AG33" s="228">
        <f>-AG$31*Assumptions!$P$7</f>
        <v/>
      </c>
      <c r="AH33" s="228">
        <f>-AH$31*Assumptions!$P$7</f>
        <v/>
      </c>
      <c r="AI33" s="228">
        <f>-AI$31*Assumptions!$P$7</f>
        <v/>
      </c>
      <c r="AJ33" s="228">
        <f>-AJ$31*Assumptions!$P$7</f>
        <v/>
      </c>
      <c r="AK33" s="228">
        <f>-AK$31*Assumptions!$P$7</f>
        <v/>
      </c>
      <c r="AL33" s="228">
        <f>-AL$31*Assumptions!$P$7</f>
        <v/>
      </c>
      <c r="AM33" s="228">
        <f>-AM$31*Assumptions!$P$7</f>
        <v/>
      </c>
      <c r="AN33" s="228">
        <f>-AN$31*Assumptions!$P$7</f>
        <v/>
      </c>
      <c r="AO33" s="228">
        <f>-AO$31*Assumptions!$P$7</f>
        <v/>
      </c>
      <c r="AP33" s="228">
        <f>-AP$31*Assumptions!$P$7</f>
        <v/>
      </c>
      <c r="AQ33" s="228">
        <f>-AQ$31*Assumptions!$P$7</f>
        <v/>
      </c>
      <c r="AR33" s="228">
        <f>-AR$31*Assumptions!$P$7</f>
        <v/>
      </c>
      <c r="AS33" s="228">
        <f>-AS$31*Assumptions!$P$7</f>
        <v/>
      </c>
      <c r="AT33" s="228">
        <f>-AT$31*Assumptions!$P$7</f>
        <v/>
      </c>
      <c r="AU33" s="228">
        <f>-AU$31*Assumptions!$P$7</f>
        <v/>
      </c>
      <c r="AV33" s="228">
        <f>-AV$31*Assumptions!$P$7</f>
        <v/>
      </c>
      <c r="AW33" s="228">
        <f>-AW$31*Assumptions!$P$7</f>
        <v/>
      </c>
      <c r="AX33" s="228">
        <f>-AX$31*Assumptions!$P$7</f>
        <v/>
      </c>
      <c r="AY33" s="228">
        <f>-AY$31*Assumptions!$P$7</f>
        <v/>
      </c>
      <c r="AZ33" s="228">
        <f>-AZ$31*Assumptions!$P$7</f>
        <v/>
      </c>
      <c r="BA33" s="228">
        <f>-BA$31*Assumptions!$P$7</f>
        <v/>
      </c>
      <c r="BB33" s="228">
        <f>-BB$31*Assumptions!$P$7</f>
        <v/>
      </c>
      <c r="BC33" s="228">
        <f>-BC$31*Assumptions!$P$7</f>
        <v/>
      </c>
      <c r="BD33" s="228">
        <f>-BD$31*Assumptions!$P$7</f>
        <v/>
      </c>
      <c r="BE33" s="228">
        <f>-BE$31*Assumptions!$P$7</f>
        <v/>
      </c>
      <c r="BF33" s="228">
        <f>-BF$31*Assumptions!$P$7</f>
        <v/>
      </c>
      <c r="BG33" s="228">
        <f>-BG$31*Assumptions!$P$7</f>
        <v/>
      </c>
      <c r="BH33" s="228">
        <f>-BH$31*Assumptions!$P$7</f>
        <v/>
      </c>
      <c r="BI33" s="228">
        <f>-BI$31*Assumptions!$P$7</f>
        <v/>
      </c>
      <c r="BJ33" s="228">
        <f>-BJ$31*Assumptions!$P$7</f>
        <v/>
      </c>
      <c r="BK33" s="228">
        <f>-BK$31*Assumptions!$P$7</f>
        <v/>
      </c>
      <c r="BL33" s="228">
        <f>-BL$31*Assumptions!$P$7</f>
        <v/>
      </c>
      <c r="BM33" s="228">
        <f>-BM$31*Assumptions!$P$7</f>
        <v/>
      </c>
      <c r="BN33" s="228">
        <f>-BN$31*Assumptions!$P$7</f>
        <v/>
      </c>
      <c r="BO33" s="228">
        <f>-BO$31*Assumptions!$P$7</f>
        <v/>
      </c>
      <c r="BP33" s="228">
        <f>-BP$31*Assumptions!$P$7</f>
        <v/>
      </c>
      <c r="BQ33" s="228">
        <f>-BQ$31*Assumptions!$P$7</f>
        <v/>
      </c>
      <c r="BR33" s="228">
        <f>-BR$31*Assumptions!$P$7</f>
        <v/>
      </c>
      <c r="BS33" s="228">
        <f>-BS$31*Assumptions!$P$7</f>
        <v/>
      </c>
      <c r="BT33" s="228">
        <f>-BT$31*Assumptions!$P$7</f>
        <v/>
      </c>
      <c r="BU33" s="228">
        <f>-BU$31*Assumptions!$P$7</f>
        <v/>
      </c>
      <c r="BV33" s="228">
        <f>-BV$31*Assumptions!$P$7</f>
        <v/>
      </c>
      <c r="BW33" s="228">
        <f>-BW$31*Assumptions!$P$7</f>
        <v/>
      </c>
      <c r="BX33" s="228">
        <f>-BX$31*Assumptions!$P$7</f>
        <v/>
      </c>
      <c r="BY33" s="228">
        <f>-BY$31*Assumptions!$P$7</f>
        <v/>
      </c>
      <c r="BZ33" s="228">
        <f>-BZ$31*Assumptions!$P$7</f>
        <v/>
      </c>
      <c r="CA33" s="228">
        <f>-CA$31*Assumptions!$P$7</f>
        <v/>
      </c>
      <c r="CB33" s="228">
        <f>-CB$31*Assumptions!$P$7</f>
        <v/>
      </c>
      <c r="CC33" s="228">
        <f>-CC$31*Assumptions!$P$7</f>
        <v/>
      </c>
      <c r="CD33" s="228">
        <f>-CD$31*Assumptions!$P$7</f>
        <v/>
      </c>
      <c r="CE33" s="228">
        <f>-CE$31*Assumptions!$P$7</f>
        <v/>
      </c>
      <c r="CF33" s="228">
        <f>-CF$31*Assumptions!$P$7</f>
        <v/>
      </c>
      <c r="CG33" s="228">
        <f>-CG$31*Assumptions!$P$7</f>
        <v/>
      </c>
      <c r="CH33" s="228">
        <f>-CH$31*Assumptions!$P$7</f>
        <v/>
      </c>
      <c r="CI33" s="228">
        <f>-CI$31*Assumptions!$P$7</f>
        <v/>
      </c>
      <c r="CJ33" s="228">
        <f>-CJ$31*Assumptions!$P$7</f>
        <v/>
      </c>
      <c r="CK33" s="228">
        <f>-CK$31*Assumptions!$P$7</f>
        <v/>
      </c>
      <c r="CL33" s="228">
        <f>-CL$31*Assumptions!$P$7</f>
        <v/>
      </c>
      <c r="CM33" s="228">
        <f>-CM$31*Assumptions!$P$7</f>
        <v/>
      </c>
      <c r="CN33" s="228">
        <f>-CN$31*Assumptions!$P$7</f>
        <v/>
      </c>
      <c r="CO33" s="228">
        <f>-CO$31*Assumptions!$P$7</f>
        <v/>
      </c>
      <c r="CP33" s="228">
        <f>-CP$31*Assumptions!$P$7</f>
        <v/>
      </c>
      <c r="CQ33" s="228">
        <f>-CQ$31*Assumptions!$P$7</f>
        <v/>
      </c>
      <c r="CR33" s="228">
        <f>-CR$31*Assumptions!$P$7</f>
        <v/>
      </c>
      <c r="CS33" s="228">
        <f>-CS$31*Assumptions!$P$7</f>
        <v/>
      </c>
      <c r="CT33" s="228">
        <f>-CT$31*Assumptions!$P$7</f>
        <v/>
      </c>
      <c r="CU33" s="228">
        <f>-CU$31*Assumptions!$P$7</f>
        <v/>
      </c>
      <c r="CV33" s="228">
        <f>-CV$31*Assumptions!$P$7</f>
        <v/>
      </c>
      <c r="CW33" s="228">
        <f>-CW$31*Assumptions!$P$7</f>
        <v/>
      </c>
      <c r="CX33" s="228">
        <f>-CX$31*Assumptions!$P$7</f>
        <v/>
      </c>
      <c r="CY33" s="228">
        <f>-CY$31*Assumptions!$P$7</f>
        <v/>
      </c>
      <c r="CZ33" s="228">
        <f>-CZ$31*Assumptions!$P$7</f>
        <v/>
      </c>
      <c r="DA33" s="228">
        <f>-DA$31*Assumptions!$P$7</f>
        <v/>
      </c>
      <c r="DB33" s="228">
        <f>-DB$31*Assumptions!$P$7</f>
        <v/>
      </c>
      <c r="DC33" s="228">
        <f>-DC$31*Assumptions!$P$7</f>
        <v/>
      </c>
      <c r="DD33" s="228">
        <f>-DD$31*Assumptions!$P$7</f>
        <v/>
      </c>
      <c r="DE33" s="228">
        <f>-DE$31*Assumptions!$P$7</f>
        <v/>
      </c>
      <c r="DF33" s="228">
        <f>-DF$31*Assumptions!$P$7</f>
        <v/>
      </c>
      <c r="DG33" s="228">
        <f>-DG$31*Assumptions!$P$7</f>
        <v/>
      </c>
      <c r="DH33" s="228">
        <f>-DH$31*Assumptions!$P$7</f>
        <v/>
      </c>
      <c r="DI33" s="228">
        <f>-DI$31*Assumptions!$P$7</f>
        <v/>
      </c>
      <c r="DJ33" s="228">
        <f>-DJ$31*Assumptions!$P$7</f>
        <v/>
      </c>
      <c r="DK33" s="228">
        <f>-DK$31*Assumptions!$P$7</f>
        <v/>
      </c>
      <c r="DL33" s="228">
        <f>-DL$31*Assumptions!$P$7</f>
        <v/>
      </c>
      <c r="DM33" s="228">
        <f>-DM$31*Assumptions!$P$7</f>
        <v/>
      </c>
      <c r="DN33" s="228">
        <f>-DN$31*Assumptions!$P$7</f>
        <v/>
      </c>
      <c r="DO33" s="228">
        <f>-DO$31*Assumptions!$P$7</f>
        <v/>
      </c>
      <c r="DP33" s="228">
        <f>-DP$31*Assumptions!$P$7</f>
        <v/>
      </c>
      <c r="DQ33" s="228">
        <f>-DQ$31*Assumptions!$P$7</f>
        <v/>
      </c>
      <c r="DR33" s="228">
        <f>-DR$31*Assumptions!$P$7</f>
        <v/>
      </c>
      <c r="DS33" s="228">
        <f>-DS$31*Assumptions!$P$7</f>
        <v/>
      </c>
      <c r="DT33" s="228">
        <f>-DT$31*Assumptions!$P$7</f>
        <v/>
      </c>
    </row>
    <row r="34" ht="15" customHeight="1" s="148">
      <c r="A34" s="112" t="inlineStr">
        <is>
          <t>Credit &amp; Collections Loss</t>
        </is>
      </c>
      <c r="C34" s="228">
        <f>SUM(D34:DT34)</f>
        <v/>
      </c>
      <c r="D34" s="228">
        <f>-D$31*Assumptions!$P$8</f>
        <v/>
      </c>
      <c r="E34" s="228">
        <f>-E$31*Assumptions!$P$8</f>
        <v/>
      </c>
      <c r="F34" s="228">
        <f>-F$31*Assumptions!$P$8</f>
        <v/>
      </c>
      <c r="G34" s="228">
        <f>-G$31*Assumptions!$P$8</f>
        <v/>
      </c>
      <c r="H34" s="228">
        <f>-H$31*Assumptions!$P$8</f>
        <v/>
      </c>
      <c r="I34" s="228">
        <f>-I$31*Assumptions!$P$8</f>
        <v/>
      </c>
      <c r="J34" s="228">
        <f>-J$31*Assumptions!$P$8</f>
        <v/>
      </c>
      <c r="K34" s="228">
        <f>-K$31*Assumptions!$P$8</f>
        <v/>
      </c>
      <c r="L34" s="228">
        <f>-L$31*Assumptions!$P$8</f>
        <v/>
      </c>
      <c r="M34" s="228">
        <f>-M$31*Assumptions!$P$8</f>
        <v/>
      </c>
      <c r="N34" s="228">
        <f>-N$31*Assumptions!$P$8</f>
        <v/>
      </c>
      <c r="O34" s="228">
        <f>-O$31*Assumptions!$P$8</f>
        <v/>
      </c>
      <c r="P34" s="228">
        <f>-P$31*Assumptions!$P$8</f>
        <v/>
      </c>
      <c r="Q34" s="228">
        <f>-Q$31*Assumptions!$P$8</f>
        <v/>
      </c>
      <c r="R34" s="228">
        <f>-R$31*Assumptions!$P$8</f>
        <v/>
      </c>
      <c r="S34" s="228">
        <f>-S$31*Assumptions!$P$8</f>
        <v/>
      </c>
      <c r="T34" s="228">
        <f>-T$31*Assumptions!$P$8</f>
        <v/>
      </c>
      <c r="U34" s="228">
        <f>-U$31*Assumptions!$P$8</f>
        <v/>
      </c>
      <c r="V34" s="228">
        <f>-V$31*Assumptions!$P$8</f>
        <v/>
      </c>
      <c r="W34" s="228">
        <f>-W$31*Assumptions!$P$8</f>
        <v/>
      </c>
      <c r="X34" s="228">
        <f>-X$31*Assumptions!$P$8</f>
        <v/>
      </c>
      <c r="Y34" s="228">
        <f>-Y$31*Assumptions!$P$8</f>
        <v/>
      </c>
      <c r="Z34" s="228">
        <f>-Z$31*Assumptions!$P$8</f>
        <v/>
      </c>
      <c r="AA34" s="228">
        <f>-AA$31*Assumptions!$P$8</f>
        <v/>
      </c>
      <c r="AB34" s="228">
        <f>-AB$31*Assumptions!$P$8</f>
        <v/>
      </c>
      <c r="AC34" s="228">
        <f>-AC$31*Assumptions!$P$8</f>
        <v/>
      </c>
      <c r="AD34" s="228">
        <f>-AD$31*Assumptions!$P$8</f>
        <v/>
      </c>
      <c r="AE34" s="228">
        <f>-AE$31*Assumptions!$P$8</f>
        <v/>
      </c>
      <c r="AF34" s="228">
        <f>-AF$31*Assumptions!$P$8</f>
        <v/>
      </c>
      <c r="AG34" s="228">
        <f>-AG$31*Assumptions!$P$8</f>
        <v/>
      </c>
      <c r="AH34" s="228">
        <f>-AH$31*Assumptions!$P$8</f>
        <v/>
      </c>
      <c r="AI34" s="228">
        <f>-AI$31*Assumptions!$P$8</f>
        <v/>
      </c>
      <c r="AJ34" s="228">
        <f>-AJ$31*Assumptions!$P$8</f>
        <v/>
      </c>
      <c r="AK34" s="228">
        <f>-AK$31*Assumptions!$P$8</f>
        <v/>
      </c>
      <c r="AL34" s="228">
        <f>-AL$31*Assumptions!$P$8</f>
        <v/>
      </c>
      <c r="AM34" s="228">
        <f>-AM$31*Assumptions!$P$8</f>
        <v/>
      </c>
      <c r="AN34" s="228">
        <f>-AN$31*Assumptions!$P$8</f>
        <v/>
      </c>
      <c r="AO34" s="228">
        <f>-AO$31*Assumptions!$P$8</f>
        <v/>
      </c>
      <c r="AP34" s="228">
        <f>-AP$31*Assumptions!$P$8</f>
        <v/>
      </c>
      <c r="AQ34" s="228">
        <f>-AQ$31*Assumptions!$P$8</f>
        <v/>
      </c>
      <c r="AR34" s="228">
        <f>-AR$31*Assumptions!$P$8</f>
        <v/>
      </c>
      <c r="AS34" s="228">
        <f>-AS$31*Assumptions!$P$8</f>
        <v/>
      </c>
      <c r="AT34" s="228">
        <f>-AT$31*Assumptions!$P$8</f>
        <v/>
      </c>
      <c r="AU34" s="228">
        <f>-AU$31*Assumptions!$P$8</f>
        <v/>
      </c>
      <c r="AV34" s="228">
        <f>-AV$31*Assumptions!$P$8</f>
        <v/>
      </c>
      <c r="AW34" s="228">
        <f>-AW$31*Assumptions!$P$8</f>
        <v/>
      </c>
      <c r="AX34" s="228">
        <f>-AX$31*Assumptions!$P$8</f>
        <v/>
      </c>
      <c r="AY34" s="228">
        <f>-AY$31*Assumptions!$P$8</f>
        <v/>
      </c>
      <c r="AZ34" s="228">
        <f>-AZ$31*Assumptions!$P$8</f>
        <v/>
      </c>
      <c r="BA34" s="228">
        <f>-BA$31*Assumptions!$P$8</f>
        <v/>
      </c>
      <c r="BB34" s="228">
        <f>-BB$31*Assumptions!$P$8</f>
        <v/>
      </c>
      <c r="BC34" s="228">
        <f>-BC$31*Assumptions!$P$8</f>
        <v/>
      </c>
      <c r="BD34" s="228">
        <f>-BD$31*Assumptions!$P$8</f>
        <v/>
      </c>
      <c r="BE34" s="228">
        <f>-BE$31*Assumptions!$P$8</f>
        <v/>
      </c>
      <c r="BF34" s="228">
        <f>-BF$31*Assumptions!$P$8</f>
        <v/>
      </c>
      <c r="BG34" s="228">
        <f>-BG$31*Assumptions!$P$8</f>
        <v/>
      </c>
      <c r="BH34" s="228">
        <f>-BH$31*Assumptions!$P$8</f>
        <v/>
      </c>
      <c r="BI34" s="228">
        <f>-BI$31*Assumptions!$P$8</f>
        <v/>
      </c>
      <c r="BJ34" s="228">
        <f>-BJ$31*Assumptions!$P$8</f>
        <v/>
      </c>
      <c r="BK34" s="228">
        <f>-BK$31*Assumptions!$P$8</f>
        <v/>
      </c>
      <c r="BL34" s="228">
        <f>-BL$31*Assumptions!$P$8</f>
        <v/>
      </c>
      <c r="BM34" s="228">
        <f>-BM$31*Assumptions!$P$8</f>
        <v/>
      </c>
      <c r="BN34" s="228">
        <f>-BN$31*Assumptions!$P$8</f>
        <v/>
      </c>
      <c r="BO34" s="228">
        <f>-BO$31*Assumptions!$P$8</f>
        <v/>
      </c>
      <c r="BP34" s="228">
        <f>-BP$31*Assumptions!$P$8</f>
        <v/>
      </c>
      <c r="BQ34" s="228">
        <f>-BQ$31*Assumptions!$P$8</f>
        <v/>
      </c>
      <c r="BR34" s="228">
        <f>-BR$31*Assumptions!$P$8</f>
        <v/>
      </c>
      <c r="BS34" s="228">
        <f>-BS$31*Assumptions!$P$8</f>
        <v/>
      </c>
      <c r="BT34" s="228">
        <f>-BT$31*Assumptions!$P$8</f>
        <v/>
      </c>
      <c r="BU34" s="228">
        <f>-BU$31*Assumptions!$P$8</f>
        <v/>
      </c>
      <c r="BV34" s="228">
        <f>-BV$31*Assumptions!$P$8</f>
        <v/>
      </c>
      <c r="BW34" s="228">
        <f>-BW$31*Assumptions!$P$8</f>
        <v/>
      </c>
      <c r="BX34" s="228">
        <f>-BX$31*Assumptions!$P$8</f>
        <v/>
      </c>
      <c r="BY34" s="228">
        <f>-BY$31*Assumptions!$P$8</f>
        <v/>
      </c>
      <c r="BZ34" s="228">
        <f>-BZ$31*Assumptions!$P$8</f>
        <v/>
      </c>
      <c r="CA34" s="228">
        <f>-CA$31*Assumptions!$P$8</f>
        <v/>
      </c>
      <c r="CB34" s="228">
        <f>-CB$31*Assumptions!$P$8</f>
        <v/>
      </c>
      <c r="CC34" s="228">
        <f>-CC$31*Assumptions!$P$8</f>
        <v/>
      </c>
      <c r="CD34" s="228">
        <f>-CD$31*Assumptions!$P$8</f>
        <v/>
      </c>
      <c r="CE34" s="228">
        <f>-CE$31*Assumptions!$P$8</f>
        <v/>
      </c>
      <c r="CF34" s="228">
        <f>-CF$31*Assumptions!$P$8</f>
        <v/>
      </c>
      <c r="CG34" s="228">
        <f>-CG$31*Assumptions!$P$8</f>
        <v/>
      </c>
      <c r="CH34" s="228">
        <f>-CH$31*Assumptions!$P$8</f>
        <v/>
      </c>
      <c r="CI34" s="228">
        <f>-CI$31*Assumptions!$P$8</f>
        <v/>
      </c>
      <c r="CJ34" s="228">
        <f>-CJ$31*Assumptions!$P$8</f>
        <v/>
      </c>
      <c r="CK34" s="228">
        <f>-CK$31*Assumptions!$P$8</f>
        <v/>
      </c>
      <c r="CL34" s="228">
        <f>-CL$31*Assumptions!$P$8</f>
        <v/>
      </c>
      <c r="CM34" s="228">
        <f>-CM$31*Assumptions!$P$8</f>
        <v/>
      </c>
      <c r="CN34" s="228">
        <f>-CN$31*Assumptions!$P$8</f>
        <v/>
      </c>
      <c r="CO34" s="228">
        <f>-CO$31*Assumptions!$P$8</f>
        <v/>
      </c>
      <c r="CP34" s="228">
        <f>-CP$31*Assumptions!$P$8</f>
        <v/>
      </c>
      <c r="CQ34" s="228">
        <f>-CQ$31*Assumptions!$P$8</f>
        <v/>
      </c>
      <c r="CR34" s="228">
        <f>-CR$31*Assumptions!$P$8</f>
        <v/>
      </c>
      <c r="CS34" s="228">
        <f>-CS$31*Assumptions!$P$8</f>
        <v/>
      </c>
      <c r="CT34" s="228">
        <f>-CT$31*Assumptions!$P$8</f>
        <v/>
      </c>
      <c r="CU34" s="228">
        <f>-CU$31*Assumptions!$P$8</f>
        <v/>
      </c>
      <c r="CV34" s="228">
        <f>-CV$31*Assumptions!$P$8</f>
        <v/>
      </c>
      <c r="CW34" s="228">
        <f>-CW$31*Assumptions!$P$8</f>
        <v/>
      </c>
      <c r="CX34" s="228">
        <f>-CX$31*Assumptions!$P$8</f>
        <v/>
      </c>
      <c r="CY34" s="228">
        <f>-CY$31*Assumptions!$P$8</f>
        <v/>
      </c>
      <c r="CZ34" s="228">
        <f>-CZ$31*Assumptions!$P$8</f>
        <v/>
      </c>
      <c r="DA34" s="228">
        <f>-DA$31*Assumptions!$P$8</f>
        <v/>
      </c>
      <c r="DB34" s="228">
        <f>-DB$31*Assumptions!$P$8</f>
        <v/>
      </c>
      <c r="DC34" s="228">
        <f>-DC$31*Assumptions!$P$8</f>
        <v/>
      </c>
      <c r="DD34" s="228">
        <f>-DD$31*Assumptions!$P$8</f>
        <v/>
      </c>
      <c r="DE34" s="228">
        <f>-DE$31*Assumptions!$P$8</f>
        <v/>
      </c>
      <c r="DF34" s="228">
        <f>-DF$31*Assumptions!$P$8</f>
        <v/>
      </c>
      <c r="DG34" s="228">
        <f>-DG$31*Assumptions!$P$8</f>
        <v/>
      </c>
      <c r="DH34" s="228">
        <f>-DH$31*Assumptions!$P$8</f>
        <v/>
      </c>
      <c r="DI34" s="228">
        <f>-DI$31*Assumptions!$P$8</f>
        <v/>
      </c>
      <c r="DJ34" s="228">
        <f>-DJ$31*Assumptions!$P$8</f>
        <v/>
      </c>
      <c r="DK34" s="228">
        <f>-DK$31*Assumptions!$P$8</f>
        <v/>
      </c>
      <c r="DL34" s="228">
        <f>-DL$31*Assumptions!$P$8</f>
        <v/>
      </c>
      <c r="DM34" s="228">
        <f>-DM$31*Assumptions!$P$8</f>
        <v/>
      </c>
      <c r="DN34" s="228">
        <f>-DN$31*Assumptions!$P$8</f>
        <v/>
      </c>
      <c r="DO34" s="228">
        <f>-DO$31*Assumptions!$P$8</f>
        <v/>
      </c>
      <c r="DP34" s="228">
        <f>-DP$31*Assumptions!$P$8</f>
        <v/>
      </c>
      <c r="DQ34" s="228">
        <f>-DQ$31*Assumptions!$P$8</f>
        <v/>
      </c>
      <c r="DR34" s="228">
        <f>-DR$31*Assumptions!$P$8</f>
        <v/>
      </c>
      <c r="DS34" s="228">
        <f>-DS$31*Assumptions!$P$8</f>
        <v/>
      </c>
      <c r="DT34" s="228">
        <f>-DT$31*Assumptions!$P$8</f>
        <v/>
      </c>
    </row>
    <row r="35" ht="15" customHeight="1" s="148">
      <c r="A35" s="110" t="inlineStr">
        <is>
          <t>Effective Gross Income</t>
        </is>
      </c>
      <c r="C35" s="228">
        <f>SUM(D35:DT35)</f>
        <v/>
      </c>
      <c r="D35" s="228">
        <f>D$31+D$33+D$34</f>
        <v/>
      </c>
      <c r="E35" s="228">
        <f>E$31+E$33+E$34</f>
        <v/>
      </c>
      <c r="F35" s="228">
        <f>F$31+F$33+F$34</f>
        <v/>
      </c>
      <c r="G35" s="228">
        <f>G$31+G$33+G$34</f>
        <v/>
      </c>
      <c r="H35" s="228">
        <f>H$31+H$33+H$34</f>
        <v/>
      </c>
      <c r="I35" s="228">
        <f>I$31+I$33+I$34</f>
        <v/>
      </c>
      <c r="J35" s="228">
        <f>J$31+J$33+J$34</f>
        <v/>
      </c>
      <c r="K35" s="228">
        <f>K$31+K$33+K$34</f>
        <v/>
      </c>
      <c r="L35" s="228">
        <f>L$31+L$33+L$34</f>
        <v/>
      </c>
      <c r="M35" s="228">
        <f>M$31+M$33+M$34</f>
        <v/>
      </c>
      <c r="N35" s="228">
        <f>N$31+N$33+N$34</f>
        <v/>
      </c>
      <c r="O35" s="228">
        <f>O$31+O$33+O$34</f>
        <v/>
      </c>
      <c r="P35" s="228">
        <f>P$31+P$33+P$34</f>
        <v/>
      </c>
      <c r="Q35" s="228">
        <f>Q$31+Q$33+Q$34</f>
        <v/>
      </c>
      <c r="R35" s="228">
        <f>R$31+R$33+R$34</f>
        <v/>
      </c>
      <c r="S35" s="228">
        <f>S$31+S$33+S$34</f>
        <v/>
      </c>
      <c r="T35" s="228">
        <f>T$31+T$33+T$34</f>
        <v/>
      </c>
      <c r="U35" s="228">
        <f>U$31+U$33+U$34</f>
        <v/>
      </c>
      <c r="V35" s="228">
        <f>V$31+V$33+V$34</f>
        <v/>
      </c>
      <c r="W35" s="228">
        <f>W$31+W$33+W$34</f>
        <v/>
      </c>
      <c r="X35" s="228">
        <f>X$31+X$33+X$34</f>
        <v/>
      </c>
      <c r="Y35" s="228">
        <f>Y$31+Y$33+Y$34</f>
        <v/>
      </c>
      <c r="Z35" s="228">
        <f>Z$31+Z$33+Z$34</f>
        <v/>
      </c>
      <c r="AA35" s="228">
        <f>AA$31+AA$33+AA$34</f>
        <v/>
      </c>
      <c r="AB35" s="228">
        <f>AB$31+AB$33+AB$34</f>
        <v/>
      </c>
      <c r="AC35" s="228">
        <f>AC$31+AC$33+AC$34</f>
        <v/>
      </c>
      <c r="AD35" s="228">
        <f>AD$31+AD$33+AD$34</f>
        <v/>
      </c>
      <c r="AE35" s="228">
        <f>AE$31+AE$33+AE$34</f>
        <v/>
      </c>
      <c r="AF35" s="228">
        <f>AF$31+AF$33+AF$34</f>
        <v/>
      </c>
      <c r="AG35" s="228">
        <f>AG$31+AG$33+AG$34</f>
        <v/>
      </c>
      <c r="AH35" s="228">
        <f>AH$31+AH$33+AH$34</f>
        <v/>
      </c>
      <c r="AI35" s="228">
        <f>AI$31+AI$33+AI$34</f>
        <v/>
      </c>
      <c r="AJ35" s="228">
        <f>AJ$31+AJ$33+AJ$34</f>
        <v/>
      </c>
      <c r="AK35" s="228">
        <f>AK$31+AK$33+AK$34</f>
        <v/>
      </c>
      <c r="AL35" s="228">
        <f>AL$31+AL$33+AL$34</f>
        <v/>
      </c>
      <c r="AM35" s="228">
        <f>AM$31+AM$33+AM$34</f>
        <v/>
      </c>
      <c r="AN35" s="228">
        <f>AN$31+AN$33+AN$34</f>
        <v/>
      </c>
      <c r="AO35" s="228">
        <f>AO$31+AO$33+AO$34</f>
        <v/>
      </c>
      <c r="AP35" s="228">
        <f>AP$31+AP$33+AP$34</f>
        <v/>
      </c>
      <c r="AQ35" s="228">
        <f>AQ$31+AQ$33+AQ$34</f>
        <v/>
      </c>
      <c r="AR35" s="228">
        <f>AR$31+AR$33+AR$34</f>
        <v/>
      </c>
      <c r="AS35" s="228">
        <f>AS$31+AS$33+AS$34</f>
        <v/>
      </c>
      <c r="AT35" s="228">
        <f>AT$31+AT$33+AT$34</f>
        <v/>
      </c>
      <c r="AU35" s="228">
        <f>AU$31+AU$33+AU$34</f>
        <v/>
      </c>
      <c r="AV35" s="228">
        <f>AV$31+AV$33+AV$34</f>
        <v/>
      </c>
      <c r="AW35" s="228">
        <f>AW$31+AW$33+AW$34</f>
        <v/>
      </c>
      <c r="AX35" s="228">
        <f>AX$31+AX$33+AX$34</f>
        <v/>
      </c>
      <c r="AY35" s="228">
        <f>AY$31+AY$33+AY$34</f>
        <v/>
      </c>
      <c r="AZ35" s="228">
        <f>AZ$31+AZ$33+AZ$34</f>
        <v/>
      </c>
      <c r="BA35" s="228">
        <f>BA$31+BA$33+BA$34</f>
        <v/>
      </c>
      <c r="BB35" s="228">
        <f>BB$31+BB$33+BB$34</f>
        <v/>
      </c>
      <c r="BC35" s="228">
        <f>BC$31+BC$33+BC$34</f>
        <v/>
      </c>
      <c r="BD35" s="228">
        <f>BD$31+BD$33+BD$34</f>
        <v/>
      </c>
      <c r="BE35" s="228">
        <f>BE$31+BE$33+BE$34</f>
        <v/>
      </c>
      <c r="BF35" s="228">
        <f>BF$31+BF$33+BF$34</f>
        <v/>
      </c>
      <c r="BG35" s="228">
        <f>BG$31+BG$33+BG$34</f>
        <v/>
      </c>
      <c r="BH35" s="228">
        <f>BH$31+BH$33+BH$34</f>
        <v/>
      </c>
      <c r="BI35" s="228">
        <f>BI$31+BI$33+BI$34</f>
        <v/>
      </c>
      <c r="BJ35" s="228">
        <f>BJ$31+BJ$33+BJ$34</f>
        <v/>
      </c>
      <c r="BK35" s="228">
        <f>BK$31+BK$33+BK$34</f>
        <v/>
      </c>
      <c r="BL35" s="228">
        <f>BL$31+BL$33+BL$34</f>
        <v/>
      </c>
      <c r="BM35" s="228">
        <f>BM$31+BM$33+BM$34</f>
        <v/>
      </c>
      <c r="BN35" s="228">
        <f>BN$31+BN$33+BN$34</f>
        <v/>
      </c>
      <c r="BO35" s="228">
        <f>BO$31+BO$33+BO$34</f>
        <v/>
      </c>
      <c r="BP35" s="228">
        <f>BP$31+BP$33+BP$34</f>
        <v/>
      </c>
      <c r="BQ35" s="228">
        <f>BQ$31+BQ$33+BQ$34</f>
        <v/>
      </c>
      <c r="BR35" s="228">
        <f>BR$31+BR$33+BR$34</f>
        <v/>
      </c>
      <c r="BS35" s="228">
        <f>BS$31+BS$33+BS$34</f>
        <v/>
      </c>
      <c r="BT35" s="228">
        <f>BT$31+BT$33+BT$34</f>
        <v/>
      </c>
      <c r="BU35" s="228">
        <f>BU$31+BU$33+BU$34</f>
        <v/>
      </c>
      <c r="BV35" s="228">
        <f>BV$31+BV$33+BV$34</f>
        <v/>
      </c>
      <c r="BW35" s="228">
        <f>BW$31+BW$33+BW$34</f>
        <v/>
      </c>
      <c r="BX35" s="228">
        <f>BX$31+BX$33+BX$34</f>
        <v/>
      </c>
      <c r="BY35" s="228">
        <f>BY$31+BY$33+BY$34</f>
        <v/>
      </c>
      <c r="BZ35" s="228">
        <f>BZ$31+BZ$33+BZ$34</f>
        <v/>
      </c>
      <c r="CA35" s="228">
        <f>CA$31+CA$33+CA$34</f>
        <v/>
      </c>
      <c r="CB35" s="228">
        <f>CB$31+CB$33+CB$34</f>
        <v/>
      </c>
      <c r="CC35" s="228">
        <f>CC$31+CC$33+CC$34</f>
        <v/>
      </c>
      <c r="CD35" s="228">
        <f>CD$31+CD$33+CD$34</f>
        <v/>
      </c>
      <c r="CE35" s="228">
        <f>CE$31+CE$33+CE$34</f>
        <v/>
      </c>
      <c r="CF35" s="228">
        <f>CF$31+CF$33+CF$34</f>
        <v/>
      </c>
      <c r="CG35" s="228">
        <f>CG$31+CG$33+CG$34</f>
        <v/>
      </c>
      <c r="CH35" s="228">
        <f>CH$31+CH$33+CH$34</f>
        <v/>
      </c>
      <c r="CI35" s="228">
        <f>CI$31+CI$33+CI$34</f>
        <v/>
      </c>
      <c r="CJ35" s="228">
        <f>CJ$31+CJ$33+CJ$34</f>
        <v/>
      </c>
      <c r="CK35" s="228">
        <f>CK$31+CK$33+CK$34</f>
        <v/>
      </c>
      <c r="CL35" s="228">
        <f>CL$31+CL$33+CL$34</f>
        <v/>
      </c>
      <c r="CM35" s="228">
        <f>CM$31+CM$33+CM$34</f>
        <v/>
      </c>
      <c r="CN35" s="228">
        <f>CN$31+CN$33+CN$34</f>
        <v/>
      </c>
      <c r="CO35" s="228">
        <f>CO$31+CO$33+CO$34</f>
        <v/>
      </c>
      <c r="CP35" s="228">
        <f>CP$31+CP$33+CP$34</f>
        <v/>
      </c>
      <c r="CQ35" s="228">
        <f>CQ$31+CQ$33+CQ$34</f>
        <v/>
      </c>
      <c r="CR35" s="228">
        <f>CR$31+CR$33+CR$34</f>
        <v/>
      </c>
      <c r="CS35" s="228">
        <f>CS$31+CS$33+CS$34</f>
        <v/>
      </c>
      <c r="CT35" s="228">
        <f>CT$31+CT$33+CT$34</f>
        <v/>
      </c>
      <c r="CU35" s="228">
        <f>CU$31+CU$33+CU$34</f>
        <v/>
      </c>
      <c r="CV35" s="228">
        <f>CV$31+CV$33+CV$34</f>
        <v/>
      </c>
      <c r="CW35" s="228">
        <f>CW$31+CW$33+CW$34</f>
        <v/>
      </c>
      <c r="CX35" s="228">
        <f>CX$31+CX$33+CX$34</f>
        <v/>
      </c>
      <c r="CY35" s="228">
        <f>CY$31+CY$33+CY$34</f>
        <v/>
      </c>
      <c r="CZ35" s="228">
        <f>CZ$31+CZ$33+CZ$34</f>
        <v/>
      </c>
      <c r="DA35" s="228">
        <f>DA$31+DA$33+DA$34</f>
        <v/>
      </c>
      <c r="DB35" s="228">
        <f>DB$31+DB$33+DB$34</f>
        <v/>
      </c>
      <c r="DC35" s="228">
        <f>DC$31+DC$33+DC$34</f>
        <v/>
      </c>
      <c r="DD35" s="228">
        <f>DD$31+DD$33+DD$34</f>
        <v/>
      </c>
      <c r="DE35" s="228">
        <f>DE$31+DE$33+DE$34</f>
        <v/>
      </c>
      <c r="DF35" s="228">
        <f>DF$31+DF$33+DF$34</f>
        <v/>
      </c>
      <c r="DG35" s="228">
        <f>DG$31+DG$33+DG$34</f>
        <v/>
      </c>
      <c r="DH35" s="228">
        <f>DH$31+DH$33+DH$34</f>
        <v/>
      </c>
      <c r="DI35" s="228">
        <f>DI$31+DI$33+DI$34</f>
        <v/>
      </c>
      <c r="DJ35" s="228">
        <f>DJ$31+DJ$33+DJ$34</f>
        <v/>
      </c>
      <c r="DK35" s="228">
        <f>DK$31+DK$33+DK$34</f>
        <v/>
      </c>
      <c r="DL35" s="228">
        <f>DL$31+DL$33+DL$34</f>
        <v/>
      </c>
      <c r="DM35" s="228">
        <f>DM$31+DM$33+DM$34</f>
        <v/>
      </c>
      <c r="DN35" s="228">
        <f>DN$31+DN$33+DN$34</f>
        <v/>
      </c>
      <c r="DO35" s="228">
        <f>DO$31+DO$33+DO$34</f>
        <v/>
      </c>
      <c r="DP35" s="228">
        <f>DP$31+DP$33+DP$34</f>
        <v/>
      </c>
      <c r="DQ35" s="228">
        <f>DQ$31+DQ$33+DQ$34</f>
        <v/>
      </c>
      <c r="DR35" s="228">
        <f>DR$31+DR$33+DR$34</f>
        <v/>
      </c>
      <c r="DS35" s="228">
        <f>DS$31+DS$33+DS$34</f>
        <v/>
      </c>
      <c r="DT35" s="228">
        <f>DT$31+DT$33+DT$34</f>
        <v/>
      </c>
    </row>
    <row r="37" ht="15" customHeight="1" s="148">
      <c r="A37" s="110" t="inlineStr">
        <is>
          <t>Operating Expenses</t>
        </is>
      </c>
      <c r="C37" s="228">
        <f>SUM(D37:DT37)</f>
        <v/>
      </c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228" t="n"/>
      <c r="M37" s="228" t="n"/>
      <c r="N37" s="228" t="n"/>
      <c r="O37" s="228" t="n"/>
      <c r="P37" s="228" t="n"/>
      <c r="Q37" s="228" t="n"/>
      <c r="R37" s="228" t="n"/>
      <c r="S37" s="228" t="n"/>
      <c r="T37" s="228" t="n"/>
      <c r="U37" s="228" t="n"/>
      <c r="V37" s="228" t="n"/>
      <c r="W37" s="228" t="n"/>
      <c r="X37" s="228" t="n"/>
      <c r="Y37" s="228" t="n"/>
      <c r="Z37" s="228" t="n"/>
      <c r="AA37" s="228" t="n"/>
      <c r="AB37" s="228" t="n"/>
      <c r="AC37" s="228" t="n"/>
      <c r="AD37" s="228" t="n"/>
      <c r="AE37" s="228" t="n"/>
      <c r="AF37" s="228" t="n"/>
      <c r="AG37" s="228" t="n"/>
      <c r="AH37" s="228" t="n"/>
      <c r="AI37" s="228" t="n"/>
      <c r="AJ37" s="228" t="n"/>
      <c r="AK37" s="228" t="n"/>
      <c r="AL37" s="228" t="n"/>
      <c r="AM37" s="228" t="n"/>
      <c r="AN37" s="228" t="n"/>
      <c r="AO37" s="228" t="n"/>
      <c r="AP37" s="228" t="n"/>
      <c r="AQ37" s="228" t="n"/>
      <c r="AR37" s="228" t="n"/>
      <c r="AS37" s="228" t="n"/>
      <c r="AT37" s="228" t="n"/>
      <c r="AU37" s="228" t="n"/>
      <c r="AV37" s="228" t="n"/>
      <c r="AW37" s="228" t="n"/>
      <c r="AX37" s="228" t="n"/>
      <c r="AY37" s="228" t="n"/>
      <c r="AZ37" s="228" t="n"/>
      <c r="BA37" s="228" t="n"/>
      <c r="BB37" s="228" t="n"/>
      <c r="BC37" s="228" t="n"/>
      <c r="BD37" s="228" t="n"/>
      <c r="BE37" s="228" t="n"/>
      <c r="BF37" s="228" t="n"/>
      <c r="BG37" s="228" t="n"/>
      <c r="BH37" s="228" t="n"/>
      <c r="BI37" s="228" t="n"/>
      <c r="BJ37" s="228" t="n"/>
      <c r="BK37" s="228" t="n"/>
      <c r="BL37" s="228" t="n"/>
      <c r="BM37" s="228" t="n"/>
      <c r="BN37" s="228" t="n"/>
      <c r="BO37" s="228" t="n"/>
      <c r="BP37" s="228" t="n"/>
      <c r="BQ37" s="228" t="n"/>
      <c r="BR37" s="228" t="n"/>
      <c r="BS37" s="228" t="n"/>
      <c r="BT37" s="228" t="n"/>
      <c r="BU37" s="228" t="n"/>
      <c r="BV37" s="228" t="n"/>
      <c r="BW37" s="228" t="n"/>
      <c r="BX37" s="228" t="n"/>
      <c r="BY37" s="228" t="n"/>
      <c r="BZ37" s="228" t="n"/>
      <c r="CA37" s="228" t="n"/>
      <c r="CB37" s="228" t="n"/>
      <c r="CC37" s="228" t="n"/>
      <c r="CD37" s="228" t="n"/>
      <c r="CE37" s="228" t="n"/>
      <c r="CF37" s="228" t="n"/>
      <c r="CG37" s="228" t="n"/>
      <c r="CH37" s="228" t="n"/>
      <c r="CI37" s="228" t="n"/>
      <c r="CJ37" s="228" t="n"/>
      <c r="CK37" s="228" t="n"/>
      <c r="CL37" s="228" t="n"/>
      <c r="CM37" s="228" t="n"/>
      <c r="CN37" s="228" t="n"/>
      <c r="CO37" s="228" t="n"/>
      <c r="CP37" s="228" t="n"/>
      <c r="CQ37" s="228" t="n"/>
      <c r="CR37" s="228" t="n"/>
      <c r="CS37" s="228" t="n"/>
      <c r="CT37" s="228" t="n"/>
      <c r="CU37" s="228" t="n"/>
      <c r="CV37" s="228" t="n"/>
      <c r="CW37" s="228" t="n"/>
      <c r="CX37" s="228" t="n"/>
      <c r="CY37" s="228" t="n"/>
      <c r="CZ37" s="228" t="n"/>
      <c r="DA37" s="228" t="n"/>
      <c r="DB37" s="228" t="n"/>
      <c r="DC37" s="228" t="n"/>
      <c r="DD37" s="228" t="n"/>
      <c r="DE37" s="228" t="n"/>
      <c r="DF37" s="228" t="n"/>
      <c r="DG37" s="228" t="n"/>
      <c r="DH37" s="228" t="n"/>
      <c r="DI37" s="228" t="n"/>
      <c r="DJ37" s="228" t="n"/>
      <c r="DK37" s="228" t="n"/>
      <c r="DL37" s="228" t="n"/>
      <c r="DM37" s="228" t="n"/>
      <c r="DN37" s="228" t="n"/>
      <c r="DO37" s="228" t="n"/>
      <c r="DP37" s="228" t="n"/>
      <c r="DQ37" s="228" t="n"/>
      <c r="DR37" s="228" t="n"/>
      <c r="DS37" s="228" t="n"/>
      <c r="DT37" s="228" t="n"/>
    </row>
    <row r="38" ht="15" customHeight="1" s="148">
      <c r="A38" s="112" t="inlineStr">
        <is>
          <t>Management Fee (Annual)</t>
        </is>
      </c>
      <c r="C38" s="228">
        <f>SUM(D38:DT38)</f>
        <v/>
      </c>
      <c r="D38" s="228">
        <f>IF(D$11=0,0,-(Assumptions!$P$19)*(1-(Assumptions!$P$7))*((D$25+D$30)+(IF(Assumptions!$F$13=0,0,D$15/Assumptions!$F$13))*(-(SUM(D$39,D$40,D$41,D$42,D$43,D$44,D$45,D$46,D$47,D$48,D$49,D$50))))/(1-(Assumptions!$P$19)*(1-(Assumptions!$P$7))*(IF(Assumptions!$F$13=0,0,D$15/Assumptions!$F$13))))</f>
        <v/>
      </c>
      <c r="E38" s="228">
        <f>IF(E$11=0,0,-(Assumptions!$P$19)*(1-(Assumptions!$P$7))*((E$25+E$30)+(IF(Assumptions!$F$13=0,0,E$15/Assumptions!$F$13))*(-(SUM(E$39,E$40,E$41,E$42,E$43,E$44,E$45,E$46,E$47,E$48,E$49,E$50))))/(1-(Assumptions!$P$19)*(1-(Assumptions!$P$7))*(IF(Assumptions!$F$13=0,0,E$15/Assumptions!$F$13))))</f>
        <v/>
      </c>
      <c r="F38" s="228">
        <f>IF(F$11=0,0,-(Assumptions!$P$19)*(1-(Assumptions!$P$7))*((F$25+F$30)+(IF(Assumptions!$F$13=0,0,F$15/Assumptions!$F$13))*(-(SUM(F$39,F$40,F$41,F$42,F$43,F$44,F$45,F$46,F$47,F$48,F$49,F$50))))/(1-(Assumptions!$P$19)*(1-(Assumptions!$P$7))*(IF(Assumptions!$F$13=0,0,F$15/Assumptions!$F$13))))</f>
        <v/>
      </c>
      <c r="G38" s="228">
        <f>IF(G$11=0,0,-(Assumptions!$P$19)*(1-(Assumptions!$P$7))*((G$25+G$30)+(IF(Assumptions!$F$13=0,0,G$15/Assumptions!$F$13))*(-(SUM(G$39,G$40,G$41,G$42,G$43,G$44,G$45,G$46,G$47,G$48,G$49,G$50))))/(1-(Assumptions!$P$19)*(1-(Assumptions!$P$7))*(IF(Assumptions!$F$13=0,0,G$15/Assumptions!$F$13))))</f>
        <v/>
      </c>
      <c r="H38" s="228">
        <f>IF(H$11=0,0,-(Assumptions!$P$19)*(1-(Assumptions!$P$7))*((H$25+H$30)+(IF(Assumptions!$F$13=0,0,H$15/Assumptions!$F$13))*(-(SUM(H$39,H$40,H$41,H$42,H$43,H$44,H$45,H$46,H$47,H$48,H$49,H$50))))/(1-(Assumptions!$P$19)*(1-(Assumptions!$P$7))*(IF(Assumptions!$F$13=0,0,H$15/Assumptions!$F$13))))</f>
        <v/>
      </c>
      <c r="I38" s="228">
        <f>IF(I$11=0,0,-(Assumptions!$P$19)*(1-(Assumptions!$P$7))*((I$25+I$30)+(IF(Assumptions!$F$13=0,0,I$15/Assumptions!$F$13))*(-(SUM(I$39,I$40,I$41,I$42,I$43,I$44,I$45,I$46,I$47,I$48,I$49,I$50))))/(1-(Assumptions!$P$19)*(1-(Assumptions!$P$7))*(IF(Assumptions!$F$13=0,0,I$15/Assumptions!$F$13))))</f>
        <v/>
      </c>
      <c r="J38" s="228">
        <f>IF(J$11=0,0,-(Assumptions!$P$19)*(1-(Assumptions!$P$7))*((J$25+J$30)+(IF(Assumptions!$F$13=0,0,J$15/Assumptions!$F$13))*(-(SUM(J$39,J$40,J$41,J$42,J$43,J$44,J$45,J$46,J$47,J$48,J$49,J$50))))/(1-(Assumptions!$P$19)*(1-(Assumptions!$P$7))*(IF(Assumptions!$F$13=0,0,J$15/Assumptions!$F$13))))</f>
        <v/>
      </c>
      <c r="K38" s="228">
        <f>IF(K$11=0,0,-(Assumptions!$P$19)*(1-(Assumptions!$P$7))*((K$25+K$30)+(IF(Assumptions!$F$13=0,0,K$15/Assumptions!$F$13))*(-(SUM(K$39,K$40,K$41,K$42,K$43,K$44,K$45,K$46,K$47,K$48,K$49,K$50))))/(1-(Assumptions!$P$19)*(1-(Assumptions!$P$7))*(IF(Assumptions!$F$13=0,0,K$15/Assumptions!$F$13))))</f>
        <v/>
      </c>
      <c r="L38" s="228">
        <f>IF(L$11=0,0,-(Assumptions!$P$19)*(1-(Assumptions!$P$7))*((L$25+L$30)+(IF(Assumptions!$F$13=0,0,L$15/Assumptions!$F$13))*(-(SUM(L$39,L$40,L$41,L$42,L$43,L$44,L$45,L$46,L$47,L$48,L$49,L$50))))/(1-(Assumptions!$P$19)*(1-(Assumptions!$P$7))*(IF(Assumptions!$F$13=0,0,L$15/Assumptions!$F$13))))</f>
        <v/>
      </c>
      <c r="M38" s="228">
        <f>IF(M$11=0,0,-(Assumptions!$P$19)*(1-(Assumptions!$P$7))*((M$25+M$30)+(IF(Assumptions!$F$13=0,0,M$15/Assumptions!$F$13))*(-(SUM(M$39,M$40,M$41,M$42,M$43,M$44,M$45,M$46,M$47,M$48,M$49,M$50))))/(1-(Assumptions!$P$19)*(1-(Assumptions!$P$7))*(IF(Assumptions!$F$13=0,0,M$15/Assumptions!$F$13))))</f>
        <v/>
      </c>
      <c r="N38" s="228">
        <f>IF(N$11=0,0,-(Assumptions!$P$19)*(1-(Assumptions!$P$7))*((N$25+N$30)+(IF(Assumptions!$F$13=0,0,N$15/Assumptions!$F$13))*(-(SUM(N$39,N$40,N$41,N$42,N$43,N$44,N$45,N$46,N$47,N$48,N$49,N$50))))/(1-(Assumptions!$P$19)*(1-(Assumptions!$P$7))*(IF(Assumptions!$F$13=0,0,N$15/Assumptions!$F$13))))</f>
        <v/>
      </c>
      <c r="O38" s="228">
        <f>IF(O$11=0,0,-(Assumptions!$P$19)*(1-(Assumptions!$P$7))*((O$25+O$30)+(IF(Assumptions!$F$13=0,0,O$15/Assumptions!$F$13))*(-(SUM(O$39,O$40,O$41,O$42,O$43,O$44,O$45,O$46,O$47,O$48,O$49,O$50))))/(1-(Assumptions!$P$19)*(1-(Assumptions!$P$7))*(IF(Assumptions!$F$13=0,0,O$15/Assumptions!$F$13))))</f>
        <v/>
      </c>
      <c r="P38" s="228">
        <f>IF(P$11=0,0,-(Assumptions!$P$19)*(1-(Assumptions!$P$7))*((P$25+P$30)+(IF(Assumptions!$F$13=0,0,P$15/Assumptions!$F$13))*(-(SUM(P$39,P$40,P$41,P$42,P$43,P$44,P$45,P$46,P$47,P$48,P$49,P$50))))/(1-(Assumptions!$P$19)*(1-(Assumptions!$P$7))*(IF(Assumptions!$F$13=0,0,P$15/Assumptions!$F$13))))</f>
        <v/>
      </c>
      <c r="Q38" s="228">
        <f>IF(Q$11=0,0,-(Assumptions!$P$19)*(1-(Assumptions!$P$7))*((Q$25+Q$30)+(IF(Assumptions!$F$13=0,0,Q$15/Assumptions!$F$13))*(-(SUM(Q$39,Q$40,Q$41,Q$42,Q$43,Q$44,Q$45,Q$46,Q$47,Q$48,Q$49,Q$50))))/(1-(Assumptions!$P$19)*(1-(Assumptions!$P$7))*(IF(Assumptions!$F$13=0,0,Q$15/Assumptions!$F$13))))</f>
        <v/>
      </c>
      <c r="R38" s="228">
        <f>IF(R$11=0,0,-(Assumptions!$P$19)*(1-(Assumptions!$P$7))*((R$25+R$30)+(IF(Assumptions!$F$13=0,0,R$15/Assumptions!$F$13))*(-(SUM(R$39,R$40,R$41,R$42,R$43,R$44,R$45,R$46,R$47,R$48,R$49,R$50))))/(1-(Assumptions!$P$19)*(1-(Assumptions!$P$7))*(IF(Assumptions!$F$13=0,0,R$15/Assumptions!$F$13))))</f>
        <v/>
      </c>
      <c r="S38" s="228">
        <f>IF(S$11=0,0,-(Assumptions!$P$19)*(1-(Assumptions!$P$7))*((S$25+S$30)+(IF(Assumptions!$F$13=0,0,S$15/Assumptions!$F$13))*(-(SUM(S$39,S$40,S$41,S$42,S$43,S$44,S$45,S$46,S$47,S$48,S$49,S$50))))/(1-(Assumptions!$P$19)*(1-(Assumptions!$P$7))*(IF(Assumptions!$F$13=0,0,S$15/Assumptions!$F$13))))</f>
        <v/>
      </c>
      <c r="T38" s="228">
        <f>IF(T$11=0,0,-(Assumptions!$P$19)*(1-(Assumptions!$P$7))*((T$25+T$30)+(IF(Assumptions!$F$13=0,0,T$15/Assumptions!$F$13))*(-(SUM(T$39,T$40,T$41,T$42,T$43,T$44,T$45,T$46,T$47,T$48,T$49,T$50))))/(1-(Assumptions!$P$19)*(1-(Assumptions!$P$7))*(IF(Assumptions!$F$13=0,0,T$15/Assumptions!$F$13))))</f>
        <v/>
      </c>
      <c r="U38" s="228">
        <f>IF(U$11=0,0,-(Assumptions!$P$19)*(1-(Assumptions!$P$7))*((U$25+U$30)+(IF(Assumptions!$F$13=0,0,U$15/Assumptions!$F$13))*(-(SUM(U$39,U$40,U$41,U$42,U$43,U$44,U$45,U$46,U$47,U$48,U$49,U$50))))/(1-(Assumptions!$P$19)*(1-(Assumptions!$P$7))*(IF(Assumptions!$F$13=0,0,U$15/Assumptions!$F$13))))</f>
        <v/>
      </c>
      <c r="V38" s="228">
        <f>IF(V$11=0,0,-(Assumptions!$P$19)*(1-(Assumptions!$P$7))*((V$25+V$30)+(IF(Assumptions!$F$13=0,0,V$15/Assumptions!$F$13))*(-(SUM(V$39,V$40,V$41,V$42,V$43,V$44,V$45,V$46,V$47,V$48,V$49,V$50))))/(1-(Assumptions!$P$19)*(1-(Assumptions!$P$7))*(IF(Assumptions!$F$13=0,0,V$15/Assumptions!$F$13))))</f>
        <v/>
      </c>
      <c r="W38" s="228">
        <f>IF(W$11=0,0,-(Assumptions!$P$19)*(1-(Assumptions!$P$7))*((W$25+W$30)+(IF(Assumptions!$F$13=0,0,W$15/Assumptions!$F$13))*(-(SUM(W$39,W$40,W$41,W$42,W$43,W$44,W$45,W$46,W$47,W$48,W$49,W$50))))/(1-(Assumptions!$P$19)*(1-(Assumptions!$P$7))*(IF(Assumptions!$F$13=0,0,W$15/Assumptions!$F$13))))</f>
        <v/>
      </c>
      <c r="X38" s="228">
        <f>IF(X$11=0,0,-(Assumptions!$P$19)*(1-(Assumptions!$P$7))*((X$25+X$30)+(IF(Assumptions!$F$13=0,0,X$15/Assumptions!$F$13))*(-(SUM(X$39,X$40,X$41,X$42,X$43,X$44,X$45,X$46,X$47,X$48,X$49,X$50))))/(1-(Assumptions!$P$19)*(1-(Assumptions!$P$7))*(IF(Assumptions!$F$13=0,0,X$15/Assumptions!$F$13))))</f>
        <v/>
      </c>
      <c r="Y38" s="228">
        <f>IF(Y$11=0,0,-(Assumptions!$P$19)*(1-(Assumptions!$P$7))*((Y$25+Y$30)+(IF(Assumptions!$F$13=0,0,Y$15/Assumptions!$F$13))*(-(SUM(Y$39,Y$40,Y$41,Y$42,Y$43,Y$44,Y$45,Y$46,Y$47,Y$48,Y$49,Y$50))))/(1-(Assumptions!$P$19)*(1-(Assumptions!$P$7))*(IF(Assumptions!$F$13=0,0,Y$15/Assumptions!$F$13))))</f>
        <v/>
      </c>
      <c r="Z38" s="228">
        <f>IF(Z$11=0,0,-(Assumptions!$P$19)*(1-(Assumptions!$P$7))*((Z$25+Z$30)+(IF(Assumptions!$F$13=0,0,Z$15/Assumptions!$F$13))*(-(SUM(Z$39,Z$40,Z$41,Z$42,Z$43,Z$44,Z$45,Z$46,Z$47,Z$48,Z$49,Z$50))))/(1-(Assumptions!$P$19)*(1-(Assumptions!$P$7))*(IF(Assumptions!$F$13=0,0,Z$15/Assumptions!$F$13))))</f>
        <v/>
      </c>
      <c r="AA38" s="228">
        <f>IF(AA$11=0,0,-(Assumptions!$P$19)*(1-(Assumptions!$P$7))*((AA$25+AA$30)+(IF(Assumptions!$F$13=0,0,AA$15/Assumptions!$F$13))*(-(SUM(AA$39,AA$40,AA$41,AA$42,AA$43,AA$44,AA$45,AA$46,AA$47,AA$48,AA$49,AA$50))))/(1-(Assumptions!$P$19)*(1-(Assumptions!$P$7))*(IF(Assumptions!$F$13=0,0,AA$15/Assumptions!$F$13))))</f>
        <v/>
      </c>
      <c r="AB38" s="228">
        <f>IF(AB$11=0,0,-(Assumptions!$P$19)*(1-(Assumptions!$P$7))*((AB$25+AB$30)+(IF(Assumptions!$F$13=0,0,AB$15/Assumptions!$F$13))*(-(SUM(AB$39,AB$40,AB$41,AB$42,AB$43,AB$44,AB$45,AB$46,AB$47,AB$48,AB$49,AB$50))))/(1-(Assumptions!$P$19)*(1-(Assumptions!$P$7))*(IF(Assumptions!$F$13=0,0,AB$15/Assumptions!$F$13))))</f>
        <v/>
      </c>
      <c r="AC38" s="228">
        <f>IF(AC$11=0,0,-(Assumptions!$P$19)*(1-(Assumptions!$P$7))*((AC$25+AC$30)+(IF(Assumptions!$F$13=0,0,AC$15/Assumptions!$F$13))*(-(SUM(AC$39,AC$40,AC$41,AC$42,AC$43,AC$44,AC$45,AC$46,AC$47,AC$48,AC$49,AC$50))))/(1-(Assumptions!$P$19)*(1-(Assumptions!$P$7))*(IF(Assumptions!$F$13=0,0,AC$15/Assumptions!$F$13))))</f>
        <v/>
      </c>
      <c r="AD38" s="228">
        <f>IF(AD$11=0,0,-(Assumptions!$P$19)*(1-(Assumptions!$P$7))*((AD$25+AD$30)+(IF(Assumptions!$F$13=0,0,AD$15/Assumptions!$F$13))*(-(SUM(AD$39,AD$40,AD$41,AD$42,AD$43,AD$44,AD$45,AD$46,AD$47,AD$48,AD$49,AD$50))))/(1-(Assumptions!$P$19)*(1-(Assumptions!$P$7))*(IF(Assumptions!$F$13=0,0,AD$15/Assumptions!$F$13))))</f>
        <v/>
      </c>
      <c r="AE38" s="228">
        <f>IF(AE$11=0,0,-(Assumptions!$P$19)*(1-(Assumptions!$P$7))*((AE$25+AE$30)+(IF(Assumptions!$F$13=0,0,AE$15/Assumptions!$F$13))*(-(SUM(AE$39,AE$40,AE$41,AE$42,AE$43,AE$44,AE$45,AE$46,AE$47,AE$48,AE$49,AE$50))))/(1-(Assumptions!$P$19)*(1-(Assumptions!$P$7))*(IF(Assumptions!$F$13=0,0,AE$15/Assumptions!$F$13))))</f>
        <v/>
      </c>
      <c r="AF38" s="228">
        <f>IF(AF$11=0,0,-(Assumptions!$P$19)*(1-(Assumptions!$P$7))*((AF$25+AF$30)+(IF(Assumptions!$F$13=0,0,AF$15/Assumptions!$F$13))*(-(SUM(AF$39,AF$40,AF$41,AF$42,AF$43,AF$44,AF$45,AF$46,AF$47,AF$48,AF$49,AF$50))))/(1-(Assumptions!$P$19)*(1-(Assumptions!$P$7))*(IF(Assumptions!$F$13=0,0,AF$15/Assumptions!$F$13))))</f>
        <v/>
      </c>
      <c r="AG38" s="228">
        <f>IF(AG$11=0,0,-(Assumptions!$P$19)*(1-(Assumptions!$P$7))*((AG$25+AG$30)+(IF(Assumptions!$F$13=0,0,AG$15/Assumptions!$F$13))*(-(SUM(AG$39,AG$40,AG$41,AG$42,AG$43,AG$44,AG$45,AG$46,AG$47,AG$48,AG$49,AG$50))))/(1-(Assumptions!$P$19)*(1-(Assumptions!$P$7))*(IF(Assumptions!$F$13=0,0,AG$15/Assumptions!$F$13))))</f>
        <v/>
      </c>
      <c r="AH38" s="228">
        <f>IF(AH$11=0,0,-(Assumptions!$P$19)*(1-(Assumptions!$P$7))*((AH$25+AH$30)+(IF(Assumptions!$F$13=0,0,AH$15/Assumptions!$F$13))*(-(SUM(AH$39,AH$40,AH$41,AH$42,AH$43,AH$44,AH$45,AH$46,AH$47,AH$48,AH$49,AH$50))))/(1-(Assumptions!$P$19)*(1-(Assumptions!$P$7))*(IF(Assumptions!$F$13=0,0,AH$15/Assumptions!$F$13))))</f>
        <v/>
      </c>
      <c r="AI38" s="228">
        <f>IF(AI$11=0,0,-(Assumptions!$P$19)*(1-(Assumptions!$P$7))*((AI$25+AI$30)+(IF(Assumptions!$F$13=0,0,AI$15/Assumptions!$F$13))*(-(SUM(AI$39,AI$40,AI$41,AI$42,AI$43,AI$44,AI$45,AI$46,AI$47,AI$48,AI$49,AI$50))))/(1-(Assumptions!$P$19)*(1-(Assumptions!$P$7))*(IF(Assumptions!$F$13=0,0,AI$15/Assumptions!$F$13))))</f>
        <v/>
      </c>
      <c r="AJ38" s="228">
        <f>IF(AJ$11=0,0,-(Assumptions!$P$19)*(1-(Assumptions!$P$7))*((AJ$25+AJ$30)+(IF(Assumptions!$F$13=0,0,AJ$15/Assumptions!$F$13))*(-(SUM(AJ$39,AJ$40,AJ$41,AJ$42,AJ$43,AJ$44,AJ$45,AJ$46,AJ$47,AJ$48,AJ$49,AJ$50))))/(1-(Assumptions!$P$19)*(1-(Assumptions!$P$7))*(IF(Assumptions!$F$13=0,0,AJ$15/Assumptions!$F$13))))</f>
        <v/>
      </c>
      <c r="AK38" s="228">
        <f>IF(AK$11=0,0,-(Assumptions!$P$19)*(1-(Assumptions!$P$7))*((AK$25+AK$30)+(IF(Assumptions!$F$13=0,0,AK$15/Assumptions!$F$13))*(-(SUM(AK$39,AK$40,AK$41,AK$42,AK$43,AK$44,AK$45,AK$46,AK$47,AK$48,AK$49,AK$50))))/(1-(Assumptions!$P$19)*(1-(Assumptions!$P$7))*(IF(Assumptions!$F$13=0,0,AK$15/Assumptions!$F$13))))</f>
        <v/>
      </c>
      <c r="AL38" s="228">
        <f>IF(AL$11=0,0,-(Assumptions!$P$19)*(1-(Assumptions!$P$7))*((AL$25+AL$30)+(IF(Assumptions!$F$13=0,0,AL$15/Assumptions!$F$13))*(-(SUM(AL$39,AL$40,AL$41,AL$42,AL$43,AL$44,AL$45,AL$46,AL$47,AL$48,AL$49,AL$50))))/(1-(Assumptions!$P$19)*(1-(Assumptions!$P$7))*(IF(Assumptions!$F$13=0,0,AL$15/Assumptions!$F$13))))</f>
        <v/>
      </c>
      <c r="AM38" s="228">
        <f>IF(AM$11=0,0,-(Assumptions!$P$19)*(1-(Assumptions!$P$7))*((AM$25+AM$30)+(IF(Assumptions!$F$13=0,0,AM$15/Assumptions!$F$13))*(-(SUM(AM$39,AM$40,AM$41,AM$42,AM$43,AM$44,AM$45,AM$46,AM$47,AM$48,AM$49,AM$50))))/(1-(Assumptions!$P$19)*(1-(Assumptions!$P$7))*(IF(Assumptions!$F$13=0,0,AM$15/Assumptions!$F$13))))</f>
        <v/>
      </c>
      <c r="AN38" s="228">
        <f>IF(AN$11=0,0,-(Assumptions!$P$19)*(1-(Assumptions!$P$7))*((AN$25+AN$30)+(IF(Assumptions!$F$13=0,0,AN$15/Assumptions!$F$13))*(-(SUM(AN$39,AN$40,AN$41,AN$42,AN$43,AN$44,AN$45,AN$46,AN$47,AN$48,AN$49,AN$50))))/(1-(Assumptions!$P$19)*(1-(Assumptions!$P$7))*(IF(Assumptions!$F$13=0,0,AN$15/Assumptions!$F$13))))</f>
        <v/>
      </c>
      <c r="AO38" s="228">
        <f>IF(AO$11=0,0,-(Assumptions!$P$19)*(1-(Assumptions!$P$7))*((AO$25+AO$30)+(IF(Assumptions!$F$13=0,0,AO$15/Assumptions!$F$13))*(-(SUM(AO$39,AO$40,AO$41,AO$42,AO$43,AO$44,AO$45,AO$46,AO$47,AO$48,AO$49,AO$50))))/(1-(Assumptions!$P$19)*(1-(Assumptions!$P$7))*(IF(Assumptions!$F$13=0,0,AO$15/Assumptions!$F$13))))</f>
        <v/>
      </c>
      <c r="AP38" s="228">
        <f>IF(AP$11=0,0,-(Assumptions!$P$19)*(1-(Assumptions!$P$7))*((AP$25+AP$30)+(IF(Assumptions!$F$13=0,0,AP$15/Assumptions!$F$13))*(-(SUM(AP$39,AP$40,AP$41,AP$42,AP$43,AP$44,AP$45,AP$46,AP$47,AP$48,AP$49,AP$50))))/(1-(Assumptions!$P$19)*(1-(Assumptions!$P$7))*(IF(Assumptions!$F$13=0,0,AP$15/Assumptions!$F$13))))</f>
        <v/>
      </c>
      <c r="AQ38" s="228">
        <f>IF(AQ$11=0,0,-(Assumptions!$P$19)*(1-(Assumptions!$P$7))*((AQ$25+AQ$30)+(IF(Assumptions!$F$13=0,0,AQ$15/Assumptions!$F$13))*(-(SUM(AQ$39,AQ$40,AQ$41,AQ$42,AQ$43,AQ$44,AQ$45,AQ$46,AQ$47,AQ$48,AQ$49,AQ$50))))/(1-(Assumptions!$P$19)*(1-(Assumptions!$P$7))*(IF(Assumptions!$F$13=0,0,AQ$15/Assumptions!$F$13))))</f>
        <v/>
      </c>
      <c r="AR38" s="228">
        <f>IF(AR$11=0,0,-(Assumptions!$P$19)*(1-(Assumptions!$P$7))*((AR$25+AR$30)+(IF(Assumptions!$F$13=0,0,AR$15/Assumptions!$F$13))*(-(SUM(AR$39,AR$40,AR$41,AR$42,AR$43,AR$44,AR$45,AR$46,AR$47,AR$48,AR$49,AR$50))))/(1-(Assumptions!$P$19)*(1-(Assumptions!$P$7))*(IF(Assumptions!$F$13=0,0,AR$15/Assumptions!$F$13))))</f>
        <v/>
      </c>
      <c r="AS38" s="228">
        <f>IF(AS$11=0,0,-(Assumptions!$P$19)*(1-(Assumptions!$P$7))*((AS$25+AS$30)+(IF(Assumptions!$F$13=0,0,AS$15/Assumptions!$F$13))*(-(SUM(AS$39,AS$40,AS$41,AS$42,AS$43,AS$44,AS$45,AS$46,AS$47,AS$48,AS$49,AS$50))))/(1-(Assumptions!$P$19)*(1-(Assumptions!$P$7))*(IF(Assumptions!$F$13=0,0,AS$15/Assumptions!$F$13))))</f>
        <v/>
      </c>
      <c r="AT38" s="228">
        <f>IF(AT$11=0,0,-(Assumptions!$P$19)*(1-(Assumptions!$P$7))*((AT$25+AT$30)+(IF(Assumptions!$F$13=0,0,AT$15/Assumptions!$F$13))*(-(SUM(AT$39,AT$40,AT$41,AT$42,AT$43,AT$44,AT$45,AT$46,AT$47,AT$48,AT$49,AT$50))))/(1-(Assumptions!$P$19)*(1-(Assumptions!$P$7))*(IF(Assumptions!$F$13=0,0,AT$15/Assumptions!$F$13))))</f>
        <v/>
      </c>
      <c r="AU38" s="228">
        <f>IF(AU$11=0,0,-(Assumptions!$P$19)*(1-(Assumptions!$P$7))*((AU$25+AU$30)+(IF(Assumptions!$F$13=0,0,AU$15/Assumptions!$F$13))*(-(SUM(AU$39,AU$40,AU$41,AU$42,AU$43,AU$44,AU$45,AU$46,AU$47,AU$48,AU$49,AU$50))))/(1-(Assumptions!$P$19)*(1-(Assumptions!$P$7))*(IF(Assumptions!$F$13=0,0,AU$15/Assumptions!$F$13))))</f>
        <v/>
      </c>
      <c r="AV38" s="228">
        <f>IF(AV$11=0,0,-(Assumptions!$P$19)*(1-(Assumptions!$P$7))*((AV$25+AV$30)+(IF(Assumptions!$F$13=0,0,AV$15/Assumptions!$F$13))*(-(SUM(AV$39,AV$40,AV$41,AV$42,AV$43,AV$44,AV$45,AV$46,AV$47,AV$48,AV$49,AV$50))))/(1-(Assumptions!$P$19)*(1-(Assumptions!$P$7))*(IF(Assumptions!$F$13=0,0,AV$15/Assumptions!$F$13))))</f>
        <v/>
      </c>
      <c r="AW38" s="228">
        <f>IF(AW$11=0,0,-(Assumptions!$P$19)*(1-(Assumptions!$P$7))*((AW$25+AW$30)+(IF(Assumptions!$F$13=0,0,AW$15/Assumptions!$F$13))*(-(SUM(AW$39,AW$40,AW$41,AW$42,AW$43,AW$44,AW$45,AW$46,AW$47,AW$48,AW$49,AW$50))))/(1-(Assumptions!$P$19)*(1-(Assumptions!$P$7))*(IF(Assumptions!$F$13=0,0,AW$15/Assumptions!$F$13))))</f>
        <v/>
      </c>
      <c r="AX38" s="228">
        <f>IF(AX$11=0,0,-(Assumptions!$P$19)*(1-(Assumptions!$P$7))*((AX$25+AX$30)+(IF(Assumptions!$F$13=0,0,AX$15/Assumptions!$F$13))*(-(SUM(AX$39,AX$40,AX$41,AX$42,AX$43,AX$44,AX$45,AX$46,AX$47,AX$48,AX$49,AX$50))))/(1-(Assumptions!$P$19)*(1-(Assumptions!$P$7))*(IF(Assumptions!$F$13=0,0,AX$15/Assumptions!$F$13))))</f>
        <v/>
      </c>
      <c r="AY38" s="228">
        <f>IF(AY$11=0,0,-(Assumptions!$P$19)*(1-(Assumptions!$P$7))*((AY$25+AY$30)+(IF(Assumptions!$F$13=0,0,AY$15/Assumptions!$F$13))*(-(SUM(AY$39,AY$40,AY$41,AY$42,AY$43,AY$44,AY$45,AY$46,AY$47,AY$48,AY$49,AY$50))))/(1-(Assumptions!$P$19)*(1-(Assumptions!$P$7))*(IF(Assumptions!$F$13=0,0,AY$15/Assumptions!$F$13))))</f>
        <v/>
      </c>
      <c r="AZ38" s="228">
        <f>IF(AZ$11=0,0,-(Assumptions!$P$19)*(1-(Assumptions!$P$7))*((AZ$25+AZ$30)+(IF(Assumptions!$F$13=0,0,AZ$15/Assumptions!$F$13))*(-(SUM(AZ$39,AZ$40,AZ$41,AZ$42,AZ$43,AZ$44,AZ$45,AZ$46,AZ$47,AZ$48,AZ$49,AZ$50))))/(1-(Assumptions!$P$19)*(1-(Assumptions!$P$7))*(IF(Assumptions!$F$13=0,0,AZ$15/Assumptions!$F$13))))</f>
        <v/>
      </c>
      <c r="BA38" s="228">
        <f>IF(BA$11=0,0,-(Assumptions!$P$19)*(1-(Assumptions!$P$7))*((BA$25+BA$30)+(IF(Assumptions!$F$13=0,0,BA$15/Assumptions!$F$13))*(-(SUM(BA$39,BA$40,BA$41,BA$42,BA$43,BA$44,BA$45,BA$46,BA$47,BA$48,BA$49,BA$50))))/(1-(Assumptions!$P$19)*(1-(Assumptions!$P$7))*(IF(Assumptions!$F$13=0,0,BA$15/Assumptions!$F$13))))</f>
        <v/>
      </c>
      <c r="BB38" s="228">
        <f>IF(BB$11=0,0,-(Assumptions!$P$19)*(1-(Assumptions!$P$7))*((BB$25+BB$30)+(IF(Assumptions!$F$13=0,0,BB$15/Assumptions!$F$13))*(-(SUM(BB$39,BB$40,BB$41,BB$42,BB$43,BB$44,BB$45,BB$46,BB$47,BB$48,BB$49,BB$50))))/(1-(Assumptions!$P$19)*(1-(Assumptions!$P$7))*(IF(Assumptions!$F$13=0,0,BB$15/Assumptions!$F$13))))</f>
        <v/>
      </c>
      <c r="BC38" s="228">
        <f>IF(BC$11=0,0,-(Assumptions!$P$19)*(1-(Assumptions!$P$7))*((BC$25+BC$30)+(IF(Assumptions!$F$13=0,0,BC$15/Assumptions!$F$13))*(-(SUM(BC$39,BC$40,BC$41,BC$42,BC$43,BC$44,BC$45,BC$46,BC$47,BC$48,BC$49,BC$50))))/(1-(Assumptions!$P$19)*(1-(Assumptions!$P$7))*(IF(Assumptions!$F$13=0,0,BC$15/Assumptions!$F$13))))</f>
        <v/>
      </c>
      <c r="BD38" s="228">
        <f>IF(BD$11=0,0,-(Assumptions!$P$19)*(1-(Assumptions!$P$7))*((BD$25+BD$30)+(IF(Assumptions!$F$13=0,0,BD$15/Assumptions!$F$13))*(-(SUM(BD$39,BD$40,BD$41,BD$42,BD$43,BD$44,BD$45,BD$46,BD$47,BD$48,BD$49,BD$50))))/(1-(Assumptions!$P$19)*(1-(Assumptions!$P$7))*(IF(Assumptions!$F$13=0,0,BD$15/Assumptions!$F$13))))</f>
        <v/>
      </c>
      <c r="BE38" s="228">
        <f>IF(BE$11=0,0,-(Assumptions!$P$19)*(1-(Assumptions!$P$7))*((BE$25+BE$30)+(IF(Assumptions!$F$13=0,0,BE$15/Assumptions!$F$13))*(-(SUM(BE$39,BE$40,BE$41,BE$42,BE$43,BE$44,BE$45,BE$46,BE$47,BE$48,BE$49,BE$50))))/(1-(Assumptions!$P$19)*(1-(Assumptions!$P$7))*(IF(Assumptions!$F$13=0,0,BE$15/Assumptions!$F$13))))</f>
        <v/>
      </c>
      <c r="BF38" s="228">
        <f>IF(BF$11=0,0,-(Assumptions!$P$19)*(1-(Assumptions!$P$7))*((BF$25+BF$30)+(IF(Assumptions!$F$13=0,0,BF$15/Assumptions!$F$13))*(-(SUM(BF$39,BF$40,BF$41,BF$42,BF$43,BF$44,BF$45,BF$46,BF$47,BF$48,BF$49,BF$50))))/(1-(Assumptions!$P$19)*(1-(Assumptions!$P$7))*(IF(Assumptions!$F$13=0,0,BF$15/Assumptions!$F$13))))</f>
        <v/>
      </c>
      <c r="BG38" s="228">
        <f>IF(BG$11=0,0,-(Assumptions!$P$19)*(1-(Assumptions!$P$7))*((BG$25+BG$30)+(IF(Assumptions!$F$13=0,0,BG$15/Assumptions!$F$13))*(-(SUM(BG$39,BG$40,BG$41,BG$42,BG$43,BG$44,BG$45,BG$46,BG$47,BG$48,BG$49,BG$50))))/(1-(Assumptions!$P$19)*(1-(Assumptions!$P$7))*(IF(Assumptions!$F$13=0,0,BG$15/Assumptions!$F$13))))</f>
        <v/>
      </c>
      <c r="BH38" s="228">
        <f>IF(BH$11=0,0,-(Assumptions!$P$19)*(1-(Assumptions!$P$7))*((BH$25+BH$30)+(IF(Assumptions!$F$13=0,0,BH$15/Assumptions!$F$13))*(-(SUM(BH$39,BH$40,BH$41,BH$42,BH$43,BH$44,BH$45,BH$46,BH$47,BH$48,BH$49,BH$50))))/(1-(Assumptions!$P$19)*(1-(Assumptions!$P$7))*(IF(Assumptions!$F$13=0,0,BH$15/Assumptions!$F$13))))</f>
        <v/>
      </c>
      <c r="BI38" s="228">
        <f>IF(BI$11=0,0,-(Assumptions!$P$19)*(1-(Assumptions!$P$7))*((BI$25+BI$30)+(IF(Assumptions!$F$13=0,0,BI$15/Assumptions!$F$13))*(-(SUM(BI$39,BI$40,BI$41,BI$42,BI$43,BI$44,BI$45,BI$46,BI$47,BI$48,BI$49,BI$50))))/(1-(Assumptions!$P$19)*(1-(Assumptions!$P$7))*(IF(Assumptions!$F$13=0,0,BI$15/Assumptions!$F$13))))</f>
        <v/>
      </c>
      <c r="BJ38" s="228">
        <f>IF(BJ$11=0,0,-(Assumptions!$P$19)*(1-(Assumptions!$P$7))*((BJ$25+BJ$30)+(IF(Assumptions!$F$13=0,0,BJ$15/Assumptions!$F$13))*(-(SUM(BJ$39,BJ$40,BJ$41,BJ$42,BJ$43,BJ$44,BJ$45,BJ$46,BJ$47,BJ$48,BJ$49,BJ$50))))/(1-(Assumptions!$P$19)*(1-(Assumptions!$P$7))*(IF(Assumptions!$F$13=0,0,BJ$15/Assumptions!$F$13))))</f>
        <v/>
      </c>
      <c r="BK38" s="228">
        <f>IF(BK$11=0,0,-(Assumptions!$P$19)*(1-(Assumptions!$P$7))*((BK$25+BK$30)+(IF(Assumptions!$F$13=0,0,BK$15/Assumptions!$F$13))*(-(SUM(BK$39,BK$40,BK$41,BK$42,BK$43,BK$44,BK$45,BK$46,BK$47,BK$48,BK$49,BK$50))))/(1-(Assumptions!$P$19)*(1-(Assumptions!$P$7))*(IF(Assumptions!$F$13=0,0,BK$15/Assumptions!$F$13))))</f>
        <v/>
      </c>
      <c r="BL38" s="228">
        <f>IF(BL$11=0,0,-(Assumptions!$P$19)*(1-(Assumptions!$P$7))*((BL$25+BL$30)+(IF(Assumptions!$F$13=0,0,BL$15/Assumptions!$F$13))*(-(SUM(BL$39,BL$40,BL$41,BL$42,BL$43,BL$44,BL$45,BL$46,BL$47,BL$48,BL$49,BL$50))))/(1-(Assumptions!$P$19)*(1-(Assumptions!$P$7))*(IF(Assumptions!$F$13=0,0,BL$15/Assumptions!$F$13))))</f>
        <v/>
      </c>
      <c r="BM38" s="228">
        <f>IF(BM$11=0,0,-(Assumptions!$P$19)*(1-(Assumptions!$P$7))*((BM$25+BM$30)+(IF(Assumptions!$F$13=0,0,BM$15/Assumptions!$F$13))*(-(SUM(BM$39,BM$40,BM$41,BM$42,BM$43,BM$44,BM$45,BM$46,BM$47,BM$48,BM$49,BM$50))))/(1-(Assumptions!$P$19)*(1-(Assumptions!$P$7))*(IF(Assumptions!$F$13=0,0,BM$15/Assumptions!$F$13))))</f>
        <v/>
      </c>
      <c r="BN38" s="228">
        <f>IF(BN$11=0,0,-(Assumptions!$P$19)*(1-(Assumptions!$P$7))*((BN$25+BN$30)+(IF(Assumptions!$F$13=0,0,BN$15/Assumptions!$F$13))*(-(SUM(BN$39,BN$40,BN$41,BN$42,BN$43,BN$44,BN$45,BN$46,BN$47,BN$48,BN$49,BN$50))))/(1-(Assumptions!$P$19)*(1-(Assumptions!$P$7))*(IF(Assumptions!$F$13=0,0,BN$15/Assumptions!$F$13))))</f>
        <v/>
      </c>
      <c r="BO38" s="228">
        <f>IF(BO$11=0,0,-(Assumptions!$P$19)*(1-(Assumptions!$P$7))*((BO$25+BO$30)+(IF(Assumptions!$F$13=0,0,BO$15/Assumptions!$F$13))*(-(SUM(BO$39,BO$40,BO$41,BO$42,BO$43,BO$44,BO$45,BO$46,BO$47,BO$48,BO$49,BO$50))))/(1-(Assumptions!$P$19)*(1-(Assumptions!$P$7))*(IF(Assumptions!$F$13=0,0,BO$15/Assumptions!$F$13))))</f>
        <v/>
      </c>
      <c r="BP38" s="228">
        <f>IF(BP$11=0,0,-(Assumptions!$P$19)*(1-(Assumptions!$P$7))*((BP$25+BP$30)+(IF(Assumptions!$F$13=0,0,BP$15/Assumptions!$F$13))*(-(SUM(BP$39,BP$40,BP$41,BP$42,BP$43,BP$44,BP$45,BP$46,BP$47,BP$48,BP$49,BP$50))))/(1-(Assumptions!$P$19)*(1-(Assumptions!$P$7))*(IF(Assumptions!$F$13=0,0,BP$15/Assumptions!$F$13))))</f>
        <v/>
      </c>
      <c r="BQ38" s="228">
        <f>IF(BQ$11=0,0,-(Assumptions!$P$19)*(1-(Assumptions!$P$7))*((BQ$25+BQ$30)+(IF(Assumptions!$F$13=0,0,BQ$15/Assumptions!$F$13))*(-(SUM(BQ$39,BQ$40,BQ$41,BQ$42,BQ$43,BQ$44,BQ$45,BQ$46,BQ$47,BQ$48,BQ$49,BQ$50))))/(1-(Assumptions!$P$19)*(1-(Assumptions!$P$7))*(IF(Assumptions!$F$13=0,0,BQ$15/Assumptions!$F$13))))</f>
        <v/>
      </c>
      <c r="BR38" s="228">
        <f>IF(BR$11=0,0,-(Assumptions!$P$19)*(1-(Assumptions!$P$7))*((BR$25+BR$30)+(IF(Assumptions!$F$13=0,0,BR$15/Assumptions!$F$13))*(-(SUM(BR$39,BR$40,BR$41,BR$42,BR$43,BR$44,BR$45,BR$46,BR$47,BR$48,BR$49,BR$50))))/(1-(Assumptions!$P$19)*(1-(Assumptions!$P$7))*(IF(Assumptions!$F$13=0,0,BR$15/Assumptions!$F$13))))</f>
        <v/>
      </c>
      <c r="BS38" s="228">
        <f>IF(BS$11=0,0,-(Assumptions!$P$19)*(1-(Assumptions!$P$7))*((BS$25+BS$30)+(IF(Assumptions!$F$13=0,0,BS$15/Assumptions!$F$13))*(-(SUM(BS$39,BS$40,BS$41,BS$42,BS$43,BS$44,BS$45,BS$46,BS$47,BS$48,BS$49,BS$50))))/(1-(Assumptions!$P$19)*(1-(Assumptions!$P$7))*(IF(Assumptions!$F$13=0,0,BS$15/Assumptions!$F$13))))</f>
        <v/>
      </c>
      <c r="BT38" s="228">
        <f>IF(BT$11=0,0,-(Assumptions!$P$19)*(1-(Assumptions!$P$7))*((BT$25+BT$30)+(IF(Assumptions!$F$13=0,0,BT$15/Assumptions!$F$13))*(-(SUM(BT$39,BT$40,BT$41,BT$42,BT$43,BT$44,BT$45,BT$46,BT$47,BT$48,BT$49,BT$50))))/(1-(Assumptions!$P$19)*(1-(Assumptions!$P$7))*(IF(Assumptions!$F$13=0,0,BT$15/Assumptions!$F$13))))</f>
        <v/>
      </c>
      <c r="BU38" s="228">
        <f>IF(BU$11=0,0,-(Assumptions!$P$19)*(1-(Assumptions!$P$7))*((BU$25+BU$30)+(IF(Assumptions!$F$13=0,0,BU$15/Assumptions!$F$13))*(-(SUM(BU$39,BU$40,BU$41,BU$42,BU$43,BU$44,BU$45,BU$46,BU$47,BU$48,BU$49,BU$50))))/(1-(Assumptions!$P$19)*(1-(Assumptions!$P$7))*(IF(Assumptions!$F$13=0,0,BU$15/Assumptions!$F$13))))</f>
        <v/>
      </c>
      <c r="BV38" s="228">
        <f>IF(BV$11=0,0,-(Assumptions!$P$19)*(1-(Assumptions!$P$7))*((BV$25+BV$30)+(IF(Assumptions!$F$13=0,0,BV$15/Assumptions!$F$13))*(-(SUM(BV$39,BV$40,BV$41,BV$42,BV$43,BV$44,BV$45,BV$46,BV$47,BV$48,BV$49,BV$50))))/(1-(Assumptions!$P$19)*(1-(Assumptions!$P$7))*(IF(Assumptions!$F$13=0,0,BV$15/Assumptions!$F$13))))</f>
        <v/>
      </c>
      <c r="BW38" s="228">
        <f>IF(BW$11=0,0,-(Assumptions!$P$19)*(1-(Assumptions!$P$7))*((BW$25+BW$30)+(IF(Assumptions!$F$13=0,0,BW$15/Assumptions!$F$13))*(-(SUM(BW$39,BW$40,BW$41,BW$42,BW$43,BW$44,BW$45,BW$46,BW$47,BW$48,BW$49,BW$50))))/(1-(Assumptions!$P$19)*(1-(Assumptions!$P$7))*(IF(Assumptions!$F$13=0,0,BW$15/Assumptions!$F$13))))</f>
        <v/>
      </c>
      <c r="BX38" s="228">
        <f>IF(BX$11=0,0,-(Assumptions!$P$19)*(1-(Assumptions!$P$7))*((BX$25+BX$30)+(IF(Assumptions!$F$13=0,0,BX$15/Assumptions!$F$13))*(-(SUM(BX$39,BX$40,BX$41,BX$42,BX$43,BX$44,BX$45,BX$46,BX$47,BX$48,BX$49,BX$50))))/(1-(Assumptions!$P$19)*(1-(Assumptions!$P$7))*(IF(Assumptions!$F$13=0,0,BX$15/Assumptions!$F$13))))</f>
        <v/>
      </c>
      <c r="BY38" s="228">
        <f>IF(BY$11=0,0,-(Assumptions!$P$19)*(1-(Assumptions!$P$7))*((BY$25+BY$30)+(IF(Assumptions!$F$13=0,0,BY$15/Assumptions!$F$13))*(-(SUM(BY$39,BY$40,BY$41,BY$42,BY$43,BY$44,BY$45,BY$46,BY$47,BY$48,BY$49,BY$50))))/(1-(Assumptions!$P$19)*(1-(Assumptions!$P$7))*(IF(Assumptions!$F$13=0,0,BY$15/Assumptions!$F$13))))</f>
        <v/>
      </c>
      <c r="BZ38" s="228">
        <f>IF(BZ$11=0,0,-(Assumptions!$P$19)*(1-(Assumptions!$P$7))*((BZ$25+BZ$30)+(IF(Assumptions!$F$13=0,0,BZ$15/Assumptions!$F$13))*(-(SUM(BZ$39,BZ$40,BZ$41,BZ$42,BZ$43,BZ$44,BZ$45,BZ$46,BZ$47,BZ$48,BZ$49,BZ$50))))/(1-(Assumptions!$P$19)*(1-(Assumptions!$P$7))*(IF(Assumptions!$F$13=0,0,BZ$15/Assumptions!$F$13))))</f>
        <v/>
      </c>
      <c r="CA38" s="228">
        <f>IF(CA$11=0,0,-(Assumptions!$P$19)*(1-(Assumptions!$P$7))*((CA$25+CA$30)+(IF(Assumptions!$F$13=0,0,CA$15/Assumptions!$F$13))*(-(SUM(CA$39,CA$40,CA$41,CA$42,CA$43,CA$44,CA$45,CA$46,CA$47,CA$48,CA$49,CA$50))))/(1-(Assumptions!$P$19)*(1-(Assumptions!$P$7))*(IF(Assumptions!$F$13=0,0,CA$15/Assumptions!$F$13))))</f>
        <v/>
      </c>
      <c r="CB38" s="228">
        <f>IF(CB$11=0,0,-(Assumptions!$P$19)*(1-(Assumptions!$P$7))*((CB$25+CB$30)+(IF(Assumptions!$F$13=0,0,CB$15/Assumptions!$F$13))*(-(SUM(CB$39,CB$40,CB$41,CB$42,CB$43,CB$44,CB$45,CB$46,CB$47,CB$48,CB$49,CB$50))))/(1-(Assumptions!$P$19)*(1-(Assumptions!$P$7))*(IF(Assumptions!$F$13=0,0,CB$15/Assumptions!$F$13))))</f>
        <v/>
      </c>
      <c r="CC38" s="228">
        <f>IF(CC$11=0,0,-(Assumptions!$P$19)*(1-(Assumptions!$P$7))*((CC$25+CC$30)+(IF(Assumptions!$F$13=0,0,CC$15/Assumptions!$F$13))*(-(SUM(CC$39,CC$40,CC$41,CC$42,CC$43,CC$44,CC$45,CC$46,CC$47,CC$48,CC$49,CC$50))))/(1-(Assumptions!$P$19)*(1-(Assumptions!$P$7))*(IF(Assumptions!$F$13=0,0,CC$15/Assumptions!$F$13))))</f>
        <v/>
      </c>
      <c r="CD38" s="228">
        <f>IF(CD$11=0,0,-(Assumptions!$P$19)*(1-(Assumptions!$P$7))*((CD$25+CD$30)+(IF(Assumptions!$F$13=0,0,CD$15/Assumptions!$F$13))*(-(SUM(CD$39,CD$40,CD$41,CD$42,CD$43,CD$44,CD$45,CD$46,CD$47,CD$48,CD$49,CD$50))))/(1-(Assumptions!$P$19)*(1-(Assumptions!$P$7))*(IF(Assumptions!$F$13=0,0,CD$15/Assumptions!$F$13))))</f>
        <v/>
      </c>
      <c r="CE38" s="228">
        <f>IF(CE$11=0,0,-(Assumptions!$P$19)*(1-(Assumptions!$P$7))*((CE$25+CE$30)+(IF(Assumptions!$F$13=0,0,CE$15/Assumptions!$F$13))*(-(SUM(CE$39,CE$40,CE$41,CE$42,CE$43,CE$44,CE$45,CE$46,CE$47,CE$48,CE$49,CE$50))))/(1-(Assumptions!$P$19)*(1-(Assumptions!$P$7))*(IF(Assumptions!$F$13=0,0,CE$15/Assumptions!$F$13))))</f>
        <v/>
      </c>
      <c r="CF38" s="228">
        <f>IF(CF$11=0,0,-(Assumptions!$P$19)*(1-(Assumptions!$P$7))*((CF$25+CF$30)+(IF(Assumptions!$F$13=0,0,CF$15/Assumptions!$F$13))*(-(SUM(CF$39,CF$40,CF$41,CF$42,CF$43,CF$44,CF$45,CF$46,CF$47,CF$48,CF$49,CF$50))))/(1-(Assumptions!$P$19)*(1-(Assumptions!$P$7))*(IF(Assumptions!$F$13=0,0,CF$15/Assumptions!$F$13))))</f>
        <v/>
      </c>
      <c r="CG38" s="228">
        <f>IF(CG$11=0,0,-(Assumptions!$P$19)*(1-(Assumptions!$P$7))*((CG$25+CG$30)+(IF(Assumptions!$F$13=0,0,CG$15/Assumptions!$F$13))*(-(SUM(CG$39,CG$40,CG$41,CG$42,CG$43,CG$44,CG$45,CG$46,CG$47,CG$48,CG$49,CG$50))))/(1-(Assumptions!$P$19)*(1-(Assumptions!$P$7))*(IF(Assumptions!$F$13=0,0,CG$15/Assumptions!$F$13))))</f>
        <v/>
      </c>
      <c r="CH38" s="228">
        <f>IF(CH$11=0,0,-(Assumptions!$P$19)*(1-(Assumptions!$P$7))*((CH$25+CH$30)+(IF(Assumptions!$F$13=0,0,CH$15/Assumptions!$F$13))*(-(SUM(CH$39,CH$40,CH$41,CH$42,CH$43,CH$44,CH$45,CH$46,CH$47,CH$48,CH$49,CH$50))))/(1-(Assumptions!$P$19)*(1-(Assumptions!$P$7))*(IF(Assumptions!$F$13=0,0,CH$15/Assumptions!$F$13))))</f>
        <v/>
      </c>
      <c r="CI38" s="228">
        <f>IF(CI$11=0,0,-(Assumptions!$P$19)*(1-(Assumptions!$P$7))*((CI$25+CI$30)+(IF(Assumptions!$F$13=0,0,CI$15/Assumptions!$F$13))*(-(SUM(CI$39,CI$40,CI$41,CI$42,CI$43,CI$44,CI$45,CI$46,CI$47,CI$48,CI$49,CI$50))))/(1-(Assumptions!$P$19)*(1-(Assumptions!$P$7))*(IF(Assumptions!$F$13=0,0,CI$15/Assumptions!$F$13))))</f>
        <v/>
      </c>
      <c r="CJ38" s="228">
        <f>IF(CJ$11=0,0,-(Assumptions!$P$19)*(1-(Assumptions!$P$7))*((CJ$25+CJ$30)+(IF(Assumptions!$F$13=0,0,CJ$15/Assumptions!$F$13))*(-(SUM(CJ$39,CJ$40,CJ$41,CJ$42,CJ$43,CJ$44,CJ$45,CJ$46,CJ$47,CJ$48,CJ$49,CJ$50))))/(1-(Assumptions!$P$19)*(1-(Assumptions!$P$7))*(IF(Assumptions!$F$13=0,0,CJ$15/Assumptions!$F$13))))</f>
        <v/>
      </c>
      <c r="CK38" s="228">
        <f>IF(CK$11=0,0,-(Assumptions!$P$19)*(1-(Assumptions!$P$7))*((CK$25+CK$30)+(IF(Assumptions!$F$13=0,0,CK$15/Assumptions!$F$13))*(-(SUM(CK$39,CK$40,CK$41,CK$42,CK$43,CK$44,CK$45,CK$46,CK$47,CK$48,CK$49,CK$50))))/(1-(Assumptions!$P$19)*(1-(Assumptions!$P$7))*(IF(Assumptions!$F$13=0,0,CK$15/Assumptions!$F$13))))</f>
        <v/>
      </c>
      <c r="CL38" s="228">
        <f>IF(CL$11=0,0,-(Assumptions!$P$19)*(1-(Assumptions!$P$7))*((CL$25+CL$30)+(IF(Assumptions!$F$13=0,0,CL$15/Assumptions!$F$13))*(-(SUM(CL$39,CL$40,CL$41,CL$42,CL$43,CL$44,CL$45,CL$46,CL$47,CL$48,CL$49,CL$50))))/(1-(Assumptions!$P$19)*(1-(Assumptions!$P$7))*(IF(Assumptions!$F$13=0,0,CL$15/Assumptions!$F$13))))</f>
        <v/>
      </c>
      <c r="CM38" s="228">
        <f>IF(CM$11=0,0,-(Assumptions!$P$19)*(1-(Assumptions!$P$7))*((CM$25+CM$30)+(IF(Assumptions!$F$13=0,0,CM$15/Assumptions!$F$13))*(-(SUM(CM$39,CM$40,CM$41,CM$42,CM$43,CM$44,CM$45,CM$46,CM$47,CM$48,CM$49,CM$50))))/(1-(Assumptions!$P$19)*(1-(Assumptions!$P$7))*(IF(Assumptions!$F$13=0,0,CM$15/Assumptions!$F$13))))</f>
        <v/>
      </c>
      <c r="CN38" s="228">
        <f>IF(CN$11=0,0,-(Assumptions!$P$19)*(1-(Assumptions!$P$7))*((CN$25+CN$30)+(IF(Assumptions!$F$13=0,0,CN$15/Assumptions!$F$13))*(-(SUM(CN$39,CN$40,CN$41,CN$42,CN$43,CN$44,CN$45,CN$46,CN$47,CN$48,CN$49,CN$50))))/(1-(Assumptions!$P$19)*(1-(Assumptions!$P$7))*(IF(Assumptions!$F$13=0,0,CN$15/Assumptions!$F$13))))</f>
        <v/>
      </c>
      <c r="CO38" s="228">
        <f>IF(CO$11=0,0,-(Assumptions!$P$19)*(1-(Assumptions!$P$7))*((CO$25+CO$30)+(IF(Assumptions!$F$13=0,0,CO$15/Assumptions!$F$13))*(-(SUM(CO$39,CO$40,CO$41,CO$42,CO$43,CO$44,CO$45,CO$46,CO$47,CO$48,CO$49,CO$50))))/(1-(Assumptions!$P$19)*(1-(Assumptions!$P$7))*(IF(Assumptions!$F$13=0,0,CO$15/Assumptions!$F$13))))</f>
        <v/>
      </c>
      <c r="CP38" s="228">
        <f>IF(CP$11=0,0,-(Assumptions!$P$19)*(1-(Assumptions!$P$7))*((CP$25+CP$30)+(IF(Assumptions!$F$13=0,0,CP$15/Assumptions!$F$13))*(-(SUM(CP$39,CP$40,CP$41,CP$42,CP$43,CP$44,CP$45,CP$46,CP$47,CP$48,CP$49,CP$50))))/(1-(Assumptions!$P$19)*(1-(Assumptions!$P$7))*(IF(Assumptions!$F$13=0,0,CP$15/Assumptions!$F$13))))</f>
        <v/>
      </c>
      <c r="CQ38" s="228">
        <f>IF(CQ$11=0,0,-(Assumptions!$P$19)*(1-(Assumptions!$P$7))*((CQ$25+CQ$30)+(IF(Assumptions!$F$13=0,0,CQ$15/Assumptions!$F$13))*(-(SUM(CQ$39,CQ$40,CQ$41,CQ$42,CQ$43,CQ$44,CQ$45,CQ$46,CQ$47,CQ$48,CQ$49,CQ$50))))/(1-(Assumptions!$P$19)*(1-(Assumptions!$P$7))*(IF(Assumptions!$F$13=0,0,CQ$15/Assumptions!$F$13))))</f>
        <v/>
      </c>
      <c r="CR38" s="228">
        <f>IF(CR$11=0,0,-(Assumptions!$P$19)*(1-(Assumptions!$P$7))*((CR$25+CR$30)+(IF(Assumptions!$F$13=0,0,CR$15/Assumptions!$F$13))*(-(SUM(CR$39,CR$40,CR$41,CR$42,CR$43,CR$44,CR$45,CR$46,CR$47,CR$48,CR$49,CR$50))))/(1-(Assumptions!$P$19)*(1-(Assumptions!$P$7))*(IF(Assumptions!$F$13=0,0,CR$15/Assumptions!$F$13))))</f>
        <v/>
      </c>
      <c r="CS38" s="228">
        <f>IF(CS$11=0,0,-(Assumptions!$P$19)*(1-(Assumptions!$P$7))*((CS$25+CS$30)+(IF(Assumptions!$F$13=0,0,CS$15/Assumptions!$F$13))*(-(SUM(CS$39,CS$40,CS$41,CS$42,CS$43,CS$44,CS$45,CS$46,CS$47,CS$48,CS$49,CS$50))))/(1-(Assumptions!$P$19)*(1-(Assumptions!$P$7))*(IF(Assumptions!$F$13=0,0,CS$15/Assumptions!$F$13))))</f>
        <v/>
      </c>
      <c r="CT38" s="228">
        <f>IF(CT$11=0,0,-(Assumptions!$P$19)*(1-(Assumptions!$P$7))*((CT$25+CT$30)+(IF(Assumptions!$F$13=0,0,CT$15/Assumptions!$F$13))*(-(SUM(CT$39,CT$40,CT$41,CT$42,CT$43,CT$44,CT$45,CT$46,CT$47,CT$48,CT$49,CT$50))))/(1-(Assumptions!$P$19)*(1-(Assumptions!$P$7))*(IF(Assumptions!$F$13=0,0,CT$15/Assumptions!$F$13))))</f>
        <v/>
      </c>
      <c r="CU38" s="228">
        <f>IF(CU$11=0,0,-(Assumptions!$P$19)*(1-(Assumptions!$P$7))*((CU$25+CU$30)+(IF(Assumptions!$F$13=0,0,CU$15/Assumptions!$F$13))*(-(SUM(CU$39,CU$40,CU$41,CU$42,CU$43,CU$44,CU$45,CU$46,CU$47,CU$48,CU$49,CU$50))))/(1-(Assumptions!$P$19)*(1-(Assumptions!$P$7))*(IF(Assumptions!$F$13=0,0,CU$15/Assumptions!$F$13))))</f>
        <v/>
      </c>
      <c r="CV38" s="228">
        <f>IF(CV$11=0,0,-(Assumptions!$P$19)*(1-(Assumptions!$P$7))*((CV$25+CV$30)+(IF(Assumptions!$F$13=0,0,CV$15/Assumptions!$F$13))*(-(SUM(CV$39,CV$40,CV$41,CV$42,CV$43,CV$44,CV$45,CV$46,CV$47,CV$48,CV$49,CV$50))))/(1-(Assumptions!$P$19)*(1-(Assumptions!$P$7))*(IF(Assumptions!$F$13=0,0,CV$15/Assumptions!$F$13))))</f>
        <v/>
      </c>
      <c r="CW38" s="228">
        <f>IF(CW$11=0,0,-(Assumptions!$P$19)*(1-(Assumptions!$P$7))*((CW$25+CW$30)+(IF(Assumptions!$F$13=0,0,CW$15/Assumptions!$F$13))*(-(SUM(CW$39,CW$40,CW$41,CW$42,CW$43,CW$44,CW$45,CW$46,CW$47,CW$48,CW$49,CW$50))))/(1-(Assumptions!$P$19)*(1-(Assumptions!$P$7))*(IF(Assumptions!$F$13=0,0,CW$15/Assumptions!$F$13))))</f>
        <v/>
      </c>
      <c r="CX38" s="228">
        <f>IF(CX$11=0,0,-(Assumptions!$P$19)*(1-(Assumptions!$P$7))*((CX$25+CX$30)+(IF(Assumptions!$F$13=0,0,CX$15/Assumptions!$F$13))*(-(SUM(CX$39,CX$40,CX$41,CX$42,CX$43,CX$44,CX$45,CX$46,CX$47,CX$48,CX$49,CX$50))))/(1-(Assumptions!$P$19)*(1-(Assumptions!$P$7))*(IF(Assumptions!$F$13=0,0,CX$15/Assumptions!$F$13))))</f>
        <v/>
      </c>
      <c r="CY38" s="228">
        <f>IF(CY$11=0,0,-(Assumptions!$P$19)*(1-(Assumptions!$P$7))*((CY$25+CY$30)+(IF(Assumptions!$F$13=0,0,CY$15/Assumptions!$F$13))*(-(SUM(CY$39,CY$40,CY$41,CY$42,CY$43,CY$44,CY$45,CY$46,CY$47,CY$48,CY$49,CY$50))))/(1-(Assumptions!$P$19)*(1-(Assumptions!$P$7))*(IF(Assumptions!$F$13=0,0,CY$15/Assumptions!$F$13))))</f>
        <v/>
      </c>
      <c r="CZ38" s="228">
        <f>IF(CZ$11=0,0,-(Assumptions!$P$19)*(1-(Assumptions!$P$7))*((CZ$25+CZ$30)+(IF(Assumptions!$F$13=0,0,CZ$15/Assumptions!$F$13))*(-(SUM(CZ$39,CZ$40,CZ$41,CZ$42,CZ$43,CZ$44,CZ$45,CZ$46,CZ$47,CZ$48,CZ$49,CZ$50))))/(1-(Assumptions!$P$19)*(1-(Assumptions!$P$7))*(IF(Assumptions!$F$13=0,0,CZ$15/Assumptions!$F$13))))</f>
        <v/>
      </c>
      <c r="DA38" s="228">
        <f>IF(DA$11=0,0,-(Assumptions!$P$19)*(1-(Assumptions!$P$7))*((DA$25+DA$30)+(IF(Assumptions!$F$13=0,0,DA$15/Assumptions!$F$13))*(-(SUM(DA$39,DA$40,DA$41,DA$42,DA$43,DA$44,DA$45,DA$46,DA$47,DA$48,DA$49,DA$50))))/(1-(Assumptions!$P$19)*(1-(Assumptions!$P$7))*(IF(Assumptions!$F$13=0,0,DA$15/Assumptions!$F$13))))</f>
        <v/>
      </c>
      <c r="DB38" s="228">
        <f>IF(DB$11=0,0,-(Assumptions!$P$19)*(1-(Assumptions!$P$7))*((DB$25+DB$30)+(IF(Assumptions!$F$13=0,0,DB$15/Assumptions!$F$13))*(-(SUM(DB$39,DB$40,DB$41,DB$42,DB$43,DB$44,DB$45,DB$46,DB$47,DB$48,DB$49,DB$50))))/(1-(Assumptions!$P$19)*(1-(Assumptions!$P$7))*(IF(Assumptions!$F$13=0,0,DB$15/Assumptions!$F$13))))</f>
        <v/>
      </c>
      <c r="DC38" s="228">
        <f>IF(DC$11=0,0,-(Assumptions!$P$19)*(1-(Assumptions!$P$7))*((DC$25+DC$30)+(IF(Assumptions!$F$13=0,0,DC$15/Assumptions!$F$13))*(-(SUM(DC$39,DC$40,DC$41,DC$42,DC$43,DC$44,DC$45,DC$46,DC$47,DC$48,DC$49,DC$50))))/(1-(Assumptions!$P$19)*(1-(Assumptions!$P$7))*(IF(Assumptions!$F$13=0,0,DC$15/Assumptions!$F$13))))</f>
        <v/>
      </c>
      <c r="DD38" s="228">
        <f>IF(DD$11=0,0,-(Assumptions!$P$19)*(1-(Assumptions!$P$7))*((DD$25+DD$30)+(IF(Assumptions!$F$13=0,0,DD$15/Assumptions!$F$13))*(-(SUM(DD$39,DD$40,DD$41,DD$42,DD$43,DD$44,DD$45,DD$46,DD$47,DD$48,DD$49,DD$50))))/(1-(Assumptions!$P$19)*(1-(Assumptions!$P$7))*(IF(Assumptions!$F$13=0,0,DD$15/Assumptions!$F$13))))</f>
        <v/>
      </c>
      <c r="DE38" s="228">
        <f>IF(DE$11=0,0,-(Assumptions!$P$19)*(1-(Assumptions!$P$7))*((DE$25+DE$30)+(IF(Assumptions!$F$13=0,0,DE$15/Assumptions!$F$13))*(-(SUM(DE$39,DE$40,DE$41,DE$42,DE$43,DE$44,DE$45,DE$46,DE$47,DE$48,DE$49,DE$50))))/(1-(Assumptions!$P$19)*(1-(Assumptions!$P$7))*(IF(Assumptions!$F$13=0,0,DE$15/Assumptions!$F$13))))</f>
        <v/>
      </c>
      <c r="DF38" s="228">
        <f>IF(DF$11=0,0,-(Assumptions!$P$19)*(1-(Assumptions!$P$7))*((DF$25+DF$30)+(IF(Assumptions!$F$13=0,0,DF$15/Assumptions!$F$13))*(-(SUM(DF$39,DF$40,DF$41,DF$42,DF$43,DF$44,DF$45,DF$46,DF$47,DF$48,DF$49,DF$50))))/(1-(Assumptions!$P$19)*(1-(Assumptions!$P$7))*(IF(Assumptions!$F$13=0,0,DF$15/Assumptions!$F$13))))</f>
        <v/>
      </c>
      <c r="DG38" s="228">
        <f>IF(DG$11=0,0,-(Assumptions!$P$19)*(1-(Assumptions!$P$7))*((DG$25+DG$30)+(IF(Assumptions!$F$13=0,0,DG$15/Assumptions!$F$13))*(-(SUM(DG$39,DG$40,DG$41,DG$42,DG$43,DG$44,DG$45,DG$46,DG$47,DG$48,DG$49,DG$50))))/(1-(Assumptions!$P$19)*(1-(Assumptions!$P$7))*(IF(Assumptions!$F$13=0,0,DG$15/Assumptions!$F$13))))</f>
        <v/>
      </c>
      <c r="DH38" s="228">
        <f>IF(DH$11=0,0,-(Assumptions!$P$19)*(1-(Assumptions!$P$7))*((DH$25+DH$30)+(IF(Assumptions!$F$13=0,0,DH$15/Assumptions!$F$13))*(-(SUM(DH$39,DH$40,DH$41,DH$42,DH$43,DH$44,DH$45,DH$46,DH$47,DH$48,DH$49,DH$50))))/(1-(Assumptions!$P$19)*(1-(Assumptions!$P$7))*(IF(Assumptions!$F$13=0,0,DH$15/Assumptions!$F$13))))</f>
        <v/>
      </c>
      <c r="DI38" s="228">
        <f>IF(DI$11=0,0,-(Assumptions!$P$19)*(1-(Assumptions!$P$7))*((DI$25+DI$30)+(IF(Assumptions!$F$13=0,0,DI$15/Assumptions!$F$13))*(-(SUM(DI$39,DI$40,DI$41,DI$42,DI$43,DI$44,DI$45,DI$46,DI$47,DI$48,DI$49,DI$50))))/(1-(Assumptions!$P$19)*(1-(Assumptions!$P$7))*(IF(Assumptions!$F$13=0,0,DI$15/Assumptions!$F$13))))</f>
        <v/>
      </c>
      <c r="DJ38" s="228">
        <f>IF(DJ$11=0,0,-(Assumptions!$P$19)*(1-(Assumptions!$P$7))*((DJ$25+DJ$30)+(IF(Assumptions!$F$13=0,0,DJ$15/Assumptions!$F$13))*(-(SUM(DJ$39,DJ$40,DJ$41,DJ$42,DJ$43,DJ$44,DJ$45,DJ$46,DJ$47,DJ$48,DJ$49,DJ$50))))/(1-(Assumptions!$P$19)*(1-(Assumptions!$P$7))*(IF(Assumptions!$F$13=0,0,DJ$15/Assumptions!$F$13))))</f>
        <v/>
      </c>
      <c r="DK38" s="228">
        <f>IF(DK$11=0,0,-(Assumptions!$P$19)*(1-(Assumptions!$P$7))*((DK$25+DK$30)+(IF(Assumptions!$F$13=0,0,DK$15/Assumptions!$F$13))*(-(SUM(DK$39,DK$40,DK$41,DK$42,DK$43,DK$44,DK$45,DK$46,DK$47,DK$48,DK$49,DK$50))))/(1-(Assumptions!$P$19)*(1-(Assumptions!$P$7))*(IF(Assumptions!$F$13=0,0,DK$15/Assumptions!$F$13))))</f>
        <v/>
      </c>
      <c r="DL38" s="228">
        <f>IF(DL$11=0,0,-(Assumptions!$P$19)*(1-(Assumptions!$P$7))*((DL$25+DL$30)+(IF(Assumptions!$F$13=0,0,DL$15/Assumptions!$F$13))*(-(SUM(DL$39,DL$40,DL$41,DL$42,DL$43,DL$44,DL$45,DL$46,DL$47,DL$48,DL$49,DL$50))))/(1-(Assumptions!$P$19)*(1-(Assumptions!$P$7))*(IF(Assumptions!$F$13=0,0,DL$15/Assumptions!$F$13))))</f>
        <v/>
      </c>
      <c r="DM38" s="228">
        <f>IF(DM$11=0,0,-(Assumptions!$P$19)*(1-(Assumptions!$P$7))*((DM$25+DM$30)+(IF(Assumptions!$F$13=0,0,DM$15/Assumptions!$F$13))*(-(SUM(DM$39,DM$40,DM$41,DM$42,DM$43,DM$44,DM$45,DM$46,DM$47,DM$48,DM$49,DM$50))))/(1-(Assumptions!$P$19)*(1-(Assumptions!$P$7))*(IF(Assumptions!$F$13=0,0,DM$15/Assumptions!$F$13))))</f>
        <v/>
      </c>
      <c r="DN38" s="228">
        <f>IF(DN$11=0,0,-(Assumptions!$P$19)*(1-(Assumptions!$P$7))*((DN$25+DN$30)+(IF(Assumptions!$F$13=0,0,DN$15/Assumptions!$F$13))*(-(SUM(DN$39,DN$40,DN$41,DN$42,DN$43,DN$44,DN$45,DN$46,DN$47,DN$48,DN$49,DN$50))))/(1-(Assumptions!$P$19)*(1-(Assumptions!$P$7))*(IF(Assumptions!$F$13=0,0,DN$15/Assumptions!$F$13))))</f>
        <v/>
      </c>
      <c r="DO38" s="228">
        <f>IF(DO$11=0,0,-(Assumptions!$P$19)*(1-(Assumptions!$P$7))*((DO$25+DO$30)+(IF(Assumptions!$F$13=0,0,DO$15/Assumptions!$F$13))*(-(SUM(DO$39,DO$40,DO$41,DO$42,DO$43,DO$44,DO$45,DO$46,DO$47,DO$48,DO$49,DO$50))))/(1-(Assumptions!$P$19)*(1-(Assumptions!$P$7))*(IF(Assumptions!$F$13=0,0,DO$15/Assumptions!$F$13))))</f>
        <v/>
      </c>
      <c r="DP38" s="228">
        <f>IF(DP$11=0,0,-(Assumptions!$P$19)*(1-(Assumptions!$P$7))*((DP$25+DP$30)+(IF(Assumptions!$F$13=0,0,DP$15/Assumptions!$F$13))*(-(SUM(DP$39,DP$40,DP$41,DP$42,DP$43,DP$44,DP$45,DP$46,DP$47,DP$48,DP$49,DP$50))))/(1-(Assumptions!$P$19)*(1-(Assumptions!$P$7))*(IF(Assumptions!$F$13=0,0,DP$15/Assumptions!$F$13))))</f>
        <v/>
      </c>
      <c r="DQ38" s="228">
        <f>IF(DQ$11=0,0,-(Assumptions!$P$19)*(1-(Assumptions!$P$7))*((DQ$25+DQ$30)+(IF(Assumptions!$F$13=0,0,DQ$15/Assumptions!$F$13))*(-(SUM(DQ$39,DQ$40,DQ$41,DQ$42,DQ$43,DQ$44,DQ$45,DQ$46,DQ$47,DQ$48,DQ$49,DQ$50))))/(1-(Assumptions!$P$19)*(1-(Assumptions!$P$7))*(IF(Assumptions!$F$13=0,0,DQ$15/Assumptions!$F$13))))</f>
        <v/>
      </c>
      <c r="DR38" s="228">
        <f>IF(DR$11=0,0,-(Assumptions!$P$19)*(1-(Assumptions!$P$7))*((DR$25+DR$30)+(IF(Assumptions!$F$13=0,0,DR$15/Assumptions!$F$13))*(-(SUM(DR$39,DR$40,DR$41,DR$42,DR$43,DR$44,DR$45,DR$46,DR$47,DR$48,DR$49,DR$50))))/(1-(Assumptions!$P$19)*(1-(Assumptions!$P$7))*(IF(Assumptions!$F$13=0,0,DR$15/Assumptions!$F$13))))</f>
        <v/>
      </c>
      <c r="DS38" s="228">
        <f>IF(DS$11=0,0,-(Assumptions!$P$19)*(1-(Assumptions!$P$7))*((DS$25+DS$30)+(IF(Assumptions!$F$13=0,0,DS$15/Assumptions!$F$13))*(-(SUM(DS$39,DS$40,DS$41,DS$42,DS$43,DS$44,DS$45,DS$46,DS$47,DS$48,DS$49,DS$50))))/(1-(Assumptions!$P$19)*(1-(Assumptions!$P$7))*(IF(Assumptions!$F$13=0,0,DS$15/Assumptions!$F$13))))</f>
        <v/>
      </c>
      <c r="DT38" s="228">
        <f>IF(DT$11=0,0,-(Assumptions!$P$19)*(1-(Assumptions!$P$7))*((DT$25+DT$30)+(IF(Assumptions!$F$13=0,0,DT$15/Assumptions!$F$13))*(-(SUM(DT$39,DT$40,DT$41,DT$42,DT$43,DT$44,DT$45,DT$46,DT$47,DT$48,DT$49,DT$50))))/(1-(Assumptions!$P$19)*(1-(Assumptions!$P$7))*(IF(Assumptions!$F$13=0,0,DT$15/Assumptions!$F$13))))</f>
        <v/>
      </c>
    </row>
    <row r="39" ht="15" customHeight="1" s="148">
      <c r="A39" s="112" t="inlineStr">
        <is>
          <t>Insurance (Annual)</t>
        </is>
      </c>
      <c r="C39" s="228">
        <f>SUM(D39:DT39)</f>
        <v/>
      </c>
      <c r="D39" s="228">
        <f>IF(D$11=0,0,-ROUND(Assumptions!$P$20*(1+Assumptions!$P$38)^(D$9-1)/12,0))</f>
        <v/>
      </c>
      <c r="E39" s="228">
        <f>IF(E$11=0,0,-ROUND(Assumptions!$P$20*(1+Assumptions!$P$38)^(E$9-1)/12,0))</f>
        <v/>
      </c>
      <c r="F39" s="228">
        <f>IF(F$11=0,0,-ROUND(Assumptions!$P$20*(1+Assumptions!$P$38)^(F$9-1)/12,0))</f>
        <v/>
      </c>
      <c r="G39" s="228">
        <f>IF(G$11=0,0,-ROUND(Assumptions!$P$20*(1+Assumptions!$P$38)^(G$9-1)/12,0))</f>
        <v/>
      </c>
      <c r="H39" s="228">
        <f>IF(H$11=0,0,-ROUND(Assumptions!$P$20*(1+Assumptions!$P$38)^(H$9-1)/12,0))</f>
        <v/>
      </c>
      <c r="I39" s="228">
        <f>IF(I$11=0,0,-ROUND(Assumptions!$P$20*(1+Assumptions!$P$38)^(I$9-1)/12,0))</f>
        <v/>
      </c>
      <c r="J39" s="228">
        <f>IF(J$11=0,0,-ROUND(Assumptions!$P$20*(1+Assumptions!$P$38)^(J$9-1)/12,0))</f>
        <v/>
      </c>
      <c r="K39" s="228">
        <f>IF(K$11=0,0,-ROUND(Assumptions!$P$20*(1+Assumptions!$P$38)^(K$9-1)/12,0))</f>
        <v/>
      </c>
      <c r="L39" s="228">
        <f>IF(L$11=0,0,-ROUND(Assumptions!$P$20*(1+Assumptions!$P$38)^(L$9-1)/12,0))</f>
        <v/>
      </c>
      <c r="M39" s="228">
        <f>IF(M$11=0,0,-ROUND(Assumptions!$P$20*(1+Assumptions!$P$38)^(M$9-1)/12,0))</f>
        <v/>
      </c>
      <c r="N39" s="228">
        <f>IF(N$11=0,0,-ROUND(Assumptions!$P$20*(1+Assumptions!$P$38)^(N$9-1)/12,0))</f>
        <v/>
      </c>
      <c r="O39" s="228">
        <f>IF(O$11=0,0,-ROUND(Assumptions!$P$20*(1+Assumptions!$P$38)^(O$9-1)/12,0))</f>
        <v/>
      </c>
      <c r="P39" s="228">
        <f>IF(P$11=0,0,-ROUND(Assumptions!$P$20*(1+Assumptions!$P$38)^(P$9-1)/12,0))</f>
        <v/>
      </c>
      <c r="Q39" s="228">
        <f>IF(Q$11=0,0,-ROUND(Assumptions!$P$20*(1+Assumptions!$P$38)^(Q$9-1)/12,0))</f>
        <v/>
      </c>
      <c r="R39" s="228">
        <f>IF(R$11=0,0,-ROUND(Assumptions!$P$20*(1+Assumptions!$P$38)^(R$9-1)/12,0))</f>
        <v/>
      </c>
      <c r="S39" s="228">
        <f>IF(S$11=0,0,-ROUND(Assumptions!$P$20*(1+Assumptions!$P$38)^(S$9-1)/12,0))</f>
        <v/>
      </c>
      <c r="T39" s="228">
        <f>IF(T$11=0,0,-ROUND(Assumptions!$P$20*(1+Assumptions!$P$38)^(T$9-1)/12,0))</f>
        <v/>
      </c>
      <c r="U39" s="228">
        <f>IF(U$11=0,0,-ROUND(Assumptions!$P$20*(1+Assumptions!$P$38)^(U$9-1)/12,0))</f>
        <v/>
      </c>
      <c r="V39" s="228">
        <f>IF(V$11=0,0,-ROUND(Assumptions!$P$20*(1+Assumptions!$P$38)^(V$9-1)/12,0))</f>
        <v/>
      </c>
      <c r="W39" s="228">
        <f>IF(W$11=0,0,-ROUND(Assumptions!$P$20*(1+Assumptions!$P$38)^(W$9-1)/12,0))</f>
        <v/>
      </c>
      <c r="X39" s="228">
        <f>IF(X$11=0,0,-ROUND(Assumptions!$P$20*(1+Assumptions!$P$38)^(X$9-1)/12,0))</f>
        <v/>
      </c>
      <c r="Y39" s="228">
        <f>IF(Y$11=0,0,-ROUND(Assumptions!$P$20*(1+Assumptions!$P$38)^(Y$9-1)/12,0))</f>
        <v/>
      </c>
      <c r="Z39" s="228">
        <f>IF(Z$11=0,0,-ROUND(Assumptions!$P$20*(1+Assumptions!$P$38)^(Z$9-1)/12,0))</f>
        <v/>
      </c>
      <c r="AA39" s="228">
        <f>IF(AA$11=0,0,-ROUND(Assumptions!$P$20*(1+Assumptions!$P$38)^(AA$9-1)/12,0))</f>
        <v/>
      </c>
      <c r="AB39" s="228">
        <f>IF(AB$11=0,0,-ROUND(Assumptions!$P$20*(1+Assumptions!$P$38)^(AB$9-1)/12,0))</f>
        <v/>
      </c>
      <c r="AC39" s="228">
        <f>IF(AC$11=0,0,-ROUND(Assumptions!$P$20*(1+Assumptions!$P$38)^(AC$9-1)/12,0))</f>
        <v/>
      </c>
      <c r="AD39" s="228">
        <f>IF(AD$11=0,0,-ROUND(Assumptions!$P$20*(1+Assumptions!$P$38)^(AD$9-1)/12,0))</f>
        <v/>
      </c>
      <c r="AE39" s="228">
        <f>IF(AE$11=0,0,-ROUND(Assumptions!$P$20*(1+Assumptions!$P$38)^(AE$9-1)/12,0))</f>
        <v/>
      </c>
      <c r="AF39" s="228">
        <f>IF(AF$11=0,0,-ROUND(Assumptions!$P$20*(1+Assumptions!$P$38)^(AF$9-1)/12,0))</f>
        <v/>
      </c>
      <c r="AG39" s="228">
        <f>IF(AG$11=0,0,-ROUND(Assumptions!$P$20*(1+Assumptions!$P$38)^(AG$9-1)/12,0))</f>
        <v/>
      </c>
      <c r="AH39" s="228">
        <f>IF(AH$11=0,0,-ROUND(Assumptions!$P$20*(1+Assumptions!$P$38)^(AH$9-1)/12,0))</f>
        <v/>
      </c>
      <c r="AI39" s="228">
        <f>IF(AI$11=0,0,-ROUND(Assumptions!$P$20*(1+Assumptions!$P$38)^(AI$9-1)/12,0))</f>
        <v/>
      </c>
      <c r="AJ39" s="228">
        <f>IF(AJ$11=0,0,-ROUND(Assumptions!$P$20*(1+Assumptions!$P$38)^(AJ$9-1)/12,0))</f>
        <v/>
      </c>
      <c r="AK39" s="228">
        <f>IF(AK$11=0,0,-ROUND(Assumptions!$P$20*(1+Assumptions!$P$38)^(AK$9-1)/12,0))</f>
        <v/>
      </c>
      <c r="AL39" s="228">
        <f>IF(AL$11=0,0,-ROUND(Assumptions!$P$20*(1+Assumptions!$P$38)^(AL$9-1)/12,0))</f>
        <v/>
      </c>
      <c r="AM39" s="228">
        <f>IF(AM$11=0,0,-ROUND(Assumptions!$P$20*(1+Assumptions!$P$38)^(AM$9-1)/12,0))</f>
        <v/>
      </c>
      <c r="AN39" s="228">
        <f>IF(AN$11=0,0,-ROUND(Assumptions!$P$20*(1+Assumptions!$P$38)^(AN$9-1)/12,0))</f>
        <v/>
      </c>
      <c r="AO39" s="228">
        <f>IF(AO$11=0,0,-ROUND(Assumptions!$P$20*(1+Assumptions!$P$38)^(AO$9-1)/12,0))</f>
        <v/>
      </c>
      <c r="AP39" s="228">
        <f>IF(AP$11=0,0,-ROUND(Assumptions!$P$20*(1+Assumptions!$P$38)^(AP$9-1)/12,0))</f>
        <v/>
      </c>
      <c r="AQ39" s="228">
        <f>IF(AQ$11=0,0,-ROUND(Assumptions!$P$20*(1+Assumptions!$P$38)^(AQ$9-1)/12,0))</f>
        <v/>
      </c>
      <c r="AR39" s="228">
        <f>IF(AR$11=0,0,-ROUND(Assumptions!$P$20*(1+Assumptions!$P$38)^(AR$9-1)/12,0))</f>
        <v/>
      </c>
      <c r="AS39" s="228">
        <f>IF(AS$11=0,0,-ROUND(Assumptions!$P$20*(1+Assumptions!$P$38)^(AS$9-1)/12,0))</f>
        <v/>
      </c>
      <c r="AT39" s="228">
        <f>IF(AT$11=0,0,-ROUND(Assumptions!$P$20*(1+Assumptions!$P$38)^(AT$9-1)/12,0))</f>
        <v/>
      </c>
      <c r="AU39" s="228">
        <f>IF(AU$11=0,0,-ROUND(Assumptions!$P$20*(1+Assumptions!$P$38)^(AU$9-1)/12,0))</f>
        <v/>
      </c>
      <c r="AV39" s="228">
        <f>IF(AV$11=0,0,-ROUND(Assumptions!$P$20*(1+Assumptions!$P$38)^(AV$9-1)/12,0))</f>
        <v/>
      </c>
      <c r="AW39" s="228">
        <f>IF(AW$11=0,0,-ROUND(Assumptions!$P$20*(1+Assumptions!$P$38)^(AW$9-1)/12,0))</f>
        <v/>
      </c>
      <c r="AX39" s="228">
        <f>IF(AX$11=0,0,-ROUND(Assumptions!$P$20*(1+Assumptions!$P$38)^(AX$9-1)/12,0))</f>
        <v/>
      </c>
      <c r="AY39" s="228">
        <f>IF(AY$11=0,0,-ROUND(Assumptions!$P$20*(1+Assumptions!$P$38)^(AY$9-1)/12,0))</f>
        <v/>
      </c>
      <c r="AZ39" s="228">
        <f>IF(AZ$11=0,0,-ROUND(Assumptions!$P$20*(1+Assumptions!$P$38)^(AZ$9-1)/12,0))</f>
        <v/>
      </c>
      <c r="BA39" s="228">
        <f>IF(BA$11=0,0,-ROUND(Assumptions!$P$20*(1+Assumptions!$P$38)^(BA$9-1)/12,0))</f>
        <v/>
      </c>
      <c r="BB39" s="228">
        <f>IF(BB$11=0,0,-ROUND(Assumptions!$P$20*(1+Assumptions!$P$38)^(BB$9-1)/12,0))</f>
        <v/>
      </c>
      <c r="BC39" s="228">
        <f>IF(BC$11=0,0,-ROUND(Assumptions!$P$20*(1+Assumptions!$P$38)^(BC$9-1)/12,0))</f>
        <v/>
      </c>
      <c r="BD39" s="228">
        <f>IF(BD$11=0,0,-ROUND(Assumptions!$P$20*(1+Assumptions!$P$38)^(BD$9-1)/12,0))</f>
        <v/>
      </c>
      <c r="BE39" s="228">
        <f>IF(BE$11=0,0,-ROUND(Assumptions!$P$20*(1+Assumptions!$P$38)^(BE$9-1)/12,0))</f>
        <v/>
      </c>
      <c r="BF39" s="228">
        <f>IF(BF$11=0,0,-ROUND(Assumptions!$P$20*(1+Assumptions!$P$38)^(BF$9-1)/12,0))</f>
        <v/>
      </c>
      <c r="BG39" s="228">
        <f>IF(BG$11=0,0,-ROUND(Assumptions!$P$20*(1+Assumptions!$P$38)^(BG$9-1)/12,0))</f>
        <v/>
      </c>
      <c r="BH39" s="228">
        <f>IF(BH$11=0,0,-ROUND(Assumptions!$P$20*(1+Assumptions!$P$38)^(BH$9-1)/12,0))</f>
        <v/>
      </c>
      <c r="BI39" s="228">
        <f>IF(BI$11=0,0,-ROUND(Assumptions!$P$20*(1+Assumptions!$P$38)^(BI$9-1)/12,0))</f>
        <v/>
      </c>
      <c r="BJ39" s="228">
        <f>IF(BJ$11=0,0,-ROUND(Assumptions!$P$20*(1+Assumptions!$P$38)^(BJ$9-1)/12,0))</f>
        <v/>
      </c>
      <c r="BK39" s="228">
        <f>IF(BK$11=0,0,-ROUND(Assumptions!$P$20*(1+Assumptions!$P$38)^(BK$9-1)/12,0))</f>
        <v/>
      </c>
      <c r="BL39" s="228">
        <f>IF(BL$11=0,0,-ROUND(Assumptions!$P$20*(1+Assumptions!$P$38)^(BL$9-1)/12,0))</f>
        <v/>
      </c>
      <c r="BM39" s="228">
        <f>IF(BM$11=0,0,-ROUND(Assumptions!$P$20*(1+Assumptions!$P$38)^(BM$9-1)/12,0))</f>
        <v/>
      </c>
      <c r="BN39" s="228">
        <f>IF(BN$11=0,0,-ROUND(Assumptions!$P$20*(1+Assumptions!$P$38)^(BN$9-1)/12,0))</f>
        <v/>
      </c>
      <c r="BO39" s="228">
        <f>IF(BO$11=0,0,-ROUND(Assumptions!$P$20*(1+Assumptions!$P$38)^(BO$9-1)/12,0))</f>
        <v/>
      </c>
      <c r="BP39" s="228">
        <f>IF(BP$11=0,0,-ROUND(Assumptions!$P$20*(1+Assumptions!$P$38)^(BP$9-1)/12,0))</f>
        <v/>
      </c>
      <c r="BQ39" s="228">
        <f>IF(BQ$11=0,0,-ROUND(Assumptions!$P$20*(1+Assumptions!$P$38)^(BQ$9-1)/12,0))</f>
        <v/>
      </c>
      <c r="BR39" s="228">
        <f>IF(BR$11=0,0,-ROUND(Assumptions!$P$20*(1+Assumptions!$P$38)^(BR$9-1)/12,0))</f>
        <v/>
      </c>
      <c r="BS39" s="228">
        <f>IF(BS$11=0,0,-ROUND(Assumptions!$P$20*(1+Assumptions!$P$38)^(BS$9-1)/12,0))</f>
        <v/>
      </c>
      <c r="BT39" s="228">
        <f>IF(BT$11=0,0,-ROUND(Assumptions!$P$20*(1+Assumptions!$P$38)^(BT$9-1)/12,0))</f>
        <v/>
      </c>
      <c r="BU39" s="228">
        <f>IF(BU$11=0,0,-ROUND(Assumptions!$P$20*(1+Assumptions!$P$38)^(BU$9-1)/12,0))</f>
        <v/>
      </c>
      <c r="BV39" s="228">
        <f>IF(BV$11=0,0,-ROUND(Assumptions!$P$20*(1+Assumptions!$P$38)^(BV$9-1)/12,0))</f>
        <v/>
      </c>
      <c r="BW39" s="228">
        <f>IF(BW$11=0,0,-ROUND(Assumptions!$P$20*(1+Assumptions!$P$38)^(BW$9-1)/12,0))</f>
        <v/>
      </c>
      <c r="BX39" s="228">
        <f>IF(BX$11=0,0,-ROUND(Assumptions!$P$20*(1+Assumptions!$P$38)^(BX$9-1)/12,0))</f>
        <v/>
      </c>
      <c r="BY39" s="228">
        <f>IF(BY$11=0,0,-ROUND(Assumptions!$P$20*(1+Assumptions!$P$38)^(BY$9-1)/12,0))</f>
        <v/>
      </c>
      <c r="BZ39" s="228">
        <f>IF(BZ$11=0,0,-ROUND(Assumptions!$P$20*(1+Assumptions!$P$38)^(BZ$9-1)/12,0))</f>
        <v/>
      </c>
      <c r="CA39" s="228">
        <f>IF(CA$11=0,0,-ROUND(Assumptions!$P$20*(1+Assumptions!$P$38)^(CA$9-1)/12,0))</f>
        <v/>
      </c>
      <c r="CB39" s="228">
        <f>IF(CB$11=0,0,-ROUND(Assumptions!$P$20*(1+Assumptions!$P$38)^(CB$9-1)/12,0))</f>
        <v/>
      </c>
      <c r="CC39" s="228">
        <f>IF(CC$11=0,0,-ROUND(Assumptions!$P$20*(1+Assumptions!$P$38)^(CC$9-1)/12,0))</f>
        <v/>
      </c>
      <c r="CD39" s="228">
        <f>IF(CD$11=0,0,-ROUND(Assumptions!$P$20*(1+Assumptions!$P$38)^(CD$9-1)/12,0))</f>
        <v/>
      </c>
      <c r="CE39" s="228">
        <f>IF(CE$11=0,0,-ROUND(Assumptions!$P$20*(1+Assumptions!$P$38)^(CE$9-1)/12,0))</f>
        <v/>
      </c>
      <c r="CF39" s="228">
        <f>IF(CF$11=0,0,-ROUND(Assumptions!$P$20*(1+Assumptions!$P$38)^(CF$9-1)/12,0))</f>
        <v/>
      </c>
      <c r="CG39" s="228">
        <f>IF(CG$11=0,0,-ROUND(Assumptions!$P$20*(1+Assumptions!$P$38)^(CG$9-1)/12,0))</f>
        <v/>
      </c>
      <c r="CH39" s="228">
        <f>IF(CH$11=0,0,-ROUND(Assumptions!$P$20*(1+Assumptions!$P$38)^(CH$9-1)/12,0))</f>
        <v/>
      </c>
      <c r="CI39" s="228">
        <f>IF(CI$11=0,0,-ROUND(Assumptions!$P$20*(1+Assumptions!$P$38)^(CI$9-1)/12,0))</f>
        <v/>
      </c>
      <c r="CJ39" s="228">
        <f>IF(CJ$11=0,0,-ROUND(Assumptions!$P$20*(1+Assumptions!$P$38)^(CJ$9-1)/12,0))</f>
        <v/>
      </c>
      <c r="CK39" s="228">
        <f>IF(CK$11=0,0,-ROUND(Assumptions!$P$20*(1+Assumptions!$P$38)^(CK$9-1)/12,0))</f>
        <v/>
      </c>
      <c r="CL39" s="228">
        <f>IF(CL$11=0,0,-ROUND(Assumptions!$P$20*(1+Assumptions!$P$38)^(CL$9-1)/12,0))</f>
        <v/>
      </c>
      <c r="CM39" s="228">
        <f>IF(CM$11=0,0,-ROUND(Assumptions!$P$20*(1+Assumptions!$P$38)^(CM$9-1)/12,0))</f>
        <v/>
      </c>
      <c r="CN39" s="228">
        <f>IF(CN$11=0,0,-ROUND(Assumptions!$P$20*(1+Assumptions!$P$38)^(CN$9-1)/12,0))</f>
        <v/>
      </c>
      <c r="CO39" s="228">
        <f>IF(CO$11=0,0,-ROUND(Assumptions!$P$20*(1+Assumptions!$P$38)^(CO$9-1)/12,0))</f>
        <v/>
      </c>
      <c r="CP39" s="228">
        <f>IF(CP$11=0,0,-ROUND(Assumptions!$P$20*(1+Assumptions!$P$38)^(CP$9-1)/12,0))</f>
        <v/>
      </c>
      <c r="CQ39" s="228">
        <f>IF(CQ$11=0,0,-ROUND(Assumptions!$P$20*(1+Assumptions!$P$38)^(CQ$9-1)/12,0))</f>
        <v/>
      </c>
      <c r="CR39" s="228">
        <f>IF(CR$11=0,0,-ROUND(Assumptions!$P$20*(1+Assumptions!$P$38)^(CR$9-1)/12,0))</f>
        <v/>
      </c>
      <c r="CS39" s="228">
        <f>IF(CS$11=0,0,-ROUND(Assumptions!$P$20*(1+Assumptions!$P$38)^(CS$9-1)/12,0))</f>
        <v/>
      </c>
      <c r="CT39" s="228">
        <f>IF(CT$11=0,0,-ROUND(Assumptions!$P$20*(1+Assumptions!$P$38)^(CT$9-1)/12,0))</f>
        <v/>
      </c>
      <c r="CU39" s="228">
        <f>IF(CU$11=0,0,-ROUND(Assumptions!$P$20*(1+Assumptions!$P$38)^(CU$9-1)/12,0))</f>
        <v/>
      </c>
      <c r="CV39" s="228">
        <f>IF(CV$11=0,0,-ROUND(Assumptions!$P$20*(1+Assumptions!$P$38)^(CV$9-1)/12,0))</f>
        <v/>
      </c>
      <c r="CW39" s="228">
        <f>IF(CW$11=0,0,-ROUND(Assumptions!$P$20*(1+Assumptions!$P$38)^(CW$9-1)/12,0))</f>
        <v/>
      </c>
      <c r="CX39" s="228">
        <f>IF(CX$11=0,0,-ROUND(Assumptions!$P$20*(1+Assumptions!$P$38)^(CX$9-1)/12,0))</f>
        <v/>
      </c>
      <c r="CY39" s="228">
        <f>IF(CY$11=0,0,-ROUND(Assumptions!$P$20*(1+Assumptions!$P$38)^(CY$9-1)/12,0))</f>
        <v/>
      </c>
      <c r="CZ39" s="228">
        <f>IF(CZ$11=0,0,-ROUND(Assumptions!$P$20*(1+Assumptions!$P$38)^(CZ$9-1)/12,0))</f>
        <v/>
      </c>
      <c r="DA39" s="228">
        <f>IF(DA$11=0,0,-ROUND(Assumptions!$P$20*(1+Assumptions!$P$38)^(DA$9-1)/12,0))</f>
        <v/>
      </c>
      <c r="DB39" s="228">
        <f>IF(DB$11=0,0,-ROUND(Assumptions!$P$20*(1+Assumptions!$P$38)^(DB$9-1)/12,0))</f>
        <v/>
      </c>
      <c r="DC39" s="228">
        <f>IF(DC$11=0,0,-ROUND(Assumptions!$P$20*(1+Assumptions!$P$38)^(DC$9-1)/12,0))</f>
        <v/>
      </c>
      <c r="DD39" s="228">
        <f>IF(DD$11=0,0,-ROUND(Assumptions!$P$20*(1+Assumptions!$P$38)^(DD$9-1)/12,0))</f>
        <v/>
      </c>
      <c r="DE39" s="228">
        <f>IF(DE$11=0,0,-ROUND(Assumptions!$P$20*(1+Assumptions!$P$38)^(DE$9-1)/12,0))</f>
        <v/>
      </c>
      <c r="DF39" s="228">
        <f>IF(DF$11=0,0,-ROUND(Assumptions!$P$20*(1+Assumptions!$P$38)^(DF$9-1)/12,0))</f>
        <v/>
      </c>
      <c r="DG39" s="228">
        <f>IF(DG$11=0,0,-ROUND(Assumptions!$P$20*(1+Assumptions!$P$38)^(DG$9-1)/12,0))</f>
        <v/>
      </c>
      <c r="DH39" s="228">
        <f>IF(DH$11=0,0,-ROUND(Assumptions!$P$20*(1+Assumptions!$P$38)^(DH$9-1)/12,0))</f>
        <v/>
      </c>
      <c r="DI39" s="228">
        <f>IF(DI$11=0,0,-ROUND(Assumptions!$P$20*(1+Assumptions!$P$38)^(DI$9-1)/12,0))</f>
        <v/>
      </c>
      <c r="DJ39" s="228">
        <f>IF(DJ$11=0,0,-ROUND(Assumptions!$P$20*(1+Assumptions!$P$38)^(DJ$9-1)/12,0))</f>
        <v/>
      </c>
      <c r="DK39" s="228">
        <f>IF(DK$11=0,0,-ROUND(Assumptions!$P$20*(1+Assumptions!$P$38)^(DK$9-1)/12,0))</f>
        <v/>
      </c>
      <c r="DL39" s="228">
        <f>IF(DL$11=0,0,-ROUND(Assumptions!$P$20*(1+Assumptions!$P$38)^(DL$9-1)/12,0))</f>
        <v/>
      </c>
      <c r="DM39" s="228">
        <f>IF(DM$11=0,0,-ROUND(Assumptions!$P$20*(1+Assumptions!$P$38)^(DM$9-1)/12,0))</f>
        <v/>
      </c>
      <c r="DN39" s="228">
        <f>IF(DN$11=0,0,-ROUND(Assumptions!$P$20*(1+Assumptions!$P$38)^(DN$9-1)/12,0))</f>
        <v/>
      </c>
      <c r="DO39" s="228">
        <f>IF(DO$11=0,0,-ROUND(Assumptions!$P$20*(1+Assumptions!$P$38)^(DO$9-1)/12,0))</f>
        <v/>
      </c>
      <c r="DP39" s="228">
        <f>IF(DP$11=0,0,-ROUND(Assumptions!$P$20*(1+Assumptions!$P$38)^(DP$9-1)/12,0))</f>
        <v/>
      </c>
      <c r="DQ39" s="228">
        <f>IF(DQ$11=0,0,-ROUND(Assumptions!$P$20*(1+Assumptions!$P$38)^(DQ$9-1)/12,0))</f>
        <v/>
      </c>
      <c r="DR39" s="228">
        <f>IF(DR$11=0,0,-ROUND(Assumptions!$P$20*(1+Assumptions!$P$38)^(DR$9-1)/12,0))</f>
        <v/>
      </c>
      <c r="DS39" s="228">
        <f>IF(DS$11=0,0,-ROUND(Assumptions!$P$20*(1+Assumptions!$P$38)^(DS$9-1)/12,0))</f>
        <v/>
      </c>
      <c r="DT39" s="228">
        <f>IF(DT$11=0,0,-ROUND(Assumptions!$P$20*(1+Assumptions!$P$38)^(DT$9-1)/12,0))</f>
        <v/>
      </c>
    </row>
    <row r="40" ht="15" customHeight="1" s="148">
      <c r="A40" s="112" t="inlineStr">
        <is>
          <t>G&amp;A (Annual)</t>
        </is>
      </c>
      <c r="C40" s="228">
        <f>SUM(D40:DT40)</f>
        <v/>
      </c>
      <c r="D40" s="228">
        <f>IF(D$11=0,0,-ROUND(Assumptions!$P$21*(1+Assumptions!$P$38)^(D$9-1)/12,0))</f>
        <v/>
      </c>
      <c r="E40" s="228">
        <f>IF(E$11=0,0,-ROUND(Assumptions!$P$21*(1+Assumptions!$P$38)^(E$9-1)/12,0))</f>
        <v/>
      </c>
      <c r="F40" s="228">
        <f>IF(F$11=0,0,-ROUND(Assumptions!$P$21*(1+Assumptions!$P$38)^(F$9-1)/12,0))</f>
        <v/>
      </c>
      <c r="G40" s="228">
        <f>IF(G$11=0,0,-ROUND(Assumptions!$P$21*(1+Assumptions!$P$38)^(G$9-1)/12,0))</f>
        <v/>
      </c>
      <c r="H40" s="228">
        <f>IF(H$11=0,0,-ROUND(Assumptions!$P$21*(1+Assumptions!$P$38)^(H$9-1)/12,0))</f>
        <v/>
      </c>
      <c r="I40" s="228">
        <f>IF(I$11=0,0,-ROUND(Assumptions!$P$21*(1+Assumptions!$P$38)^(I$9-1)/12,0))</f>
        <v/>
      </c>
      <c r="J40" s="228">
        <f>IF(J$11=0,0,-ROUND(Assumptions!$P$21*(1+Assumptions!$P$38)^(J$9-1)/12,0))</f>
        <v/>
      </c>
      <c r="K40" s="228">
        <f>IF(K$11=0,0,-ROUND(Assumptions!$P$21*(1+Assumptions!$P$38)^(K$9-1)/12,0))</f>
        <v/>
      </c>
      <c r="L40" s="228">
        <f>IF(L$11=0,0,-ROUND(Assumptions!$P$21*(1+Assumptions!$P$38)^(L$9-1)/12,0))</f>
        <v/>
      </c>
      <c r="M40" s="228">
        <f>IF(M$11=0,0,-ROUND(Assumptions!$P$21*(1+Assumptions!$P$38)^(M$9-1)/12,0))</f>
        <v/>
      </c>
      <c r="N40" s="228">
        <f>IF(N$11=0,0,-ROUND(Assumptions!$P$21*(1+Assumptions!$P$38)^(N$9-1)/12,0))</f>
        <v/>
      </c>
      <c r="O40" s="228">
        <f>IF(O$11=0,0,-ROUND(Assumptions!$P$21*(1+Assumptions!$P$38)^(O$9-1)/12,0))</f>
        <v/>
      </c>
      <c r="P40" s="228">
        <f>IF(P$11=0,0,-ROUND(Assumptions!$P$21*(1+Assumptions!$P$38)^(P$9-1)/12,0))</f>
        <v/>
      </c>
      <c r="Q40" s="228">
        <f>IF(Q$11=0,0,-ROUND(Assumptions!$P$21*(1+Assumptions!$P$38)^(Q$9-1)/12,0))</f>
        <v/>
      </c>
      <c r="R40" s="228">
        <f>IF(R$11=0,0,-ROUND(Assumptions!$P$21*(1+Assumptions!$P$38)^(R$9-1)/12,0))</f>
        <v/>
      </c>
      <c r="S40" s="228">
        <f>IF(S$11=0,0,-ROUND(Assumptions!$P$21*(1+Assumptions!$P$38)^(S$9-1)/12,0))</f>
        <v/>
      </c>
      <c r="T40" s="228">
        <f>IF(T$11=0,0,-ROUND(Assumptions!$P$21*(1+Assumptions!$P$38)^(T$9-1)/12,0))</f>
        <v/>
      </c>
      <c r="U40" s="228">
        <f>IF(U$11=0,0,-ROUND(Assumptions!$P$21*(1+Assumptions!$P$38)^(U$9-1)/12,0))</f>
        <v/>
      </c>
      <c r="V40" s="228">
        <f>IF(V$11=0,0,-ROUND(Assumptions!$P$21*(1+Assumptions!$P$38)^(V$9-1)/12,0))</f>
        <v/>
      </c>
      <c r="W40" s="228">
        <f>IF(W$11=0,0,-ROUND(Assumptions!$P$21*(1+Assumptions!$P$38)^(W$9-1)/12,0))</f>
        <v/>
      </c>
      <c r="X40" s="228">
        <f>IF(X$11=0,0,-ROUND(Assumptions!$P$21*(1+Assumptions!$P$38)^(X$9-1)/12,0))</f>
        <v/>
      </c>
      <c r="Y40" s="228">
        <f>IF(Y$11=0,0,-ROUND(Assumptions!$P$21*(1+Assumptions!$P$38)^(Y$9-1)/12,0))</f>
        <v/>
      </c>
      <c r="Z40" s="228">
        <f>IF(Z$11=0,0,-ROUND(Assumptions!$P$21*(1+Assumptions!$P$38)^(Z$9-1)/12,0))</f>
        <v/>
      </c>
      <c r="AA40" s="228">
        <f>IF(AA$11=0,0,-ROUND(Assumptions!$P$21*(1+Assumptions!$P$38)^(AA$9-1)/12,0))</f>
        <v/>
      </c>
      <c r="AB40" s="228">
        <f>IF(AB$11=0,0,-ROUND(Assumptions!$P$21*(1+Assumptions!$P$38)^(AB$9-1)/12,0))</f>
        <v/>
      </c>
      <c r="AC40" s="228">
        <f>IF(AC$11=0,0,-ROUND(Assumptions!$P$21*(1+Assumptions!$P$38)^(AC$9-1)/12,0))</f>
        <v/>
      </c>
      <c r="AD40" s="228">
        <f>IF(AD$11=0,0,-ROUND(Assumptions!$P$21*(1+Assumptions!$P$38)^(AD$9-1)/12,0))</f>
        <v/>
      </c>
      <c r="AE40" s="228">
        <f>IF(AE$11=0,0,-ROUND(Assumptions!$P$21*(1+Assumptions!$P$38)^(AE$9-1)/12,0))</f>
        <v/>
      </c>
      <c r="AF40" s="228">
        <f>IF(AF$11=0,0,-ROUND(Assumptions!$P$21*(1+Assumptions!$P$38)^(AF$9-1)/12,0))</f>
        <v/>
      </c>
      <c r="AG40" s="228">
        <f>IF(AG$11=0,0,-ROUND(Assumptions!$P$21*(1+Assumptions!$P$38)^(AG$9-1)/12,0))</f>
        <v/>
      </c>
      <c r="AH40" s="228">
        <f>IF(AH$11=0,0,-ROUND(Assumptions!$P$21*(1+Assumptions!$P$38)^(AH$9-1)/12,0))</f>
        <v/>
      </c>
      <c r="AI40" s="228">
        <f>IF(AI$11=0,0,-ROUND(Assumptions!$P$21*(1+Assumptions!$P$38)^(AI$9-1)/12,0))</f>
        <v/>
      </c>
      <c r="AJ40" s="228">
        <f>IF(AJ$11=0,0,-ROUND(Assumptions!$P$21*(1+Assumptions!$P$38)^(AJ$9-1)/12,0))</f>
        <v/>
      </c>
      <c r="AK40" s="228">
        <f>IF(AK$11=0,0,-ROUND(Assumptions!$P$21*(1+Assumptions!$P$38)^(AK$9-1)/12,0))</f>
        <v/>
      </c>
      <c r="AL40" s="228">
        <f>IF(AL$11=0,0,-ROUND(Assumptions!$P$21*(1+Assumptions!$P$38)^(AL$9-1)/12,0))</f>
        <v/>
      </c>
      <c r="AM40" s="228">
        <f>IF(AM$11=0,0,-ROUND(Assumptions!$P$21*(1+Assumptions!$P$38)^(AM$9-1)/12,0))</f>
        <v/>
      </c>
      <c r="AN40" s="228">
        <f>IF(AN$11=0,0,-ROUND(Assumptions!$P$21*(1+Assumptions!$P$38)^(AN$9-1)/12,0))</f>
        <v/>
      </c>
      <c r="AO40" s="228">
        <f>IF(AO$11=0,0,-ROUND(Assumptions!$P$21*(1+Assumptions!$P$38)^(AO$9-1)/12,0))</f>
        <v/>
      </c>
      <c r="AP40" s="228">
        <f>IF(AP$11=0,0,-ROUND(Assumptions!$P$21*(1+Assumptions!$P$38)^(AP$9-1)/12,0))</f>
        <v/>
      </c>
      <c r="AQ40" s="228">
        <f>IF(AQ$11=0,0,-ROUND(Assumptions!$P$21*(1+Assumptions!$P$38)^(AQ$9-1)/12,0))</f>
        <v/>
      </c>
      <c r="AR40" s="228">
        <f>IF(AR$11=0,0,-ROUND(Assumptions!$P$21*(1+Assumptions!$P$38)^(AR$9-1)/12,0))</f>
        <v/>
      </c>
      <c r="AS40" s="228">
        <f>IF(AS$11=0,0,-ROUND(Assumptions!$P$21*(1+Assumptions!$P$38)^(AS$9-1)/12,0))</f>
        <v/>
      </c>
      <c r="AT40" s="228">
        <f>IF(AT$11=0,0,-ROUND(Assumptions!$P$21*(1+Assumptions!$P$38)^(AT$9-1)/12,0))</f>
        <v/>
      </c>
      <c r="AU40" s="228">
        <f>IF(AU$11=0,0,-ROUND(Assumptions!$P$21*(1+Assumptions!$P$38)^(AU$9-1)/12,0))</f>
        <v/>
      </c>
      <c r="AV40" s="228">
        <f>IF(AV$11=0,0,-ROUND(Assumptions!$P$21*(1+Assumptions!$P$38)^(AV$9-1)/12,0))</f>
        <v/>
      </c>
      <c r="AW40" s="228">
        <f>IF(AW$11=0,0,-ROUND(Assumptions!$P$21*(1+Assumptions!$P$38)^(AW$9-1)/12,0))</f>
        <v/>
      </c>
      <c r="AX40" s="228">
        <f>IF(AX$11=0,0,-ROUND(Assumptions!$P$21*(1+Assumptions!$P$38)^(AX$9-1)/12,0))</f>
        <v/>
      </c>
      <c r="AY40" s="228">
        <f>IF(AY$11=0,0,-ROUND(Assumptions!$P$21*(1+Assumptions!$P$38)^(AY$9-1)/12,0))</f>
        <v/>
      </c>
      <c r="AZ40" s="228">
        <f>IF(AZ$11=0,0,-ROUND(Assumptions!$P$21*(1+Assumptions!$P$38)^(AZ$9-1)/12,0))</f>
        <v/>
      </c>
      <c r="BA40" s="228">
        <f>IF(BA$11=0,0,-ROUND(Assumptions!$P$21*(1+Assumptions!$P$38)^(BA$9-1)/12,0))</f>
        <v/>
      </c>
      <c r="BB40" s="228">
        <f>IF(BB$11=0,0,-ROUND(Assumptions!$P$21*(1+Assumptions!$P$38)^(BB$9-1)/12,0))</f>
        <v/>
      </c>
      <c r="BC40" s="228">
        <f>IF(BC$11=0,0,-ROUND(Assumptions!$P$21*(1+Assumptions!$P$38)^(BC$9-1)/12,0))</f>
        <v/>
      </c>
      <c r="BD40" s="228">
        <f>IF(BD$11=0,0,-ROUND(Assumptions!$P$21*(1+Assumptions!$P$38)^(BD$9-1)/12,0))</f>
        <v/>
      </c>
      <c r="BE40" s="228">
        <f>IF(BE$11=0,0,-ROUND(Assumptions!$P$21*(1+Assumptions!$P$38)^(BE$9-1)/12,0))</f>
        <v/>
      </c>
      <c r="BF40" s="228">
        <f>IF(BF$11=0,0,-ROUND(Assumptions!$P$21*(1+Assumptions!$P$38)^(BF$9-1)/12,0))</f>
        <v/>
      </c>
      <c r="BG40" s="228">
        <f>IF(BG$11=0,0,-ROUND(Assumptions!$P$21*(1+Assumptions!$P$38)^(BG$9-1)/12,0))</f>
        <v/>
      </c>
      <c r="BH40" s="228">
        <f>IF(BH$11=0,0,-ROUND(Assumptions!$P$21*(1+Assumptions!$P$38)^(BH$9-1)/12,0))</f>
        <v/>
      </c>
      <c r="BI40" s="228">
        <f>IF(BI$11=0,0,-ROUND(Assumptions!$P$21*(1+Assumptions!$P$38)^(BI$9-1)/12,0))</f>
        <v/>
      </c>
      <c r="BJ40" s="228">
        <f>IF(BJ$11=0,0,-ROUND(Assumptions!$P$21*(1+Assumptions!$P$38)^(BJ$9-1)/12,0))</f>
        <v/>
      </c>
      <c r="BK40" s="228">
        <f>IF(BK$11=0,0,-ROUND(Assumptions!$P$21*(1+Assumptions!$P$38)^(BK$9-1)/12,0))</f>
        <v/>
      </c>
      <c r="BL40" s="228">
        <f>IF(BL$11=0,0,-ROUND(Assumptions!$P$21*(1+Assumptions!$P$38)^(BL$9-1)/12,0))</f>
        <v/>
      </c>
      <c r="BM40" s="228">
        <f>IF(BM$11=0,0,-ROUND(Assumptions!$P$21*(1+Assumptions!$P$38)^(BM$9-1)/12,0))</f>
        <v/>
      </c>
      <c r="BN40" s="228">
        <f>IF(BN$11=0,0,-ROUND(Assumptions!$P$21*(1+Assumptions!$P$38)^(BN$9-1)/12,0))</f>
        <v/>
      </c>
      <c r="BO40" s="228">
        <f>IF(BO$11=0,0,-ROUND(Assumptions!$P$21*(1+Assumptions!$P$38)^(BO$9-1)/12,0))</f>
        <v/>
      </c>
      <c r="BP40" s="228">
        <f>IF(BP$11=0,0,-ROUND(Assumptions!$P$21*(1+Assumptions!$P$38)^(BP$9-1)/12,0))</f>
        <v/>
      </c>
      <c r="BQ40" s="228">
        <f>IF(BQ$11=0,0,-ROUND(Assumptions!$P$21*(1+Assumptions!$P$38)^(BQ$9-1)/12,0))</f>
        <v/>
      </c>
      <c r="BR40" s="228">
        <f>IF(BR$11=0,0,-ROUND(Assumptions!$P$21*(1+Assumptions!$P$38)^(BR$9-1)/12,0))</f>
        <v/>
      </c>
      <c r="BS40" s="228">
        <f>IF(BS$11=0,0,-ROUND(Assumptions!$P$21*(1+Assumptions!$P$38)^(BS$9-1)/12,0))</f>
        <v/>
      </c>
      <c r="BT40" s="228">
        <f>IF(BT$11=0,0,-ROUND(Assumptions!$P$21*(1+Assumptions!$P$38)^(BT$9-1)/12,0))</f>
        <v/>
      </c>
      <c r="BU40" s="228">
        <f>IF(BU$11=0,0,-ROUND(Assumptions!$P$21*(1+Assumptions!$P$38)^(BU$9-1)/12,0))</f>
        <v/>
      </c>
      <c r="BV40" s="228">
        <f>IF(BV$11=0,0,-ROUND(Assumptions!$P$21*(1+Assumptions!$P$38)^(BV$9-1)/12,0))</f>
        <v/>
      </c>
      <c r="BW40" s="228">
        <f>IF(BW$11=0,0,-ROUND(Assumptions!$P$21*(1+Assumptions!$P$38)^(BW$9-1)/12,0))</f>
        <v/>
      </c>
      <c r="BX40" s="228">
        <f>IF(BX$11=0,0,-ROUND(Assumptions!$P$21*(1+Assumptions!$P$38)^(BX$9-1)/12,0))</f>
        <v/>
      </c>
      <c r="BY40" s="228">
        <f>IF(BY$11=0,0,-ROUND(Assumptions!$P$21*(1+Assumptions!$P$38)^(BY$9-1)/12,0))</f>
        <v/>
      </c>
      <c r="BZ40" s="228">
        <f>IF(BZ$11=0,0,-ROUND(Assumptions!$P$21*(1+Assumptions!$P$38)^(BZ$9-1)/12,0))</f>
        <v/>
      </c>
      <c r="CA40" s="228">
        <f>IF(CA$11=0,0,-ROUND(Assumptions!$P$21*(1+Assumptions!$P$38)^(CA$9-1)/12,0))</f>
        <v/>
      </c>
      <c r="CB40" s="228">
        <f>IF(CB$11=0,0,-ROUND(Assumptions!$P$21*(1+Assumptions!$P$38)^(CB$9-1)/12,0))</f>
        <v/>
      </c>
      <c r="CC40" s="228">
        <f>IF(CC$11=0,0,-ROUND(Assumptions!$P$21*(1+Assumptions!$P$38)^(CC$9-1)/12,0))</f>
        <v/>
      </c>
      <c r="CD40" s="228">
        <f>IF(CD$11=0,0,-ROUND(Assumptions!$P$21*(1+Assumptions!$P$38)^(CD$9-1)/12,0))</f>
        <v/>
      </c>
      <c r="CE40" s="228">
        <f>IF(CE$11=0,0,-ROUND(Assumptions!$P$21*(1+Assumptions!$P$38)^(CE$9-1)/12,0))</f>
        <v/>
      </c>
      <c r="CF40" s="228">
        <f>IF(CF$11=0,0,-ROUND(Assumptions!$P$21*(1+Assumptions!$P$38)^(CF$9-1)/12,0))</f>
        <v/>
      </c>
      <c r="CG40" s="228">
        <f>IF(CG$11=0,0,-ROUND(Assumptions!$P$21*(1+Assumptions!$P$38)^(CG$9-1)/12,0))</f>
        <v/>
      </c>
      <c r="CH40" s="228">
        <f>IF(CH$11=0,0,-ROUND(Assumptions!$P$21*(1+Assumptions!$P$38)^(CH$9-1)/12,0))</f>
        <v/>
      </c>
      <c r="CI40" s="228">
        <f>IF(CI$11=0,0,-ROUND(Assumptions!$P$21*(1+Assumptions!$P$38)^(CI$9-1)/12,0))</f>
        <v/>
      </c>
      <c r="CJ40" s="228">
        <f>IF(CJ$11=0,0,-ROUND(Assumptions!$P$21*(1+Assumptions!$P$38)^(CJ$9-1)/12,0))</f>
        <v/>
      </c>
      <c r="CK40" s="228">
        <f>IF(CK$11=0,0,-ROUND(Assumptions!$P$21*(1+Assumptions!$P$38)^(CK$9-1)/12,0))</f>
        <v/>
      </c>
      <c r="CL40" s="228">
        <f>IF(CL$11=0,0,-ROUND(Assumptions!$P$21*(1+Assumptions!$P$38)^(CL$9-1)/12,0))</f>
        <v/>
      </c>
      <c r="CM40" s="228">
        <f>IF(CM$11=0,0,-ROUND(Assumptions!$P$21*(1+Assumptions!$P$38)^(CM$9-1)/12,0))</f>
        <v/>
      </c>
      <c r="CN40" s="228">
        <f>IF(CN$11=0,0,-ROUND(Assumptions!$P$21*(1+Assumptions!$P$38)^(CN$9-1)/12,0))</f>
        <v/>
      </c>
      <c r="CO40" s="228">
        <f>IF(CO$11=0,0,-ROUND(Assumptions!$P$21*(1+Assumptions!$P$38)^(CO$9-1)/12,0))</f>
        <v/>
      </c>
      <c r="CP40" s="228">
        <f>IF(CP$11=0,0,-ROUND(Assumptions!$P$21*(1+Assumptions!$P$38)^(CP$9-1)/12,0))</f>
        <v/>
      </c>
      <c r="CQ40" s="228">
        <f>IF(CQ$11=0,0,-ROUND(Assumptions!$P$21*(1+Assumptions!$P$38)^(CQ$9-1)/12,0))</f>
        <v/>
      </c>
      <c r="CR40" s="228">
        <f>IF(CR$11=0,0,-ROUND(Assumptions!$P$21*(1+Assumptions!$P$38)^(CR$9-1)/12,0))</f>
        <v/>
      </c>
      <c r="CS40" s="228">
        <f>IF(CS$11=0,0,-ROUND(Assumptions!$P$21*(1+Assumptions!$P$38)^(CS$9-1)/12,0))</f>
        <v/>
      </c>
      <c r="CT40" s="228">
        <f>IF(CT$11=0,0,-ROUND(Assumptions!$P$21*(1+Assumptions!$P$38)^(CT$9-1)/12,0))</f>
        <v/>
      </c>
      <c r="CU40" s="228">
        <f>IF(CU$11=0,0,-ROUND(Assumptions!$P$21*(1+Assumptions!$P$38)^(CU$9-1)/12,0))</f>
        <v/>
      </c>
      <c r="CV40" s="228">
        <f>IF(CV$11=0,0,-ROUND(Assumptions!$P$21*(1+Assumptions!$P$38)^(CV$9-1)/12,0))</f>
        <v/>
      </c>
      <c r="CW40" s="228">
        <f>IF(CW$11=0,0,-ROUND(Assumptions!$P$21*(1+Assumptions!$P$38)^(CW$9-1)/12,0))</f>
        <v/>
      </c>
      <c r="CX40" s="228">
        <f>IF(CX$11=0,0,-ROUND(Assumptions!$P$21*(1+Assumptions!$P$38)^(CX$9-1)/12,0))</f>
        <v/>
      </c>
      <c r="CY40" s="228">
        <f>IF(CY$11=0,0,-ROUND(Assumptions!$P$21*(1+Assumptions!$P$38)^(CY$9-1)/12,0))</f>
        <v/>
      </c>
      <c r="CZ40" s="228">
        <f>IF(CZ$11=0,0,-ROUND(Assumptions!$P$21*(1+Assumptions!$P$38)^(CZ$9-1)/12,0))</f>
        <v/>
      </c>
      <c r="DA40" s="228">
        <f>IF(DA$11=0,0,-ROUND(Assumptions!$P$21*(1+Assumptions!$P$38)^(DA$9-1)/12,0))</f>
        <v/>
      </c>
      <c r="DB40" s="228">
        <f>IF(DB$11=0,0,-ROUND(Assumptions!$P$21*(1+Assumptions!$P$38)^(DB$9-1)/12,0))</f>
        <v/>
      </c>
      <c r="DC40" s="228">
        <f>IF(DC$11=0,0,-ROUND(Assumptions!$P$21*(1+Assumptions!$P$38)^(DC$9-1)/12,0))</f>
        <v/>
      </c>
      <c r="DD40" s="228">
        <f>IF(DD$11=0,0,-ROUND(Assumptions!$P$21*(1+Assumptions!$P$38)^(DD$9-1)/12,0))</f>
        <v/>
      </c>
      <c r="DE40" s="228">
        <f>IF(DE$11=0,0,-ROUND(Assumptions!$P$21*(1+Assumptions!$P$38)^(DE$9-1)/12,0))</f>
        <v/>
      </c>
      <c r="DF40" s="228">
        <f>IF(DF$11=0,0,-ROUND(Assumptions!$P$21*(1+Assumptions!$P$38)^(DF$9-1)/12,0))</f>
        <v/>
      </c>
      <c r="DG40" s="228">
        <f>IF(DG$11=0,0,-ROUND(Assumptions!$P$21*(1+Assumptions!$P$38)^(DG$9-1)/12,0))</f>
        <v/>
      </c>
      <c r="DH40" s="228">
        <f>IF(DH$11=0,0,-ROUND(Assumptions!$P$21*(1+Assumptions!$P$38)^(DH$9-1)/12,0))</f>
        <v/>
      </c>
      <c r="DI40" s="228">
        <f>IF(DI$11=0,0,-ROUND(Assumptions!$P$21*(1+Assumptions!$P$38)^(DI$9-1)/12,0))</f>
        <v/>
      </c>
      <c r="DJ40" s="228">
        <f>IF(DJ$11=0,0,-ROUND(Assumptions!$P$21*(1+Assumptions!$P$38)^(DJ$9-1)/12,0))</f>
        <v/>
      </c>
      <c r="DK40" s="228">
        <f>IF(DK$11=0,0,-ROUND(Assumptions!$P$21*(1+Assumptions!$P$38)^(DK$9-1)/12,0))</f>
        <v/>
      </c>
      <c r="DL40" s="228">
        <f>IF(DL$11=0,0,-ROUND(Assumptions!$P$21*(1+Assumptions!$P$38)^(DL$9-1)/12,0))</f>
        <v/>
      </c>
      <c r="DM40" s="228">
        <f>IF(DM$11=0,0,-ROUND(Assumptions!$P$21*(1+Assumptions!$P$38)^(DM$9-1)/12,0))</f>
        <v/>
      </c>
      <c r="DN40" s="228">
        <f>IF(DN$11=0,0,-ROUND(Assumptions!$P$21*(1+Assumptions!$P$38)^(DN$9-1)/12,0))</f>
        <v/>
      </c>
      <c r="DO40" s="228">
        <f>IF(DO$11=0,0,-ROUND(Assumptions!$P$21*(1+Assumptions!$P$38)^(DO$9-1)/12,0))</f>
        <v/>
      </c>
      <c r="DP40" s="228">
        <f>IF(DP$11=0,0,-ROUND(Assumptions!$P$21*(1+Assumptions!$P$38)^(DP$9-1)/12,0))</f>
        <v/>
      </c>
      <c r="DQ40" s="228">
        <f>IF(DQ$11=0,0,-ROUND(Assumptions!$P$21*(1+Assumptions!$P$38)^(DQ$9-1)/12,0))</f>
        <v/>
      </c>
      <c r="DR40" s="228">
        <f>IF(DR$11=0,0,-ROUND(Assumptions!$P$21*(1+Assumptions!$P$38)^(DR$9-1)/12,0))</f>
        <v/>
      </c>
      <c r="DS40" s="228">
        <f>IF(DS$11=0,0,-ROUND(Assumptions!$P$21*(1+Assumptions!$P$38)^(DS$9-1)/12,0))</f>
        <v/>
      </c>
      <c r="DT40" s="228">
        <f>IF(DT$11=0,0,-ROUND(Assumptions!$P$21*(1+Assumptions!$P$38)^(DT$9-1)/12,0))</f>
        <v/>
      </c>
    </row>
    <row r="41" ht="15" customHeight="1" s="148">
      <c r="A41" s="112" t="inlineStr">
        <is>
          <t>Utilities (Annual)</t>
        </is>
      </c>
      <c r="C41" s="228">
        <f>SUM(D41:DT41)</f>
        <v/>
      </c>
      <c r="D41" s="228">
        <f>IF(D$11=0,0,-ROUND(Assumptions!$P$22*(1+Assumptions!$P$38)^(D$9-1)/12,0))</f>
        <v/>
      </c>
      <c r="E41" s="228">
        <f>IF(E$11=0,0,-ROUND(Assumptions!$P$22*(1+Assumptions!$P$38)^(E$9-1)/12,0))</f>
        <v/>
      </c>
      <c r="F41" s="228">
        <f>IF(F$11=0,0,-ROUND(Assumptions!$P$22*(1+Assumptions!$P$38)^(F$9-1)/12,0))</f>
        <v/>
      </c>
      <c r="G41" s="228">
        <f>IF(G$11=0,0,-ROUND(Assumptions!$P$22*(1+Assumptions!$P$38)^(G$9-1)/12,0))</f>
        <v/>
      </c>
      <c r="H41" s="228">
        <f>IF(H$11=0,0,-ROUND(Assumptions!$P$22*(1+Assumptions!$P$38)^(H$9-1)/12,0))</f>
        <v/>
      </c>
      <c r="I41" s="228">
        <f>IF(I$11=0,0,-ROUND(Assumptions!$P$22*(1+Assumptions!$P$38)^(I$9-1)/12,0))</f>
        <v/>
      </c>
      <c r="J41" s="228">
        <f>IF(J$11=0,0,-ROUND(Assumptions!$P$22*(1+Assumptions!$P$38)^(J$9-1)/12,0))</f>
        <v/>
      </c>
      <c r="K41" s="228">
        <f>IF(K$11=0,0,-ROUND(Assumptions!$P$22*(1+Assumptions!$P$38)^(K$9-1)/12,0))</f>
        <v/>
      </c>
      <c r="L41" s="228">
        <f>IF(L$11=0,0,-ROUND(Assumptions!$P$22*(1+Assumptions!$P$38)^(L$9-1)/12,0))</f>
        <v/>
      </c>
      <c r="M41" s="228">
        <f>IF(M$11=0,0,-ROUND(Assumptions!$P$22*(1+Assumptions!$P$38)^(M$9-1)/12,0))</f>
        <v/>
      </c>
      <c r="N41" s="228">
        <f>IF(N$11=0,0,-ROUND(Assumptions!$P$22*(1+Assumptions!$P$38)^(N$9-1)/12,0))</f>
        <v/>
      </c>
      <c r="O41" s="228">
        <f>IF(O$11=0,0,-ROUND(Assumptions!$P$22*(1+Assumptions!$P$38)^(O$9-1)/12,0))</f>
        <v/>
      </c>
      <c r="P41" s="228">
        <f>IF(P$11=0,0,-ROUND(Assumptions!$P$22*(1+Assumptions!$P$38)^(P$9-1)/12,0))</f>
        <v/>
      </c>
      <c r="Q41" s="228">
        <f>IF(Q$11=0,0,-ROUND(Assumptions!$P$22*(1+Assumptions!$P$38)^(Q$9-1)/12,0))</f>
        <v/>
      </c>
      <c r="R41" s="228">
        <f>IF(R$11=0,0,-ROUND(Assumptions!$P$22*(1+Assumptions!$P$38)^(R$9-1)/12,0))</f>
        <v/>
      </c>
      <c r="S41" s="228">
        <f>IF(S$11=0,0,-ROUND(Assumptions!$P$22*(1+Assumptions!$P$38)^(S$9-1)/12,0))</f>
        <v/>
      </c>
      <c r="T41" s="228">
        <f>IF(T$11=0,0,-ROUND(Assumptions!$P$22*(1+Assumptions!$P$38)^(T$9-1)/12,0))</f>
        <v/>
      </c>
      <c r="U41" s="228">
        <f>IF(U$11=0,0,-ROUND(Assumptions!$P$22*(1+Assumptions!$P$38)^(U$9-1)/12,0))</f>
        <v/>
      </c>
      <c r="V41" s="228">
        <f>IF(V$11=0,0,-ROUND(Assumptions!$P$22*(1+Assumptions!$P$38)^(V$9-1)/12,0))</f>
        <v/>
      </c>
      <c r="W41" s="228">
        <f>IF(W$11=0,0,-ROUND(Assumptions!$P$22*(1+Assumptions!$P$38)^(W$9-1)/12,0))</f>
        <v/>
      </c>
      <c r="X41" s="228">
        <f>IF(X$11=0,0,-ROUND(Assumptions!$P$22*(1+Assumptions!$P$38)^(X$9-1)/12,0))</f>
        <v/>
      </c>
      <c r="Y41" s="228">
        <f>IF(Y$11=0,0,-ROUND(Assumptions!$P$22*(1+Assumptions!$P$38)^(Y$9-1)/12,0))</f>
        <v/>
      </c>
      <c r="Z41" s="228">
        <f>IF(Z$11=0,0,-ROUND(Assumptions!$P$22*(1+Assumptions!$P$38)^(Z$9-1)/12,0))</f>
        <v/>
      </c>
      <c r="AA41" s="228">
        <f>IF(AA$11=0,0,-ROUND(Assumptions!$P$22*(1+Assumptions!$P$38)^(AA$9-1)/12,0))</f>
        <v/>
      </c>
      <c r="AB41" s="228">
        <f>IF(AB$11=0,0,-ROUND(Assumptions!$P$22*(1+Assumptions!$P$38)^(AB$9-1)/12,0))</f>
        <v/>
      </c>
      <c r="AC41" s="228">
        <f>IF(AC$11=0,0,-ROUND(Assumptions!$P$22*(1+Assumptions!$P$38)^(AC$9-1)/12,0))</f>
        <v/>
      </c>
      <c r="AD41" s="228">
        <f>IF(AD$11=0,0,-ROUND(Assumptions!$P$22*(1+Assumptions!$P$38)^(AD$9-1)/12,0))</f>
        <v/>
      </c>
      <c r="AE41" s="228">
        <f>IF(AE$11=0,0,-ROUND(Assumptions!$P$22*(1+Assumptions!$P$38)^(AE$9-1)/12,0))</f>
        <v/>
      </c>
      <c r="AF41" s="228">
        <f>IF(AF$11=0,0,-ROUND(Assumptions!$P$22*(1+Assumptions!$P$38)^(AF$9-1)/12,0))</f>
        <v/>
      </c>
      <c r="AG41" s="228">
        <f>IF(AG$11=0,0,-ROUND(Assumptions!$P$22*(1+Assumptions!$P$38)^(AG$9-1)/12,0))</f>
        <v/>
      </c>
      <c r="AH41" s="228">
        <f>IF(AH$11=0,0,-ROUND(Assumptions!$P$22*(1+Assumptions!$P$38)^(AH$9-1)/12,0))</f>
        <v/>
      </c>
      <c r="AI41" s="228">
        <f>IF(AI$11=0,0,-ROUND(Assumptions!$P$22*(1+Assumptions!$P$38)^(AI$9-1)/12,0))</f>
        <v/>
      </c>
      <c r="AJ41" s="228">
        <f>IF(AJ$11=0,0,-ROUND(Assumptions!$P$22*(1+Assumptions!$P$38)^(AJ$9-1)/12,0))</f>
        <v/>
      </c>
      <c r="AK41" s="228">
        <f>IF(AK$11=0,0,-ROUND(Assumptions!$P$22*(1+Assumptions!$P$38)^(AK$9-1)/12,0))</f>
        <v/>
      </c>
      <c r="AL41" s="228">
        <f>IF(AL$11=0,0,-ROUND(Assumptions!$P$22*(1+Assumptions!$P$38)^(AL$9-1)/12,0))</f>
        <v/>
      </c>
      <c r="AM41" s="228">
        <f>IF(AM$11=0,0,-ROUND(Assumptions!$P$22*(1+Assumptions!$P$38)^(AM$9-1)/12,0))</f>
        <v/>
      </c>
      <c r="AN41" s="228">
        <f>IF(AN$11=0,0,-ROUND(Assumptions!$P$22*(1+Assumptions!$P$38)^(AN$9-1)/12,0))</f>
        <v/>
      </c>
      <c r="AO41" s="228">
        <f>IF(AO$11=0,0,-ROUND(Assumptions!$P$22*(1+Assumptions!$P$38)^(AO$9-1)/12,0))</f>
        <v/>
      </c>
      <c r="AP41" s="228">
        <f>IF(AP$11=0,0,-ROUND(Assumptions!$P$22*(1+Assumptions!$P$38)^(AP$9-1)/12,0))</f>
        <v/>
      </c>
      <c r="AQ41" s="228">
        <f>IF(AQ$11=0,0,-ROUND(Assumptions!$P$22*(1+Assumptions!$P$38)^(AQ$9-1)/12,0))</f>
        <v/>
      </c>
      <c r="AR41" s="228">
        <f>IF(AR$11=0,0,-ROUND(Assumptions!$P$22*(1+Assumptions!$P$38)^(AR$9-1)/12,0))</f>
        <v/>
      </c>
      <c r="AS41" s="228">
        <f>IF(AS$11=0,0,-ROUND(Assumptions!$P$22*(1+Assumptions!$P$38)^(AS$9-1)/12,0))</f>
        <v/>
      </c>
      <c r="AT41" s="228">
        <f>IF(AT$11=0,0,-ROUND(Assumptions!$P$22*(1+Assumptions!$P$38)^(AT$9-1)/12,0))</f>
        <v/>
      </c>
      <c r="AU41" s="228">
        <f>IF(AU$11=0,0,-ROUND(Assumptions!$P$22*(1+Assumptions!$P$38)^(AU$9-1)/12,0))</f>
        <v/>
      </c>
      <c r="AV41" s="228">
        <f>IF(AV$11=0,0,-ROUND(Assumptions!$P$22*(1+Assumptions!$P$38)^(AV$9-1)/12,0))</f>
        <v/>
      </c>
      <c r="AW41" s="228">
        <f>IF(AW$11=0,0,-ROUND(Assumptions!$P$22*(1+Assumptions!$P$38)^(AW$9-1)/12,0))</f>
        <v/>
      </c>
      <c r="AX41" s="228">
        <f>IF(AX$11=0,0,-ROUND(Assumptions!$P$22*(1+Assumptions!$P$38)^(AX$9-1)/12,0))</f>
        <v/>
      </c>
      <c r="AY41" s="228">
        <f>IF(AY$11=0,0,-ROUND(Assumptions!$P$22*(1+Assumptions!$P$38)^(AY$9-1)/12,0))</f>
        <v/>
      </c>
      <c r="AZ41" s="228">
        <f>IF(AZ$11=0,0,-ROUND(Assumptions!$P$22*(1+Assumptions!$P$38)^(AZ$9-1)/12,0))</f>
        <v/>
      </c>
      <c r="BA41" s="228">
        <f>IF(BA$11=0,0,-ROUND(Assumptions!$P$22*(1+Assumptions!$P$38)^(BA$9-1)/12,0))</f>
        <v/>
      </c>
      <c r="BB41" s="228">
        <f>IF(BB$11=0,0,-ROUND(Assumptions!$P$22*(1+Assumptions!$P$38)^(BB$9-1)/12,0))</f>
        <v/>
      </c>
      <c r="BC41" s="228">
        <f>IF(BC$11=0,0,-ROUND(Assumptions!$P$22*(1+Assumptions!$P$38)^(BC$9-1)/12,0))</f>
        <v/>
      </c>
      <c r="BD41" s="228">
        <f>IF(BD$11=0,0,-ROUND(Assumptions!$P$22*(1+Assumptions!$P$38)^(BD$9-1)/12,0))</f>
        <v/>
      </c>
      <c r="BE41" s="228">
        <f>IF(BE$11=0,0,-ROUND(Assumptions!$P$22*(1+Assumptions!$P$38)^(BE$9-1)/12,0))</f>
        <v/>
      </c>
      <c r="BF41" s="228">
        <f>IF(BF$11=0,0,-ROUND(Assumptions!$P$22*(1+Assumptions!$P$38)^(BF$9-1)/12,0))</f>
        <v/>
      </c>
      <c r="BG41" s="228">
        <f>IF(BG$11=0,0,-ROUND(Assumptions!$P$22*(1+Assumptions!$P$38)^(BG$9-1)/12,0))</f>
        <v/>
      </c>
      <c r="BH41" s="228">
        <f>IF(BH$11=0,0,-ROUND(Assumptions!$P$22*(1+Assumptions!$P$38)^(BH$9-1)/12,0))</f>
        <v/>
      </c>
      <c r="BI41" s="228">
        <f>IF(BI$11=0,0,-ROUND(Assumptions!$P$22*(1+Assumptions!$P$38)^(BI$9-1)/12,0))</f>
        <v/>
      </c>
      <c r="BJ41" s="228">
        <f>IF(BJ$11=0,0,-ROUND(Assumptions!$P$22*(1+Assumptions!$P$38)^(BJ$9-1)/12,0))</f>
        <v/>
      </c>
      <c r="BK41" s="228">
        <f>IF(BK$11=0,0,-ROUND(Assumptions!$P$22*(1+Assumptions!$P$38)^(BK$9-1)/12,0))</f>
        <v/>
      </c>
      <c r="BL41" s="228">
        <f>IF(BL$11=0,0,-ROUND(Assumptions!$P$22*(1+Assumptions!$P$38)^(BL$9-1)/12,0))</f>
        <v/>
      </c>
      <c r="BM41" s="228">
        <f>IF(BM$11=0,0,-ROUND(Assumptions!$P$22*(1+Assumptions!$P$38)^(BM$9-1)/12,0))</f>
        <v/>
      </c>
      <c r="BN41" s="228">
        <f>IF(BN$11=0,0,-ROUND(Assumptions!$P$22*(1+Assumptions!$P$38)^(BN$9-1)/12,0))</f>
        <v/>
      </c>
      <c r="BO41" s="228">
        <f>IF(BO$11=0,0,-ROUND(Assumptions!$P$22*(1+Assumptions!$P$38)^(BO$9-1)/12,0))</f>
        <v/>
      </c>
      <c r="BP41" s="228">
        <f>IF(BP$11=0,0,-ROUND(Assumptions!$P$22*(1+Assumptions!$P$38)^(BP$9-1)/12,0))</f>
        <v/>
      </c>
      <c r="BQ41" s="228">
        <f>IF(BQ$11=0,0,-ROUND(Assumptions!$P$22*(1+Assumptions!$P$38)^(BQ$9-1)/12,0))</f>
        <v/>
      </c>
      <c r="BR41" s="228">
        <f>IF(BR$11=0,0,-ROUND(Assumptions!$P$22*(1+Assumptions!$P$38)^(BR$9-1)/12,0))</f>
        <v/>
      </c>
      <c r="BS41" s="228">
        <f>IF(BS$11=0,0,-ROUND(Assumptions!$P$22*(1+Assumptions!$P$38)^(BS$9-1)/12,0))</f>
        <v/>
      </c>
      <c r="BT41" s="228">
        <f>IF(BT$11=0,0,-ROUND(Assumptions!$P$22*(1+Assumptions!$P$38)^(BT$9-1)/12,0))</f>
        <v/>
      </c>
      <c r="BU41" s="228">
        <f>IF(BU$11=0,0,-ROUND(Assumptions!$P$22*(1+Assumptions!$P$38)^(BU$9-1)/12,0))</f>
        <v/>
      </c>
      <c r="BV41" s="228">
        <f>IF(BV$11=0,0,-ROUND(Assumptions!$P$22*(1+Assumptions!$P$38)^(BV$9-1)/12,0))</f>
        <v/>
      </c>
      <c r="BW41" s="228">
        <f>IF(BW$11=0,0,-ROUND(Assumptions!$P$22*(1+Assumptions!$P$38)^(BW$9-1)/12,0))</f>
        <v/>
      </c>
      <c r="BX41" s="228">
        <f>IF(BX$11=0,0,-ROUND(Assumptions!$P$22*(1+Assumptions!$P$38)^(BX$9-1)/12,0))</f>
        <v/>
      </c>
      <c r="BY41" s="228">
        <f>IF(BY$11=0,0,-ROUND(Assumptions!$P$22*(1+Assumptions!$P$38)^(BY$9-1)/12,0))</f>
        <v/>
      </c>
      <c r="BZ41" s="228">
        <f>IF(BZ$11=0,0,-ROUND(Assumptions!$P$22*(1+Assumptions!$P$38)^(BZ$9-1)/12,0))</f>
        <v/>
      </c>
      <c r="CA41" s="228">
        <f>IF(CA$11=0,0,-ROUND(Assumptions!$P$22*(1+Assumptions!$P$38)^(CA$9-1)/12,0))</f>
        <v/>
      </c>
      <c r="CB41" s="228">
        <f>IF(CB$11=0,0,-ROUND(Assumptions!$P$22*(1+Assumptions!$P$38)^(CB$9-1)/12,0))</f>
        <v/>
      </c>
      <c r="CC41" s="228">
        <f>IF(CC$11=0,0,-ROUND(Assumptions!$P$22*(1+Assumptions!$P$38)^(CC$9-1)/12,0))</f>
        <v/>
      </c>
      <c r="CD41" s="228">
        <f>IF(CD$11=0,0,-ROUND(Assumptions!$P$22*(1+Assumptions!$P$38)^(CD$9-1)/12,0))</f>
        <v/>
      </c>
      <c r="CE41" s="228">
        <f>IF(CE$11=0,0,-ROUND(Assumptions!$P$22*(1+Assumptions!$P$38)^(CE$9-1)/12,0))</f>
        <v/>
      </c>
      <c r="CF41" s="228">
        <f>IF(CF$11=0,0,-ROUND(Assumptions!$P$22*(1+Assumptions!$P$38)^(CF$9-1)/12,0))</f>
        <v/>
      </c>
      <c r="CG41" s="228">
        <f>IF(CG$11=0,0,-ROUND(Assumptions!$P$22*(1+Assumptions!$P$38)^(CG$9-1)/12,0))</f>
        <v/>
      </c>
      <c r="CH41" s="228">
        <f>IF(CH$11=0,0,-ROUND(Assumptions!$P$22*(1+Assumptions!$P$38)^(CH$9-1)/12,0))</f>
        <v/>
      </c>
      <c r="CI41" s="228">
        <f>IF(CI$11=0,0,-ROUND(Assumptions!$P$22*(1+Assumptions!$P$38)^(CI$9-1)/12,0))</f>
        <v/>
      </c>
      <c r="CJ41" s="228">
        <f>IF(CJ$11=0,0,-ROUND(Assumptions!$P$22*(1+Assumptions!$P$38)^(CJ$9-1)/12,0))</f>
        <v/>
      </c>
      <c r="CK41" s="228">
        <f>IF(CK$11=0,0,-ROUND(Assumptions!$P$22*(1+Assumptions!$P$38)^(CK$9-1)/12,0))</f>
        <v/>
      </c>
      <c r="CL41" s="228">
        <f>IF(CL$11=0,0,-ROUND(Assumptions!$P$22*(1+Assumptions!$P$38)^(CL$9-1)/12,0))</f>
        <v/>
      </c>
      <c r="CM41" s="228">
        <f>IF(CM$11=0,0,-ROUND(Assumptions!$P$22*(1+Assumptions!$P$38)^(CM$9-1)/12,0))</f>
        <v/>
      </c>
      <c r="CN41" s="228">
        <f>IF(CN$11=0,0,-ROUND(Assumptions!$P$22*(1+Assumptions!$P$38)^(CN$9-1)/12,0))</f>
        <v/>
      </c>
      <c r="CO41" s="228">
        <f>IF(CO$11=0,0,-ROUND(Assumptions!$P$22*(1+Assumptions!$P$38)^(CO$9-1)/12,0))</f>
        <v/>
      </c>
      <c r="CP41" s="228">
        <f>IF(CP$11=0,0,-ROUND(Assumptions!$P$22*(1+Assumptions!$P$38)^(CP$9-1)/12,0))</f>
        <v/>
      </c>
      <c r="CQ41" s="228">
        <f>IF(CQ$11=0,0,-ROUND(Assumptions!$P$22*(1+Assumptions!$P$38)^(CQ$9-1)/12,0))</f>
        <v/>
      </c>
      <c r="CR41" s="228">
        <f>IF(CR$11=0,0,-ROUND(Assumptions!$P$22*(1+Assumptions!$P$38)^(CR$9-1)/12,0))</f>
        <v/>
      </c>
      <c r="CS41" s="228">
        <f>IF(CS$11=0,0,-ROUND(Assumptions!$P$22*(1+Assumptions!$P$38)^(CS$9-1)/12,0))</f>
        <v/>
      </c>
      <c r="CT41" s="228">
        <f>IF(CT$11=0,0,-ROUND(Assumptions!$P$22*(1+Assumptions!$P$38)^(CT$9-1)/12,0))</f>
        <v/>
      </c>
      <c r="CU41" s="228">
        <f>IF(CU$11=0,0,-ROUND(Assumptions!$P$22*(1+Assumptions!$P$38)^(CU$9-1)/12,0))</f>
        <v/>
      </c>
      <c r="CV41" s="228">
        <f>IF(CV$11=0,0,-ROUND(Assumptions!$P$22*(1+Assumptions!$P$38)^(CV$9-1)/12,0))</f>
        <v/>
      </c>
      <c r="CW41" s="228">
        <f>IF(CW$11=0,0,-ROUND(Assumptions!$P$22*(1+Assumptions!$P$38)^(CW$9-1)/12,0))</f>
        <v/>
      </c>
      <c r="CX41" s="228">
        <f>IF(CX$11=0,0,-ROUND(Assumptions!$P$22*(1+Assumptions!$P$38)^(CX$9-1)/12,0))</f>
        <v/>
      </c>
      <c r="CY41" s="228">
        <f>IF(CY$11=0,0,-ROUND(Assumptions!$P$22*(1+Assumptions!$P$38)^(CY$9-1)/12,0))</f>
        <v/>
      </c>
      <c r="CZ41" s="228">
        <f>IF(CZ$11=0,0,-ROUND(Assumptions!$P$22*(1+Assumptions!$P$38)^(CZ$9-1)/12,0))</f>
        <v/>
      </c>
      <c r="DA41" s="228">
        <f>IF(DA$11=0,0,-ROUND(Assumptions!$P$22*(1+Assumptions!$P$38)^(DA$9-1)/12,0))</f>
        <v/>
      </c>
      <c r="DB41" s="228">
        <f>IF(DB$11=0,0,-ROUND(Assumptions!$P$22*(1+Assumptions!$P$38)^(DB$9-1)/12,0))</f>
        <v/>
      </c>
      <c r="DC41" s="228">
        <f>IF(DC$11=0,0,-ROUND(Assumptions!$P$22*(1+Assumptions!$P$38)^(DC$9-1)/12,0))</f>
        <v/>
      </c>
      <c r="DD41" s="228">
        <f>IF(DD$11=0,0,-ROUND(Assumptions!$P$22*(1+Assumptions!$P$38)^(DD$9-1)/12,0))</f>
        <v/>
      </c>
      <c r="DE41" s="228">
        <f>IF(DE$11=0,0,-ROUND(Assumptions!$P$22*(1+Assumptions!$P$38)^(DE$9-1)/12,0))</f>
        <v/>
      </c>
      <c r="DF41" s="228">
        <f>IF(DF$11=0,0,-ROUND(Assumptions!$P$22*(1+Assumptions!$P$38)^(DF$9-1)/12,0))</f>
        <v/>
      </c>
      <c r="DG41" s="228">
        <f>IF(DG$11=0,0,-ROUND(Assumptions!$P$22*(1+Assumptions!$P$38)^(DG$9-1)/12,0))</f>
        <v/>
      </c>
      <c r="DH41" s="228">
        <f>IF(DH$11=0,0,-ROUND(Assumptions!$P$22*(1+Assumptions!$P$38)^(DH$9-1)/12,0))</f>
        <v/>
      </c>
      <c r="DI41" s="228">
        <f>IF(DI$11=0,0,-ROUND(Assumptions!$P$22*(1+Assumptions!$P$38)^(DI$9-1)/12,0))</f>
        <v/>
      </c>
      <c r="DJ41" s="228">
        <f>IF(DJ$11=0,0,-ROUND(Assumptions!$P$22*(1+Assumptions!$P$38)^(DJ$9-1)/12,0))</f>
        <v/>
      </c>
      <c r="DK41" s="228">
        <f>IF(DK$11=0,0,-ROUND(Assumptions!$P$22*(1+Assumptions!$P$38)^(DK$9-1)/12,0))</f>
        <v/>
      </c>
      <c r="DL41" s="228">
        <f>IF(DL$11=0,0,-ROUND(Assumptions!$P$22*(1+Assumptions!$P$38)^(DL$9-1)/12,0))</f>
        <v/>
      </c>
      <c r="DM41" s="228">
        <f>IF(DM$11=0,0,-ROUND(Assumptions!$P$22*(1+Assumptions!$P$38)^(DM$9-1)/12,0))</f>
        <v/>
      </c>
      <c r="DN41" s="228">
        <f>IF(DN$11=0,0,-ROUND(Assumptions!$P$22*(1+Assumptions!$P$38)^(DN$9-1)/12,0))</f>
        <v/>
      </c>
      <c r="DO41" s="228">
        <f>IF(DO$11=0,0,-ROUND(Assumptions!$P$22*(1+Assumptions!$P$38)^(DO$9-1)/12,0))</f>
        <v/>
      </c>
      <c r="DP41" s="228">
        <f>IF(DP$11=0,0,-ROUND(Assumptions!$P$22*(1+Assumptions!$P$38)^(DP$9-1)/12,0))</f>
        <v/>
      </c>
      <c r="DQ41" s="228">
        <f>IF(DQ$11=0,0,-ROUND(Assumptions!$P$22*(1+Assumptions!$P$38)^(DQ$9-1)/12,0))</f>
        <v/>
      </c>
      <c r="DR41" s="228">
        <f>IF(DR$11=0,0,-ROUND(Assumptions!$P$22*(1+Assumptions!$P$38)^(DR$9-1)/12,0))</f>
        <v/>
      </c>
      <c r="DS41" s="228">
        <f>IF(DS$11=0,0,-ROUND(Assumptions!$P$22*(1+Assumptions!$P$38)^(DS$9-1)/12,0))</f>
        <v/>
      </c>
      <c r="DT41" s="228">
        <f>IF(DT$11=0,0,-ROUND(Assumptions!$P$22*(1+Assumptions!$P$38)^(DT$9-1)/12,0))</f>
        <v/>
      </c>
    </row>
    <row r="42" ht="15" customHeight="1" s="148">
      <c r="A42" s="112" t="inlineStr">
        <is>
          <t>R&amp;M (Annual)</t>
        </is>
      </c>
      <c r="C42" s="228">
        <f>SUM(D42:DT42)</f>
        <v/>
      </c>
      <c r="D42" s="228">
        <f>IF(D$11=0,0,-ROUND(Assumptions!$P$23*(1+Assumptions!$P$38)^(D$9-1)/12,0))</f>
        <v/>
      </c>
      <c r="E42" s="228">
        <f>IF(E$11=0,0,-ROUND(Assumptions!$P$23*(1+Assumptions!$P$38)^(E$9-1)/12,0))</f>
        <v/>
      </c>
      <c r="F42" s="228">
        <f>IF(F$11=0,0,-ROUND(Assumptions!$P$23*(1+Assumptions!$P$38)^(F$9-1)/12,0))</f>
        <v/>
      </c>
      <c r="G42" s="228">
        <f>IF(G$11=0,0,-ROUND(Assumptions!$P$23*(1+Assumptions!$P$38)^(G$9-1)/12,0))</f>
        <v/>
      </c>
      <c r="H42" s="228">
        <f>IF(H$11=0,0,-ROUND(Assumptions!$P$23*(1+Assumptions!$P$38)^(H$9-1)/12,0))</f>
        <v/>
      </c>
      <c r="I42" s="228">
        <f>IF(I$11=0,0,-ROUND(Assumptions!$P$23*(1+Assumptions!$P$38)^(I$9-1)/12,0))</f>
        <v/>
      </c>
      <c r="J42" s="228">
        <f>IF(J$11=0,0,-ROUND(Assumptions!$P$23*(1+Assumptions!$P$38)^(J$9-1)/12,0))</f>
        <v/>
      </c>
      <c r="K42" s="228">
        <f>IF(K$11=0,0,-ROUND(Assumptions!$P$23*(1+Assumptions!$P$38)^(K$9-1)/12,0))</f>
        <v/>
      </c>
      <c r="L42" s="228">
        <f>IF(L$11=0,0,-ROUND(Assumptions!$P$23*(1+Assumptions!$P$38)^(L$9-1)/12,0))</f>
        <v/>
      </c>
      <c r="M42" s="228">
        <f>IF(M$11=0,0,-ROUND(Assumptions!$P$23*(1+Assumptions!$P$38)^(M$9-1)/12,0))</f>
        <v/>
      </c>
      <c r="N42" s="228">
        <f>IF(N$11=0,0,-ROUND(Assumptions!$P$23*(1+Assumptions!$P$38)^(N$9-1)/12,0))</f>
        <v/>
      </c>
      <c r="O42" s="228">
        <f>IF(O$11=0,0,-ROUND(Assumptions!$P$23*(1+Assumptions!$P$38)^(O$9-1)/12,0))</f>
        <v/>
      </c>
      <c r="P42" s="228">
        <f>IF(P$11=0,0,-ROUND(Assumptions!$P$23*(1+Assumptions!$P$38)^(P$9-1)/12,0))</f>
        <v/>
      </c>
      <c r="Q42" s="228">
        <f>IF(Q$11=0,0,-ROUND(Assumptions!$P$23*(1+Assumptions!$P$38)^(Q$9-1)/12,0))</f>
        <v/>
      </c>
      <c r="R42" s="228">
        <f>IF(R$11=0,0,-ROUND(Assumptions!$P$23*(1+Assumptions!$P$38)^(R$9-1)/12,0))</f>
        <v/>
      </c>
      <c r="S42" s="228">
        <f>IF(S$11=0,0,-ROUND(Assumptions!$P$23*(1+Assumptions!$P$38)^(S$9-1)/12,0))</f>
        <v/>
      </c>
      <c r="T42" s="228">
        <f>IF(T$11=0,0,-ROUND(Assumptions!$P$23*(1+Assumptions!$P$38)^(T$9-1)/12,0))</f>
        <v/>
      </c>
      <c r="U42" s="228">
        <f>IF(U$11=0,0,-ROUND(Assumptions!$P$23*(1+Assumptions!$P$38)^(U$9-1)/12,0))</f>
        <v/>
      </c>
      <c r="V42" s="228">
        <f>IF(V$11=0,0,-ROUND(Assumptions!$P$23*(1+Assumptions!$P$38)^(V$9-1)/12,0))</f>
        <v/>
      </c>
      <c r="W42" s="228">
        <f>IF(W$11=0,0,-ROUND(Assumptions!$P$23*(1+Assumptions!$P$38)^(W$9-1)/12,0))</f>
        <v/>
      </c>
      <c r="X42" s="228">
        <f>IF(X$11=0,0,-ROUND(Assumptions!$P$23*(1+Assumptions!$P$38)^(X$9-1)/12,0))</f>
        <v/>
      </c>
      <c r="Y42" s="228">
        <f>IF(Y$11=0,0,-ROUND(Assumptions!$P$23*(1+Assumptions!$P$38)^(Y$9-1)/12,0))</f>
        <v/>
      </c>
      <c r="Z42" s="228">
        <f>IF(Z$11=0,0,-ROUND(Assumptions!$P$23*(1+Assumptions!$P$38)^(Z$9-1)/12,0))</f>
        <v/>
      </c>
      <c r="AA42" s="228">
        <f>IF(AA$11=0,0,-ROUND(Assumptions!$P$23*(1+Assumptions!$P$38)^(AA$9-1)/12,0))</f>
        <v/>
      </c>
      <c r="AB42" s="228">
        <f>IF(AB$11=0,0,-ROUND(Assumptions!$P$23*(1+Assumptions!$P$38)^(AB$9-1)/12,0))</f>
        <v/>
      </c>
      <c r="AC42" s="228">
        <f>IF(AC$11=0,0,-ROUND(Assumptions!$P$23*(1+Assumptions!$P$38)^(AC$9-1)/12,0))</f>
        <v/>
      </c>
      <c r="AD42" s="228">
        <f>IF(AD$11=0,0,-ROUND(Assumptions!$P$23*(1+Assumptions!$P$38)^(AD$9-1)/12,0))</f>
        <v/>
      </c>
      <c r="AE42" s="228">
        <f>IF(AE$11=0,0,-ROUND(Assumptions!$P$23*(1+Assumptions!$P$38)^(AE$9-1)/12,0))</f>
        <v/>
      </c>
      <c r="AF42" s="228">
        <f>IF(AF$11=0,0,-ROUND(Assumptions!$P$23*(1+Assumptions!$P$38)^(AF$9-1)/12,0))</f>
        <v/>
      </c>
      <c r="AG42" s="228">
        <f>IF(AG$11=0,0,-ROUND(Assumptions!$P$23*(1+Assumptions!$P$38)^(AG$9-1)/12,0))</f>
        <v/>
      </c>
      <c r="AH42" s="228">
        <f>IF(AH$11=0,0,-ROUND(Assumptions!$P$23*(1+Assumptions!$P$38)^(AH$9-1)/12,0))</f>
        <v/>
      </c>
      <c r="AI42" s="228">
        <f>IF(AI$11=0,0,-ROUND(Assumptions!$P$23*(1+Assumptions!$P$38)^(AI$9-1)/12,0))</f>
        <v/>
      </c>
      <c r="AJ42" s="228">
        <f>IF(AJ$11=0,0,-ROUND(Assumptions!$P$23*(1+Assumptions!$P$38)^(AJ$9-1)/12,0))</f>
        <v/>
      </c>
      <c r="AK42" s="228">
        <f>IF(AK$11=0,0,-ROUND(Assumptions!$P$23*(1+Assumptions!$P$38)^(AK$9-1)/12,0))</f>
        <v/>
      </c>
      <c r="AL42" s="228">
        <f>IF(AL$11=0,0,-ROUND(Assumptions!$P$23*(1+Assumptions!$P$38)^(AL$9-1)/12,0))</f>
        <v/>
      </c>
      <c r="AM42" s="228">
        <f>IF(AM$11=0,0,-ROUND(Assumptions!$P$23*(1+Assumptions!$P$38)^(AM$9-1)/12,0))</f>
        <v/>
      </c>
      <c r="AN42" s="228">
        <f>IF(AN$11=0,0,-ROUND(Assumptions!$P$23*(1+Assumptions!$P$38)^(AN$9-1)/12,0))</f>
        <v/>
      </c>
      <c r="AO42" s="228">
        <f>IF(AO$11=0,0,-ROUND(Assumptions!$P$23*(1+Assumptions!$P$38)^(AO$9-1)/12,0))</f>
        <v/>
      </c>
      <c r="AP42" s="228">
        <f>IF(AP$11=0,0,-ROUND(Assumptions!$P$23*(1+Assumptions!$P$38)^(AP$9-1)/12,0))</f>
        <v/>
      </c>
      <c r="AQ42" s="228">
        <f>IF(AQ$11=0,0,-ROUND(Assumptions!$P$23*(1+Assumptions!$P$38)^(AQ$9-1)/12,0))</f>
        <v/>
      </c>
      <c r="AR42" s="228">
        <f>IF(AR$11=0,0,-ROUND(Assumptions!$P$23*(1+Assumptions!$P$38)^(AR$9-1)/12,0))</f>
        <v/>
      </c>
      <c r="AS42" s="228">
        <f>IF(AS$11=0,0,-ROUND(Assumptions!$P$23*(1+Assumptions!$P$38)^(AS$9-1)/12,0))</f>
        <v/>
      </c>
      <c r="AT42" s="228">
        <f>IF(AT$11=0,0,-ROUND(Assumptions!$P$23*(1+Assumptions!$P$38)^(AT$9-1)/12,0))</f>
        <v/>
      </c>
      <c r="AU42" s="228">
        <f>IF(AU$11=0,0,-ROUND(Assumptions!$P$23*(1+Assumptions!$P$38)^(AU$9-1)/12,0))</f>
        <v/>
      </c>
      <c r="AV42" s="228">
        <f>IF(AV$11=0,0,-ROUND(Assumptions!$P$23*(1+Assumptions!$P$38)^(AV$9-1)/12,0))</f>
        <v/>
      </c>
      <c r="AW42" s="228">
        <f>IF(AW$11=0,0,-ROUND(Assumptions!$P$23*(1+Assumptions!$P$38)^(AW$9-1)/12,0))</f>
        <v/>
      </c>
      <c r="AX42" s="228">
        <f>IF(AX$11=0,0,-ROUND(Assumptions!$P$23*(1+Assumptions!$P$38)^(AX$9-1)/12,0))</f>
        <v/>
      </c>
      <c r="AY42" s="228">
        <f>IF(AY$11=0,0,-ROUND(Assumptions!$P$23*(1+Assumptions!$P$38)^(AY$9-1)/12,0))</f>
        <v/>
      </c>
      <c r="AZ42" s="228">
        <f>IF(AZ$11=0,0,-ROUND(Assumptions!$P$23*(1+Assumptions!$P$38)^(AZ$9-1)/12,0))</f>
        <v/>
      </c>
      <c r="BA42" s="228">
        <f>IF(BA$11=0,0,-ROUND(Assumptions!$P$23*(1+Assumptions!$P$38)^(BA$9-1)/12,0))</f>
        <v/>
      </c>
      <c r="BB42" s="228">
        <f>IF(BB$11=0,0,-ROUND(Assumptions!$P$23*(1+Assumptions!$P$38)^(BB$9-1)/12,0))</f>
        <v/>
      </c>
      <c r="BC42" s="228">
        <f>IF(BC$11=0,0,-ROUND(Assumptions!$P$23*(1+Assumptions!$P$38)^(BC$9-1)/12,0))</f>
        <v/>
      </c>
      <c r="BD42" s="228">
        <f>IF(BD$11=0,0,-ROUND(Assumptions!$P$23*(1+Assumptions!$P$38)^(BD$9-1)/12,0))</f>
        <v/>
      </c>
      <c r="BE42" s="228">
        <f>IF(BE$11=0,0,-ROUND(Assumptions!$P$23*(1+Assumptions!$P$38)^(BE$9-1)/12,0))</f>
        <v/>
      </c>
      <c r="BF42" s="228">
        <f>IF(BF$11=0,0,-ROUND(Assumptions!$P$23*(1+Assumptions!$P$38)^(BF$9-1)/12,0))</f>
        <v/>
      </c>
      <c r="BG42" s="228">
        <f>IF(BG$11=0,0,-ROUND(Assumptions!$P$23*(1+Assumptions!$P$38)^(BG$9-1)/12,0))</f>
        <v/>
      </c>
      <c r="BH42" s="228">
        <f>IF(BH$11=0,0,-ROUND(Assumptions!$P$23*(1+Assumptions!$P$38)^(BH$9-1)/12,0))</f>
        <v/>
      </c>
      <c r="BI42" s="228">
        <f>IF(BI$11=0,0,-ROUND(Assumptions!$P$23*(1+Assumptions!$P$38)^(BI$9-1)/12,0))</f>
        <v/>
      </c>
      <c r="BJ42" s="228">
        <f>IF(BJ$11=0,0,-ROUND(Assumptions!$P$23*(1+Assumptions!$P$38)^(BJ$9-1)/12,0))</f>
        <v/>
      </c>
      <c r="BK42" s="228">
        <f>IF(BK$11=0,0,-ROUND(Assumptions!$P$23*(1+Assumptions!$P$38)^(BK$9-1)/12,0))</f>
        <v/>
      </c>
      <c r="BL42" s="228">
        <f>IF(BL$11=0,0,-ROUND(Assumptions!$P$23*(1+Assumptions!$P$38)^(BL$9-1)/12,0))</f>
        <v/>
      </c>
      <c r="BM42" s="228">
        <f>IF(BM$11=0,0,-ROUND(Assumptions!$P$23*(1+Assumptions!$P$38)^(BM$9-1)/12,0))</f>
        <v/>
      </c>
      <c r="BN42" s="228">
        <f>IF(BN$11=0,0,-ROUND(Assumptions!$P$23*(1+Assumptions!$P$38)^(BN$9-1)/12,0))</f>
        <v/>
      </c>
      <c r="BO42" s="228">
        <f>IF(BO$11=0,0,-ROUND(Assumptions!$P$23*(1+Assumptions!$P$38)^(BO$9-1)/12,0))</f>
        <v/>
      </c>
      <c r="BP42" s="228">
        <f>IF(BP$11=0,0,-ROUND(Assumptions!$P$23*(1+Assumptions!$P$38)^(BP$9-1)/12,0))</f>
        <v/>
      </c>
      <c r="BQ42" s="228">
        <f>IF(BQ$11=0,0,-ROUND(Assumptions!$P$23*(1+Assumptions!$P$38)^(BQ$9-1)/12,0))</f>
        <v/>
      </c>
      <c r="BR42" s="228">
        <f>IF(BR$11=0,0,-ROUND(Assumptions!$P$23*(1+Assumptions!$P$38)^(BR$9-1)/12,0))</f>
        <v/>
      </c>
      <c r="BS42" s="228">
        <f>IF(BS$11=0,0,-ROUND(Assumptions!$P$23*(1+Assumptions!$P$38)^(BS$9-1)/12,0))</f>
        <v/>
      </c>
      <c r="BT42" s="228">
        <f>IF(BT$11=0,0,-ROUND(Assumptions!$P$23*(1+Assumptions!$P$38)^(BT$9-1)/12,0))</f>
        <v/>
      </c>
      <c r="BU42" s="228">
        <f>IF(BU$11=0,0,-ROUND(Assumptions!$P$23*(1+Assumptions!$P$38)^(BU$9-1)/12,0))</f>
        <v/>
      </c>
      <c r="BV42" s="228">
        <f>IF(BV$11=0,0,-ROUND(Assumptions!$P$23*(1+Assumptions!$P$38)^(BV$9-1)/12,0))</f>
        <v/>
      </c>
      <c r="BW42" s="228">
        <f>IF(BW$11=0,0,-ROUND(Assumptions!$P$23*(1+Assumptions!$P$38)^(BW$9-1)/12,0))</f>
        <v/>
      </c>
      <c r="BX42" s="228">
        <f>IF(BX$11=0,0,-ROUND(Assumptions!$P$23*(1+Assumptions!$P$38)^(BX$9-1)/12,0))</f>
        <v/>
      </c>
      <c r="BY42" s="228">
        <f>IF(BY$11=0,0,-ROUND(Assumptions!$P$23*(1+Assumptions!$P$38)^(BY$9-1)/12,0))</f>
        <v/>
      </c>
      <c r="BZ42" s="228">
        <f>IF(BZ$11=0,0,-ROUND(Assumptions!$P$23*(1+Assumptions!$P$38)^(BZ$9-1)/12,0))</f>
        <v/>
      </c>
      <c r="CA42" s="228">
        <f>IF(CA$11=0,0,-ROUND(Assumptions!$P$23*(1+Assumptions!$P$38)^(CA$9-1)/12,0))</f>
        <v/>
      </c>
      <c r="CB42" s="228">
        <f>IF(CB$11=0,0,-ROUND(Assumptions!$P$23*(1+Assumptions!$P$38)^(CB$9-1)/12,0))</f>
        <v/>
      </c>
      <c r="CC42" s="228">
        <f>IF(CC$11=0,0,-ROUND(Assumptions!$P$23*(1+Assumptions!$P$38)^(CC$9-1)/12,0))</f>
        <v/>
      </c>
      <c r="CD42" s="228">
        <f>IF(CD$11=0,0,-ROUND(Assumptions!$P$23*(1+Assumptions!$P$38)^(CD$9-1)/12,0))</f>
        <v/>
      </c>
      <c r="CE42" s="228">
        <f>IF(CE$11=0,0,-ROUND(Assumptions!$P$23*(1+Assumptions!$P$38)^(CE$9-1)/12,0))</f>
        <v/>
      </c>
      <c r="CF42" s="228">
        <f>IF(CF$11=0,0,-ROUND(Assumptions!$P$23*(1+Assumptions!$P$38)^(CF$9-1)/12,0))</f>
        <v/>
      </c>
      <c r="CG42" s="228">
        <f>IF(CG$11=0,0,-ROUND(Assumptions!$P$23*(1+Assumptions!$P$38)^(CG$9-1)/12,0))</f>
        <v/>
      </c>
      <c r="CH42" s="228">
        <f>IF(CH$11=0,0,-ROUND(Assumptions!$P$23*(1+Assumptions!$P$38)^(CH$9-1)/12,0))</f>
        <v/>
      </c>
      <c r="CI42" s="228">
        <f>IF(CI$11=0,0,-ROUND(Assumptions!$P$23*(1+Assumptions!$P$38)^(CI$9-1)/12,0))</f>
        <v/>
      </c>
      <c r="CJ42" s="228">
        <f>IF(CJ$11=0,0,-ROUND(Assumptions!$P$23*(1+Assumptions!$P$38)^(CJ$9-1)/12,0))</f>
        <v/>
      </c>
      <c r="CK42" s="228">
        <f>IF(CK$11=0,0,-ROUND(Assumptions!$P$23*(1+Assumptions!$P$38)^(CK$9-1)/12,0))</f>
        <v/>
      </c>
      <c r="CL42" s="228">
        <f>IF(CL$11=0,0,-ROUND(Assumptions!$P$23*(1+Assumptions!$P$38)^(CL$9-1)/12,0))</f>
        <v/>
      </c>
      <c r="CM42" s="228">
        <f>IF(CM$11=0,0,-ROUND(Assumptions!$P$23*(1+Assumptions!$P$38)^(CM$9-1)/12,0))</f>
        <v/>
      </c>
      <c r="CN42" s="228">
        <f>IF(CN$11=0,0,-ROUND(Assumptions!$P$23*(1+Assumptions!$P$38)^(CN$9-1)/12,0))</f>
        <v/>
      </c>
      <c r="CO42" s="228">
        <f>IF(CO$11=0,0,-ROUND(Assumptions!$P$23*(1+Assumptions!$P$38)^(CO$9-1)/12,0))</f>
        <v/>
      </c>
      <c r="CP42" s="228">
        <f>IF(CP$11=0,0,-ROUND(Assumptions!$P$23*(1+Assumptions!$P$38)^(CP$9-1)/12,0))</f>
        <v/>
      </c>
      <c r="CQ42" s="228">
        <f>IF(CQ$11=0,0,-ROUND(Assumptions!$P$23*(1+Assumptions!$P$38)^(CQ$9-1)/12,0))</f>
        <v/>
      </c>
      <c r="CR42" s="228">
        <f>IF(CR$11=0,0,-ROUND(Assumptions!$P$23*(1+Assumptions!$P$38)^(CR$9-1)/12,0))</f>
        <v/>
      </c>
      <c r="CS42" s="228">
        <f>IF(CS$11=0,0,-ROUND(Assumptions!$P$23*(1+Assumptions!$P$38)^(CS$9-1)/12,0))</f>
        <v/>
      </c>
      <c r="CT42" s="228">
        <f>IF(CT$11=0,0,-ROUND(Assumptions!$P$23*(1+Assumptions!$P$38)^(CT$9-1)/12,0))</f>
        <v/>
      </c>
      <c r="CU42" s="228">
        <f>IF(CU$11=0,0,-ROUND(Assumptions!$P$23*(1+Assumptions!$P$38)^(CU$9-1)/12,0))</f>
        <v/>
      </c>
      <c r="CV42" s="228">
        <f>IF(CV$11=0,0,-ROUND(Assumptions!$P$23*(1+Assumptions!$P$38)^(CV$9-1)/12,0))</f>
        <v/>
      </c>
      <c r="CW42" s="228">
        <f>IF(CW$11=0,0,-ROUND(Assumptions!$P$23*(1+Assumptions!$P$38)^(CW$9-1)/12,0))</f>
        <v/>
      </c>
      <c r="CX42" s="228">
        <f>IF(CX$11=0,0,-ROUND(Assumptions!$P$23*(1+Assumptions!$P$38)^(CX$9-1)/12,0))</f>
        <v/>
      </c>
      <c r="CY42" s="228">
        <f>IF(CY$11=0,0,-ROUND(Assumptions!$P$23*(1+Assumptions!$P$38)^(CY$9-1)/12,0))</f>
        <v/>
      </c>
      <c r="CZ42" s="228">
        <f>IF(CZ$11=0,0,-ROUND(Assumptions!$P$23*(1+Assumptions!$P$38)^(CZ$9-1)/12,0))</f>
        <v/>
      </c>
      <c r="DA42" s="228">
        <f>IF(DA$11=0,0,-ROUND(Assumptions!$P$23*(1+Assumptions!$P$38)^(DA$9-1)/12,0))</f>
        <v/>
      </c>
      <c r="DB42" s="228">
        <f>IF(DB$11=0,0,-ROUND(Assumptions!$P$23*(1+Assumptions!$P$38)^(DB$9-1)/12,0))</f>
        <v/>
      </c>
      <c r="DC42" s="228">
        <f>IF(DC$11=0,0,-ROUND(Assumptions!$P$23*(1+Assumptions!$P$38)^(DC$9-1)/12,0))</f>
        <v/>
      </c>
      <c r="DD42" s="228">
        <f>IF(DD$11=0,0,-ROUND(Assumptions!$P$23*(1+Assumptions!$P$38)^(DD$9-1)/12,0))</f>
        <v/>
      </c>
      <c r="DE42" s="228">
        <f>IF(DE$11=0,0,-ROUND(Assumptions!$P$23*(1+Assumptions!$P$38)^(DE$9-1)/12,0))</f>
        <v/>
      </c>
      <c r="DF42" s="228">
        <f>IF(DF$11=0,0,-ROUND(Assumptions!$P$23*(1+Assumptions!$P$38)^(DF$9-1)/12,0))</f>
        <v/>
      </c>
      <c r="DG42" s="228">
        <f>IF(DG$11=0,0,-ROUND(Assumptions!$P$23*(1+Assumptions!$P$38)^(DG$9-1)/12,0))</f>
        <v/>
      </c>
      <c r="DH42" s="228">
        <f>IF(DH$11=0,0,-ROUND(Assumptions!$P$23*(1+Assumptions!$P$38)^(DH$9-1)/12,0))</f>
        <v/>
      </c>
      <c r="DI42" s="228">
        <f>IF(DI$11=0,0,-ROUND(Assumptions!$P$23*(1+Assumptions!$P$38)^(DI$9-1)/12,0))</f>
        <v/>
      </c>
      <c r="DJ42" s="228">
        <f>IF(DJ$11=0,0,-ROUND(Assumptions!$P$23*(1+Assumptions!$P$38)^(DJ$9-1)/12,0))</f>
        <v/>
      </c>
      <c r="DK42" s="228">
        <f>IF(DK$11=0,0,-ROUND(Assumptions!$P$23*(1+Assumptions!$P$38)^(DK$9-1)/12,0))</f>
        <v/>
      </c>
      <c r="DL42" s="228">
        <f>IF(DL$11=0,0,-ROUND(Assumptions!$P$23*(1+Assumptions!$P$38)^(DL$9-1)/12,0))</f>
        <v/>
      </c>
      <c r="DM42" s="228">
        <f>IF(DM$11=0,0,-ROUND(Assumptions!$P$23*(1+Assumptions!$P$38)^(DM$9-1)/12,0))</f>
        <v/>
      </c>
      <c r="DN42" s="228">
        <f>IF(DN$11=0,0,-ROUND(Assumptions!$P$23*(1+Assumptions!$P$38)^(DN$9-1)/12,0))</f>
        <v/>
      </c>
      <c r="DO42" s="228">
        <f>IF(DO$11=0,0,-ROUND(Assumptions!$P$23*(1+Assumptions!$P$38)^(DO$9-1)/12,0))</f>
        <v/>
      </c>
      <c r="DP42" s="228">
        <f>IF(DP$11=0,0,-ROUND(Assumptions!$P$23*(1+Assumptions!$P$38)^(DP$9-1)/12,0))</f>
        <v/>
      </c>
      <c r="DQ42" s="228">
        <f>IF(DQ$11=0,0,-ROUND(Assumptions!$P$23*(1+Assumptions!$P$38)^(DQ$9-1)/12,0))</f>
        <v/>
      </c>
      <c r="DR42" s="228">
        <f>IF(DR$11=0,0,-ROUND(Assumptions!$P$23*(1+Assumptions!$P$38)^(DR$9-1)/12,0))</f>
        <v/>
      </c>
      <c r="DS42" s="228">
        <f>IF(DS$11=0,0,-ROUND(Assumptions!$P$23*(1+Assumptions!$P$38)^(DS$9-1)/12,0))</f>
        <v/>
      </c>
      <c r="DT42" s="228">
        <f>IF(DT$11=0,0,-ROUND(Assumptions!$P$23*(1+Assumptions!$P$38)^(DT$9-1)/12,0))</f>
        <v/>
      </c>
    </row>
    <row r="43" ht="15" customHeight="1" s="148">
      <c r="A43" s="112" t="inlineStr">
        <is>
          <t>Cleaning/Janitorial Services (Annual)</t>
        </is>
      </c>
      <c r="C43" s="228">
        <f>SUM(D43:DT43)</f>
        <v/>
      </c>
      <c r="D43" s="228">
        <f>IF(D$11=0,0,-ROUND(Assumptions!$P$24*(1+Assumptions!$P$38)^(D$9-1)/12,0))</f>
        <v/>
      </c>
      <c r="E43" s="228">
        <f>IF(E$11=0,0,-ROUND(Assumptions!$P$24*(1+Assumptions!$P$38)^(E$9-1)/12,0))</f>
        <v/>
      </c>
      <c r="F43" s="228">
        <f>IF(F$11=0,0,-ROUND(Assumptions!$P$24*(1+Assumptions!$P$38)^(F$9-1)/12,0))</f>
        <v/>
      </c>
      <c r="G43" s="228">
        <f>IF(G$11=0,0,-ROUND(Assumptions!$P$24*(1+Assumptions!$P$38)^(G$9-1)/12,0))</f>
        <v/>
      </c>
      <c r="H43" s="228">
        <f>IF(H$11=0,0,-ROUND(Assumptions!$P$24*(1+Assumptions!$P$38)^(H$9-1)/12,0))</f>
        <v/>
      </c>
      <c r="I43" s="228">
        <f>IF(I$11=0,0,-ROUND(Assumptions!$P$24*(1+Assumptions!$P$38)^(I$9-1)/12,0))</f>
        <v/>
      </c>
      <c r="J43" s="228">
        <f>IF(J$11=0,0,-ROUND(Assumptions!$P$24*(1+Assumptions!$P$38)^(J$9-1)/12,0))</f>
        <v/>
      </c>
      <c r="K43" s="228">
        <f>IF(K$11=0,0,-ROUND(Assumptions!$P$24*(1+Assumptions!$P$38)^(K$9-1)/12,0))</f>
        <v/>
      </c>
      <c r="L43" s="228">
        <f>IF(L$11=0,0,-ROUND(Assumptions!$P$24*(1+Assumptions!$P$38)^(L$9-1)/12,0))</f>
        <v/>
      </c>
      <c r="M43" s="228">
        <f>IF(M$11=0,0,-ROUND(Assumptions!$P$24*(1+Assumptions!$P$38)^(M$9-1)/12,0))</f>
        <v/>
      </c>
      <c r="N43" s="228">
        <f>IF(N$11=0,0,-ROUND(Assumptions!$P$24*(1+Assumptions!$P$38)^(N$9-1)/12,0))</f>
        <v/>
      </c>
      <c r="O43" s="228">
        <f>IF(O$11=0,0,-ROUND(Assumptions!$P$24*(1+Assumptions!$P$38)^(O$9-1)/12,0))</f>
        <v/>
      </c>
      <c r="P43" s="228">
        <f>IF(P$11=0,0,-ROUND(Assumptions!$P$24*(1+Assumptions!$P$38)^(P$9-1)/12,0))</f>
        <v/>
      </c>
      <c r="Q43" s="228">
        <f>IF(Q$11=0,0,-ROUND(Assumptions!$P$24*(1+Assumptions!$P$38)^(Q$9-1)/12,0))</f>
        <v/>
      </c>
      <c r="R43" s="228">
        <f>IF(R$11=0,0,-ROUND(Assumptions!$P$24*(1+Assumptions!$P$38)^(R$9-1)/12,0))</f>
        <v/>
      </c>
      <c r="S43" s="228">
        <f>IF(S$11=0,0,-ROUND(Assumptions!$P$24*(1+Assumptions!$P$38)^(S$9-1)/12,0))</f>
        <v/>
      </c>
      <c r="T43" s="228">
        <f>IF(T$11=0,0,-ROUND(Assumptions!$P$24*(1+Assumptions!$P$38)^(T$9-1)/12,0))</f>
        <v/>
      </c>
      <c r="U43" s="228">
        <f>IF(U$11=0,0,-ROUND(Assumptions!$P$24*(1+Assumptions!$P$38)^(U$9-1)/12,0))</f>
        <v/>
      </c>
      <c r="V43" s="228">
        <f>IF(V$11=0,0,-ROUND(Assumptions!$P$24*(1+Assumptions!$P$38)^(V$9-1)/12,0))</f>
        <v/>
      </c>
      <c r="W43" s="228">
        <f>IF(W$11=0,0,-ROUND(Assumptions!$P$24*(1+Assumptions!$P$38)^(W$9-1)/12,0))</f>
        <v/>
      </c>
      <c r="X43" s="228">
        <f>IF(X$11=0,0,-ROUND(Assumptions!$P$24*(1+Assumptions!$P$38)^(X$9-1)/12,0))</f>
        <v/>
      </c>
      <c r="Y43" s="228">
        <f>IF(Y$11=0,0,-ROUND(Assumptions!$P$24*(1+Assumptions!$P$38)^(Y$9-1)/12,0))</f>
        <v/>
      </c>
      <c r="Z43" s="228">
        <f>IF(Z$11=0,0,-ROUND(Assumptions!$P$24*(1+Assumptions!$P$38)^(Z$9-1)/12,0))</f>
        <v/>
      </c>
      <c r="AA43" s="228">
        <f>IF(AA$11=0,0,-ROUND(Assumptions!$P$24*(1+Assumptions!$P$38)^(AA$9-1)/12,0))</f>
        <v/>
      </c>
      <c r="AB43" s="228">
        <f>IF(AB$11=0,0,-ROUND(Assumptions!$P$24*(1+Assumptions!$P$38)^(AB$9-1)/12,0))</f>
        <v/>
      </c>
      <c r="AC43" s="228">
        <f>IF(AC$11=0,0,-ROUND(Assumptions!$P$24*(1+Assumptions!$P$38)^(AC$9-1)/12,0))</f>
        <v/>
      </c>
      <c r="AD43" s="228">
        <f>IF(AD$11=0,0,-ROUND(Assumptions!$P$24*(1+Assumptions!$P$38)^(AD$9-1)/12,0))</f>
        <v/>
      </c>
      <c r="AE43" s="228">
        <f>IF(AE$11=0,0,-ROUND(Assumptions!$P$24*(1+Assumptions!$P$38)^(AE$9-1)/12,0))</f>
        <v/>
      </c>
      <c r="AF43" s="228">
        <f>IF(AF$11=0,0,-ROUND(Assumptions!$P$24*(1+Assumptions!$P$38)^(AF$9-1)/12,0))</f>
        <v/>
      </c>
      <c r="AG43" s="228">
        <f>IF(AG$11=0,0,-ROUND(Assumptions!$P$24*(1+Assumptions!$P$38)^(AG$9-1)/12,0))</f>
        <v/>
      </c>
      <c r="AH43" s="228">
        <f>IF(AH$11=0,0,-ROUND(Assumptions!$P$24*(1+Assumptions!$P$38)^(AH$9-1)/12,0))</f>
        <v/>
      </c>
      <c r="AI43" s="228">
        <f>IF(AI$11=0,0,-ROUND(Assumptions!$P$24*(1+Assumptions!$P$38)^(AI$9-1)/12,0))</f>
        <v/>
      </c>
      <c r="AJ43" s="228">
        <f>IF(AJ$11=0,0,-ROUND(Assumptions!$P$24*(1+Assumptions!$P$38)^(AJ$9-1)/12,0))</f>
        <v/>
      </c>
      <c r="AK43" s="228">
        <f>IF(AK$11=0,0,-ROUND(Assumptions!$P$24*(1+Assumptions!$P$38)^(AK$9-1)/12,0))</f>
        <v/>
      </c>
      <c r="AL43" s="228">
        <f>IF(AL$11=0,0,-ROUND(Assumptions!$P$24*(1+Assumptions!$P$38)^(AL$9-1)/12,0))</f>
        <v/>
      </c>
      <c r="AM43" s="228">
        <f>IF(AM$11=0,0,-ROUND(Assumptions!$P$24*(1+Assumptions!$P$38)^(AM$9-1)/12,0))</f>
        <v/>
      </c>
      <c r="AN43" s="228">
        <f>IF(AN$11=0,0,-ROUND(Assumptions!$P$24*(1+Assumptions!$P$38)^(AN$9-1)/12,0))</f>
        <v/>
      </c>
      <c r="AO43" s="228">
        <f>IF(AO$11=0,0,-ROUND(Assumptions!$P$24*(1+Assumptions!$P$38)^(AO$9-1)/12,0))</f>
        <v/>
      </c>
      <c r="AP43" s="228">
        <f>IF(AP$11=0,0,-ROUND(Assumptions!$P$24*(1+Assumptions!$P$38)^(AP$9-1)/12,0))</f>
        <v/>
      </c>
      <c r="AQ43" s="228">
        <f>IF(AQ$11=0,0,-ROUND(Assumptions!$P$24*(1+Assumptions!$P$38)^(AQ$9-1)/12,0))</f>
        <v/>
      </c>
      <c r="AR43" s="228">
        <f>IF(AR$11=0,0,-ROUND(Assumptions!$P$24*(1+Assumptions!$P$38)^(AR$9-1)/12,0))</f>
        <v/>
      </c>
      <c r="AS43" s="228">
        <f>IF(AS$11=0,0,-ROUND(Assumptions!$P$24*(1+Assumptions!$P$38)^(AS$9-1)/12,0))</f>
        <v/>
      </c>
      <c r="AT43" s="228">
        <f>IF(AT$11=0,0,-ROUND(Assumptions!$P$24*(1+Assumptions!$P$38)^(AT$9-1)/12,0))</f>
        <v/>
      </c>
      <c r="AU43" s="228">
        <f>IF(AU$11=0,0,-ROUND(Assumptions!$P$24*(1+Assumptions!$P$38)^(AU$9-1)/12,0))</f>
        <v/>
      </c>
      <c r="AV43" s="228">
        <f>IF(AV$11=0,0,-ROUND(Assumptions!$P$24*(1+Assumptions!$P$38)^(AV$9-1)/12,0))</f>
        <v/>
      </c>
      <c r="AW43" s="228">
        <f>IF(AW$11=0,0,-ROUND(Assumptions!$P$24*(1+Assumptions!$P$38)^(AW$9-1)/12,0))</f>
        <v/>
      </c>
      <c r="AX43" s="228">
        <f>IF(AX$11=0,0,-ROUND(Assumptions!$P$24*(1+Assumptions!$P$38)^(AX$9-1)/12,0))</f>
        <v/>
      </c>
      <c r="AY43" s="228">
        <f>IF(AY$11=0,0,-ROUND(Assumptions!$P$24*(1+Assumptions!$P$38)^(AY$9-1)/12,0))</f>
        <v/>
      </c>
      <c r="AZ43" s="228">
        <f>IF(AZ$11=0,0,-ROUND(Assumptions!$P$24*(1+Assumptions!$P$38)^(AZ$9-1)/12,0))</f>
        <v/>
      </c>
      <c r="BA43" s="228">
        <f>IF(BA$11=0,0,-ROUND(Assumptions!$P$24*(1+Assumptions!$P$38)^(BA$9-1)/12,0))</f>
        <v/>
      </c>
      <c r="BB43" s="228">
        <f>IF(BB$11=0,0,-ROUND(Assumptions!$P$24*(1+Assumptions!$P$38)^(BB$9-1)/12,0))</f>
        <v/>
      </c>
      <c r="BC43" s="228">
        <f>IF(BC$11=0,0,-ROUND(Assumptions!$P$24*(1+Assumptions!$P$38)^(BC$9-1)/12,0))</f>
        <v/>
      </c>
      <c r="BD43" s="228">
        <f>IF(BD$11=0,0,-ROUND(Assumptions!$P$24*(1+Assumptions!$P$38)^(BD$9-1)/12,0))</f>
        <v/>
      </c>
      <c r="BE43" s="228">
        <f>IF(BE$11=0,0,-ROUND(Assumptions!$P$24*(1+Assumptions!$P$38)^(BE$9-1)/12,0))</f>
        <v/>
      </c>
      <c r="BF43" s="228">
        <f>IF(BF$11=0,0,-ROUND(Assumptions!$P$24*(1+Assumptions!$P$38)^(BF$9-1)/12,0))</f>
        <v/>
      </c>
      <c r="BG43" s="228">
        <f>IF(BG$11=0,0,-ROUND(Assumptions!$P$24*(1+Assumptions!$P$38)^(BG$9-1)/12,0))</f>
        <v/>
      </c>
      <c r="BH43" s="228">
        <f>IF(BH$11=0,0,-ROUND(Assumptions!$P$24*(1+Assumptions!$P$38)^(BH$9-1)/12,0))</f>
        <v/>
      </c>
      <c r="BI43" s="228">
        <f>IF(BI$11=0,0,-ROUND(Assumptions!$P$24*(1+Assumptions!$P$38)^(BI$9-1)/12,0))</f>
        <v/>
      </c>
      <c r="BJ43" s="228">
        <f>IF(BJ$11=0,0,-ROUND(Assumptions!$P$24*(1+Assumptions!$P$38)^(BJ$9-1)/12,0))</f>
        <v/>
      </c>
      <c r="BK43" s="228">
        <f>IF(BK$11=0,0,-ROUND(Assumptions!$P$24*(1+Assumptions!$P$38)^(BK$9-1)/12,0))</f>
        <v/>
      </c>
      <c r="BL43" s="228">
        <f>IF(BL$11=0,0,-ROUND(Assumptions!$P$24*(1+Assumptions!$P$38)^(BL$9-1)/12,0))</f>
        <v/>
      </c>
      <c r="BM43" s="228">
        <f>IF(BM$11=0,0,-ROUND(Assumptions!$P$24*(1+Assumptions!$P$38)^(BM$9-1)/12,0))</f>
        <v/>
      </c>
      <c r="BN43" s="228">
        <f>IF(BN$11=0,0,-ROUND(Assumptions!$P$24*(1+Assumptions!$P$38)^(BN$9-1)/12,0))</f>
        <v/>
      </c>
      <c r="BO43" s="228">
        <f>IF(BO$11=0,0,-ROUND(Assumptions!$P$24*(1+Assumptions!$P$38)^(BO$9-1)/12,0))</f>
        <v/>
      </c>
      <c r="BP43" s="228">
        <f>IF(BP$11=0,0,-ROUND(Assumptions!$P$24*(1+Assumptions!$P$38)^(BP$9-1)/12,0))</f>
        <v/>
      </c>
      <c r="BQ43" s="228">
        <f>IF(BQ$11=0,0,-ROUND(Assumptions!$P$24*(1+Assumptions!$P$38)^(BQ$9-1)/12,0))</f>
        <v/>
      </c>
      <c r="BR43" s="228">
        <f>IF(BR$11=0,0,-ROUND(Assumptions!$P$24*(1+Assumptions!$P$38)^(BR$9-1)/12,0))</f>
        <v/>
      </c>
      <c r="BS43" s="228">
        <f>IF(BS$11=0,0,-ROUND(Assumptions!$P$24*(1+Assumptions!$P$38)^(BS$9-1)/12,0))</f>
        <v/>
      </c>
      <c r="BT43" s="228">
        <f>IF(BT$11=0,0,-ROUND(Assumptions!$P$24*(1+Assumptions!$P$38)^(BT$9-1)/12,0))</f>
        <v/>
      </c>
      <c r="BU43" s="228">
        <f>IF(BU$11=0,0,-ROUND(Assumptions!$P$24*(1+Assumptions!$P$38)^(BU$9-1)/12,0))</f>
        <v/>
      </c>
      <c r="BV43" s="228">
        <f>IF(BV$11=0,0,-ROUND(Assumptions!$P$24*(1+Assumptions!$P$38)^(BV$9-1)/12,0))</f>
        <v/>
      </c>
      <c r="BW43" s="228">
        <f>IF(BW$11=0,0,-ROUND(Assumptions!$P$24*(1+Assumptions!$P$38)^(BW$9-1)/12,0))</f>
        <v/>
      </c>
      <c r="BX43" s="228">
        <f>IF(BX$11=0,0,-ROUND(Assumptions!$P$24*(1+Assumptions!$P$38)^(BX$9-1)/12,0))</f>
        <v/>
      </c>
      <c r="BY43" s="228">
        <f>IF(BY$11=0,0,-ROUND(Assumptions!$P$24*(1+Assumptions!$P$38)^(BY$9-1)/12,0))</f>
        <v/>
      </c>
      <c r="BZ43" s="228">
        <f>IF(BZ$11=0,0,-ROUND(Assumptions!$P$24*(1+Assumptions!$P$38)^(BZ$9-1)/12,0))</f>
        <v/>
      </c>
      <c r="CA43" s="228">
        <f>IF(CA$11=0,0,-ROUND(Assumptions!$P$24*(1+Assumptions!$P$38)^(CA$9-1)/12,0))</f>
        <v/>
      </c>
      <c r="CB43" s="228">
        <f>IF(CB$11=0,0,-ROUND(Assumptions!$P$24*(1+Assumptions!$P$38)^(CB$9-1)/12,0))</f>
        <v/>
      </c>
      <c r="CC43" s="228">
        <f>IF(CC$11=0,0,-ROUND(Assumptions!$P$24*(1+Assumptions!$P$38)^(CC$9-1)/12,0))</f>
        <v/>
      </c>
      <c r="CD43" s="228">
        <f>IF(CD$11=0,0,-ROUND(Assumptions!$P$24*(1+Assumptions!$P$38)^(CD$9-1)/12,0))</f>
        <v/>
      </c>
      <c r="CE43" s="228">
        <f>IF(CE$11=0,0,-ROUND(Assumptions!$P$24*(1+Assumptions!$P$38)^(CE$9-1)/12,0))</f>
        <v/>
      </c>
      <c r="CF43" s="228">
        <f>IF(CF$11=0,0,-ROUND(Assumptions!$P$24*(1+Assumptions!$P$38)^(CF$9-1)/12,0))</f>
        <v/>
      </c>
      <c r="CG43" s="228">
        <f>IF(CG$11=0,0,-ROUND(Assumptions!$P$24*(1+Assumptions!$P$38)^(CG$9-1)/12,0))</f>
        <v/>
      </c>
      <c r="CH43" s="228">
        <f>IF(CH$11=0,0,-ROUND(Assumptions!$P$24*(1+Assumptions!$P$38)^(CH$9-1)/12,0))</f>
        <v/>
      </c>
      <c r="CI43" s="228">
        <f>IF(CI$11=0,0,-ROUND(Assumptions!$P$24*(1+Assumptions!$P$38)^(CI$9-1)/12,0))</f>
        <v/>
      </c>
      <c r="CJ43" s="228">
        <f>IF(CJ$11=0,0,-ROUND(Assumptions!$P$24*(1+Assumptions!$P$38)^(CJ$9-1)/12,0))</f>
        <v/>
      </c>
      <c r="CK43" s="228">
        <f>IF(CK$11=0,0,-ROUND(Assumptions!$P$24*(1+Assumptions!$P$38)^(CK$9-1)/12,0))</f>
        <v/>
      </c>
      <c r="CL43" s="228">
        <f>IF(CL$11=0,0,-ROUND(Assumptions!$P$24*(1+Assumptions!$P$38)^(CL$9-1)/12,0))</f>
        <v/>
      </c>
      <c r="CM43" s="228">
        <f>IF(CM$11=0,0,-ROUND(Assumptions!$P$24*(1+Assumptions!$P$38)^(CM$9-1)/12,0))</f>
        <v/>
      </c>
      <c r="CN43" s="228">
        <f>IF(CN$11=0,0,-ROUND(Assumptions!$P$24*(1+Assumptions!$P$38)^(CN$9-1)/12,0))</f>
        <v/>
      </c>
      <c r="CO43" s="228">
        <f>IF(CO$11=0,0,-ROUND(Assumptions!$P$24*(1+Assumptions!$P$38)^(CO$9-1)/12,0))</f>
        <v/>
      </c>
      <c r="CP43" s="228">
        <f>IF(CP$11=0,0,-ROUND(Assumptions!$P$24*(1+Assumptions!$P$38)^(CP$9-1)/12,0))</f>
        <v/>
      </c>
      <c r="CQ43" s="228">
        <f>IF(CQ$11=0,0,-ROUND(Assumptions!$P$24*(1+Assumptions!$P$38)^(CQ$9-1)/12,0))</f>
        <v/>
      </c>
      <c r="CR43" s="228">
        <f>IF(CR$11=0,0,-ROUND(Assumptions!$P$24*(1+Assumptions!$P$38)^(CR$9-1)/12,0))</f>
        <v/>
      </c>
      <c r="CS43" s="228">
        <f>IF(CS$11=0,0,-ROUND(Assumptions!$P$24*(1+Assumptions!$P$38)^(CS$9-1)/12,0))</f>
        <v/>
      </c>
      <c r="CT43" s="228">
        <f>IF(CT$11=0,0,-ROUND(Assumptions!$P$24*(1+Assumptions!$P$38)^(CT$9-1)/12,0))</f>
        <v/>
      </c>
      <c r="CU43" s="228">
        <f>IF(CU$11=0,0,-ROUND(Assumptions!$P$24*(1+Assumptions!$P$38)^(CU$9-1)/12,0))</f>
        <v/>
      </c>
      <c r="CV43" s="228">
        <f>IF(CV$11=0,0,-ROUND(Assumptions!$P$24*(1+Assumptions!$P$38)^(CV$9-1)/12,0))</f>
        <v/>
      </c>
      <c r="CW43" s="228">
        <f>IF(CW$11=0,0,-ROUND(Assumptions!$P$24*(1+Assumptions!$P$38)^(CW$9-1)/12,0))</f>
        <v/>
      </c>
      <c r="CX43" s="228">
        <f>IF(CX$11=0,0,-ROUND(Assumptions!$P$24*(1+Assumptions!$P$38)^(CX$9-1)/12,0))</f>
        <v/>
      </c>
      <c r="CY43" s="228">
        <f>IF(CY$11=0,0,-ROUND(Assumptions!$P$24*(1+Assumptions!$P$38)^(CY$9-1)/12,0))</f>
        <v/>
      </c>
      <c r="CZ43" s="228">
        <f>IF(CZ$11=0,0,-ROUND(Assumptions!$P$24*(1+Assumptions!$P$38)^(CZ$9-1)/12,0))</f>
        <v/>
      </c>
      <c r="DA43" s="228">
        <f>IF(DA$11=0,0,-ROUND(Assumptions!$P$24*(1+Assumptions!$P$38)^(DA$9-1)/12,0))</f>
        <v/>
      </c>
      <c r="DB43" s="228">
        <f>IF(DB$11=0,0,-ROUND(Assumptions!$P$24*(1+Assumptions!$P$38)^(DB$9-1)/12,0))</f>
        <v/>
      </c>
      <c r="DC43" s="228">
        <f>IF(DC$11=0,0,-ROUND(Assumptions!$P$24*(1+Assumptions!$P$38)^(DC$9-1)/12,0))</f>
        <v/>
      </c>
      <c r="DD43" s="228">
        <f>IF(DD$11=0,0,-ROUND(Assumptions!$P$24*(1+Assumptions!$P$38)^(DD$9-1)/12,0))</f>
        <v/>
      </c>
      <c r="DE43" s="228">
        <f>IF(DE$11=0,0,-ROUND(Assumptions!$P$24*(1+Assumptions!$P$38)^(DE$9-1)/12,0))</f>
        <v/>
      </c>
      <c r="DF43" s="228">
        <f>IF(DF$11=0,0,-ROUND(Assumptions!$P$24*(1+Assumptions!$P$38)^(DF$9-1)/12,0))</f>
        <v/>
      </c>
      <c r="DG43" s="228">
        <f>IF(DG$11=0,0,-ROUND(Assumptions!$P$24*(1+Assumptions!$P$38)^(DG$9-1)/12,0))</f>
        <v/>
      </c>
      <c r="DH43" s="228">
        <f>IF(DH$11=0,0,-ROUND(Assumptions!$P$24*(1+Assumptions!$P$38)^(DH$9-1)/12,0))</f>
        <v/>
      </c>
      <c r="DI43" s="228">
        <f>IF(DI$11=0,0,-ROUND(Assumptions!$P$24*(1+Assumptions!$P$38)^(DI$9-1)/12,0))</f>
        <v/>
      </c>
      <c r="DJ43" s="228">
        <f>IF(DJ$11=0,0,-ROUND(Assumptions!$P$24*(1+Assumptions!$P$38)^(DJ$9-1)/12,0))</f>
        <v/>
      </c>
      <c r="DK43" s="228">
        <f>IF(DK$11=0,0,-ROUND(Assumptions!$P$24*(1+Assumptions!$P$38)^(DK$9-1)/12,0))</f>
        <v/>
      </c>
      <c r="DL43" s="228">
        <f>IF(DL$11=0,0,-ROUND(Assumptions!$P$24*(1+Assumptions!$P$38)^(DL$9-1)/12,0))</f>
        <v/>
      </c>
      <c r="DM43" s="228">
        <f>IF(DM$11=0,0,-ROUND(Assumptions!$P$24*(1+Assumptions!$P$38)^(DM$9-1)/12,0))</f>
        <v/>
      </c>
      <c r="DN43" s="228">
        <f>IF(DN$11=0,0,-ROUND(Assumptions!$P$24*(1+Assumptions!$P$38)^(DN$9-1)/12,0))</f>
        <v/>
      </c>
      <c r="DO43" s="228">
        <f>IF(DO$11=0,0,-ROUND(Assumptions!$P$24*(1+Assumptions!$P$38)^(DO$9-1)/12,0))</f>
        <v/>
      </c>
      <c r="DP43" s="228">
        <f>IF(DP$11=0,0,-ROUND(Assumptions!$P$24*(1+Assumptions!$P$38)^(DP$9-1)/12,0))</f>
        <v/>
      </c>
      <c r="DQ43" s="228">
        <f>IF(DQ$11=0,0,-ROUND(Assumptions!$P$24*(1+Assumptions!$P$38)^(DQ$9-1)/12,0))</f>
        <v/>
      </c>
      <c r="DR43" s="228">
        <f>IF(DR$11=0,0,-ROUND(Assumptions!$P$24*(1+Assumptions!$P$38)^(DR$9-1)/12,0))</f>
        <v/>
      </c>
      <c r="DS43" s="228">
        <f>IF(DS$11=0,0,-ROUND(Assumptions!$P$24*(1+Assumptions!$P$38)^(DS$9-1)/12,0))</f>
        <v/>
      </c>
      <c r="DT43" s="228">
        <f>IF(DT$11=0,0,-ROUND(Assumptions!$P$24*(1+Assumptions!$P$38)^(DT$9-1)/12,0))</f>
        <v/>
      </c>
    </row>
    <row r="44" ht="15" customHeight="1" s="148">
      <c r="A44" s="112" t="inlineStr">
        <is>
          <t>Security (Annual)</t>
        </is>
      </c>
      <c r="C44" s="228">
        <f>SUM(D44:DT44)</f>
        <v/>
      </c>
      <c r="D44" s="228">
        <f>IF(D$11=0,0,-ROUND(Assumptions!$P$25*(1+Assumptions!$P$38)^(D$9-1)/12,0))</f>
        <v/>
      </c>
      <c r="E44" s="228">
        <f>IF(E$11=0,0,-ROUND(Assumptions!$P$25*(1+Assumptions!$P$38)^(E$9-1)/12,0))</f>
        <v/>
      </c>
      <c r="F44" s="228">
        <f>IF(F$11=0,0,-ROUND(Assumptions!$P$25*(1+Assumptions!$P$38)^(F$9-1)/12,0))</f>
        <v/>
      </c>
      <c r="G44" s="228">
        <f>IF(G$11=0,0,-ROUND(Assumptions!$P$25*(1+Assumptions!$P$38)^(G$9-1)/12,0))</f>
        <v/>
      </c>
      <c r="H44" s="228">
        <f>IF(H$11=0,0,-ROUND(Assumptions!$P$25*(1+Assumptions!$P$38)^(H$9-1)/12,0))</f>
        <v/>
      </c>
      <c r="I44" s="228">
        <f>IF(I$11=0,0,-ROUND(Assumptions!$P$25*(1+Assumptions!$P$38)^(I$9-1)/12,0))</f>
        <v/>
      </c>
      <c r="J44" s="228">
        <f>IF(J$11=0,0,-ROUND(Assumptions!$P$25*(1+Assumptions!$P$38)^(J$9-1)/12,0))</f>
        <v/>
      </c>
      <c r="K44" s="228">
        <f>IF(K$11=0,0,-ROUND(Assumptions!$P$25*(1+Assumptions!$P$38)^(K$9-1)/12,0))</f>
        <v/>
      </c>
      <c r="L44" s="228">
        <f>IF(L$11=0,0,-ROUND(Assumptions!$P$25*(1+Assumptions!$P$38)^(L$9-1)/12,0))</f>
        <v/>
      </c>
      <c r="M44" s="228">
        <f>IF(M$11=0,0,-ROUND(Assumptions!$P$25*(1+Assumptions!$P$38)^(M$9-1)/12,0))</f>
        <v/>
      </c>
      <c r="N44" s="228">
        <f>IF(N$11=0,0,-ROUND(Assumptions!$P$25*(1+Assumptions!$P$38)^(N$9-1)/12,0))</f>
        <v/>
      </c>
      <c r="O44" s="228">
        <f>IF(O$11=0,0,-ROUND(Assumptions!$P$25*(1+Assumptions!$P$38)^(O$9-1)/12,0))</f>
        <v/>
      </c>
      <c r="P44" s="228">
        <f>IF(P$11=0,0,-ROUND(Assumptions!$P$25*(1+Assumptions!$P$38)^(P$9-1)/12,0))</f>
        <v/>
      </c>
      <c r="Q44" s="228">
        <f>IF(Q$11=0,0,-ROUND(Assumptions!$P$25*(1+Assumptions!$P$38)^(Q$9-1)/12,0))</f>
        <v/>
      </c>
      <c r="R44" s="228">
        <f>IF(R$11=0,0,-ROUND(Assumptions!$P$25*(1+Assumptions!$P$38)^(R$9-1)/12,0))</f>
        <v/>
      </c>
      <c r="S44" s="228">
        <f>IF(S$11=0,0,-ROUND(Assumptions!$P$25*(1+Assumptions!$P$38)^(S$9-1)/12,0))</f>
        <v/>
      </c>
      <c r="T44" s="228">
        <f>IF(T$11=0,0,-ROUND(Assumptions!$P$25*(1+Assumptions!$P$38)^(T$9-1)/12,0))</f>
        <v/>
      </c>
      <c r="U44" s="228">
        <f>IF(U$11=0,0,-ROUND(Assumptions!$P$25*(1+Assumptions!$P$38)^(U$9-1)/12,0))</f>
        <v/>
      </c>
      <c r="V44" s="228">
        <f>IF(V$11=0,0,-ROUND(Assumptions!$P$25*(1+Assumptions!$P$38)^(V$9-1)/12,0))</f>
        <v/>
      </c>
      <c r="W44" s="228">
        <f>IF(W$11=0,0,-ROUND(Assumptions!$P$25*(1+Assumptions!$P$38)^(W$9-1)/12,0))</f>
        <v/>
      </c>
      <c r="X44" s="228">
        <f>IF(X$11=0,0,-ROUND(Assumptions!$P$25*(1+Assumptions!$P$38)^(X$9-1)/12,0))</f>
        <v/>
      </c>
      <c r="Y44" s="228">
        <f>IF(Y$11=0,0,-ROUND(Assumptions!$P$25*(1+Assumptions!$P$38)^(Y$9-1)/12,0))</f>
        <v/>
      </c>
      <c r="Z44" s="228">
        <f>IF(Z$11=0,0,-ROUND(Assumptions!$P$25*(1+Assumptions!$P$38)^(Z$9-1)/12,0))</f>
        <v/>
      </c>
      <c r="AA44" s="228">
        <f>IF(AA$11=0,0,-ROUND(Assumptions!$P$25*(1+Assumptions!$P$38)^(AA$9-1)/12,0))</f>
        <v/>
      </c>
      <c r="AB44" s="228">
        <f>IF(AB$11=0,0,-ROUND(Assumptions!$P$25*(1+Assumptions!$P$38)^(AB$9-1)/12,0))</f>
        <v/>
      </c>
      <c r="AC44" s="228">
        <f>IF(AC$11=0,0,-ROUND(Assumptions!$P$25*(1+Assumptions!$P$38)^(AC$9-1)/12,0))</f>
        <v/>
      </c>
      <c r="AD44" s="228">
        <f>IF(AD$11=0,0,-ROUND(Assumptions!$P$25*(1+Assumptions!$P$38)^(AD$9-1)/12,0))</f>
        <v/>
      </c>
      <c r="AE44" s="228">
        <f>IF(AE$11=0,0,-ROUND(Assumptions!$P$25*(1+Assumptions!$P$38)^(AE$9-1)/12,0))</f>
        <v/>
      </c>
      <c r="AF44" s="228">
        <f>IF(AF$11=0,0,-ROUND(Assumptions!$P$25*(1+Assumptions!$P$38)^(AF$9-1)/12,0))</f>
        <v/>
      </c>
      <c r="AG44" s="228">
        <f>IF(AG$11=0,0,-ROUND(Assumptions!$P$25*(1+Assumptions!$P$38)^(AG$9-1)/12,0))</f>
        <v/>
      </c>
      <c r="AH44" s="228">
        <f>IF(AH$11=0,0,-ROUND(Assumptions!$P$25*(1+Assumptions!$P$38)^(AH$9-1)/12,0))</f>
        <v/>
      </c>
      <c r="AI44" s="228">
        <f>IF(AI$11=0,0,-ROUND(Assumptions!$P$25*(1+Assumptions!$P$38)^(AI$9-1)/12,0))</f>
        <v/>
      </c>
      <c r="AJ44" s="228">
        <f>IF(AJ$11=0,0,-ROUND(Assumptions!$P$25*(1+Assumptions!$P$38)^(AJ$9-1)/12,0))</f>
        <v/>
      </c>
      <c r="AK44" s="228">
        <f>IF(AK$11=0,0,-ROUND(Assumptions!$P$25*(1+Assumptions!$P$38)^(AK$9-1)/12,0))</f>
        <v/>
      </c>
      <c r="AL44" s="228">
        <f>IF(AL$11=0,0,-ROUND(Assumptions!$P$25*(1+Assumptions!$P$38)^(AL$9-1)/12,0))</f>
        <v/>
      </c>
      <c r="AM44" s="228">
        <f>IF(AM$11=0,0,-ROUND(Assumptions!$P$25*(1+Assumptions!$P$38)^(AM$9-1)/12,0))</f>
        <v/>
      </c>
      <c r="AN44" s="228">
        <f>IF(AN$11=0,0,-ROUND(Assumptions!$P$25*(1+Assumptions!$P$38)^(AN$9-1)/12,0))</f>
        <v/>
      </c>
      <c r="AO44" s="228">
        <f>IF(AO$11=0,0,-ROUND(Assumptions!$P$25*(1+Assumptions!$P$38)^(AO$9-1)/12,0))</f>
        <v/>
      </c>
      <c r="AP44" s="228">
        <f>IF(AP$11=0,0,-ROUND(Assumptions!$P$25*(1+Assumptions!$P$38)^(AP$9-1)/12,0))</f>
        <v/>
      </c>
      <c r="AQ44" s="228">
        <f>IF(AQ$11=0,0,-ROUND(Assumptions!$P$25*(1+Assumptions!$P$38)^(AQ$9-1)/12,0))</f>
        <v/>
      </c>
      <c r="AR44" s="228">
        <f>IF(AR$11=0,0,-ROUND(Assumptions!$P$25*(1+Assumptions!$P$38)^(AR$9-1)/12,0))</f>
        <v/>
      </c>
      <c r="AS44" s="228">
        <f>IF(AS$11=0,0,-ROUND(Assumptions!$P$25*(1+Assumptions!$P$38)^(AS$9-1)/12,0))</f>
        <v/>
      </c>
      <c r="AT44" s="228">
        <f>IF(AT$11=0,0,-ROUND(Assumptions!$P$25*(1+Assumptions!$P$38)^(AT$9-1)/12,0))</f>
        <v/>
      </c>
      <c r="AU44" s="228">
        <f>IF(AU$11=0,0,-ROUND(Assumptions!$P$25*(1+Assumptions!$P$38)^(AU$9-1)/12,0))</f>
        <v/>
      </c>
      <c r="AV44" s="228">
        <f>IF(AV$11=0,0,-ROUND(Assumptions!$P$25*(1+Assumptions!$P$38)^(AV$9-1)/12,0))</f>
        <v/>
      </c>
      <c r="AW44" s="228">
        <f>IF(AW$11=0,0,-ROUND(Assumptions!$P$25*(1+Assumptions!$P$38)^(AW$9-1)/12,0))</f>
        <v/>
      </c>
      <c r="AX44" s="228">
        <f>IF(AX$11=0,0,-ROUND(Assumptions!$P$25*(1+Assumptions!$P$38)^(AX$9-1)/12,0))</f>
        <v/>
      </c>
      <c r="AY44" s="228">
        <f>IF(AY$11=0,0,-ROUND(Assumptions!$P$25*(1+Assumptions!$P$38)^(AY$9-1)/12,0))</f>
        <v/>
      </c>
      <c r="AZ44" s="228">
        <f>IF(AZ$11=0,0,-ROUND(Assumptions!$P$25*(1+Assumptions!$P$38)^(AZ$9-1)/12,0))</f>
        <v/>
      </c>
      <c r="BA44" s="228">
        <f>IF(BA$11=0,0,-ROUND(Assumptions!$P$25*(1+Assumptions!$P$38)^(BA$9-1)/12,0))</f>
        <v/>
      </c>
      <c r="BB44" s="228">
        <f>IF(BB$11=0,0,-ROUND(Assumptions!$P$25*(1+Assumptions!$P$38)^(BB$9-1)/12,0))</f>
        <v/>
      </c>
      <c r="BC44" s="228">
        <f>IF(BC$11=0,0,-ROUND(Assumptions!$P$25*(1+Assumptions!$P$38)^(BC$9-1)/12,0))</f>
        <v/>
      </c>
      <c r="BD44" s="228">
        <f>IF(BD$11=0,0,-ROUND(Assumptions!$P$25*(1+Assumptions!$P$38)^(BD$9-1)/12,0))</f>
        <v/>
      </c>
      <c r="BE44" s="228">
        <f>IF(BE$11=0,0,-ROUND(Assumptions!$P$25*(1+Assumptions!$P$38)^(BE$9-1)/12,0))</f>
        <v/>
      </c>
      <c r="BF44" s="228">
        <f>IF(BF$11=0,0,-ROUND(Assumptions!$P$25*(1+Assumptions!$P$38)^(BF$9-1)/12,0))</f>
        <v/>
      </c>
      <c r="BG44" s="228">
        <f>IF(BG$11=0,0,-ROUND(Assumptions!$P$25*(1+Assumptions!$P$38)^(BG$9-1)/12,0))</f>
        <v/>
      </c>
      <c r="BH44" s="228">
        <f>IF(BH$11=0,0,-ROUND(Assumptions!$P$25*(1+Assumptions!$P$38)^(BH$9-1)/12,0))</f>
        <v/>
      </c>
      <c r="BI44" s="228">
        <f>IF(BI$11=0,0,-ROUND(Assumptions!$P$25*(1+Assumptions!$P$38)^(BI$9-1)/12,0))</f>
        <v/>
      </c>
      <c r="BJ44" s="228">
        <f>IF(BJ$11=0,0,-ROUND(Assumptions!$P$25*(1+Assumptions!$P$38)^(BJ$9-1)/12,0))</f>
        <v/>
      </c>
      <c r="BK44" s="228">
        <f>IF(BK$11=0,0,-ROUND(Assumptions!$P$25*(1+Assumptions!$P$38)^(BK$9-1)/12,0))</f>
        <v/>
      </c>
      <c r="BL44" s="228">
        <f>IF(BL$11=0,0,-ROUND(Assumptions!$P$25*(1+Assumptions!$P$38)^(BL$9-1)/12,0))</f>
        <v/>
      </c>
      <c r="BM44" s="228">
        <f>IF(BM$11=0,0,-ROUND(Assumptions!$P$25*(1+Assumptions!$P$38)^(BM$9-1)/12,0))</f>
        <v/>
      </c>
      <c r="BN44" s="228">
        <f>IF(BN$11=0,0,-ROUND(Assumptions!$P$25*(1+Assumptions!$P$38)^(BN$9-1)/12,0))</f>
        <v/>
      </c>
      <c r="BO44" s="228">
        <f>IF(BO$11=0,0,-ROUND(Assumptions!$P$25*(1+Assumptions!$P$38)^(BO$9-1)/12,0))</f>
        <v/>
      </c>
      <c r="BP44" s="228">
        <f>IF(BP$11=0,0,-ROUND(Assumptions!$P$25*(1+Assumptions!$P$38)^(BP$9-1)/12,0))</f>
        <v/>
      </c>
      <c r="BQ44" s="228">
        <f>IF(BQ$11=0,0,-ROUND(Assumptions!$P$25*(1+Assumptions!$P$38)^(BQ$9-1)/12,0))</f>
        <v/>
      </c>
      <c r="BR44" s="228">
        <f>IF(BR$11=0,0,-ROUND(Assumptions!$P$25*(1+Assumptions!$P$38)^(BR$9-1)/12,0))</f>
        <v/>
      </c>
      <c r="BS44" s="228">
        <f>IF(BS$11=0,0,-ROUND(Assumptions!$P$25*(1+Assumptions!$P$38)^(BS$9-1)/12,0))</f>
        <v/>
      </c>
      <c r="BT44" s="228">
        <f>IF(BT$11=0,0,-ROUND(Assumptions!$P$25*(1+Assumptions!$P$38)^(BT$9-1)/12,0))</f>
        <v/>
      </c>
      <c r="BU44" s="228">
        <f>IF(BU$11=0,0,-ROUND(Assumptions!$P$25*(1+Assumptions!$P$38)^(BU$9-1)/12,0))</f>
        <v/>
      </c>
      <c r="BV44" s="228">
        <f>IF(BV$11=0,0,-ROUND(Assumptions!$P$25*(1+Assumptions!$P$38)^(BV$9-1)/12,0))</f>
        <v/>
      </c>
      <c r="BW44" s="228">
        <f>IF(BW$11=0,0,-ROUND(Assumptions!$P$25*(1+Assumptions!$P$38)^(BW$9-1)/12,0))</f>
        <v/>
      </c>
      <c r="BX44" s="228">
        <f>IF(BX$11=0,0,-ROUND(Assumptions!$P$25*(1+Assumptions!$P$38)^(BX$9-1)/12,0))</f>
        <v/>
      </c>
      <c r="BY44" s="228">
        <f>IF(BY$11=0,0,-ROUND(Assumptions!$P$25*(1+Assumptions!$P$38)^(BY$9-1)/12,0))</f>
        <v/>
      </c>
      <c r="BZ44" s="228">
        <f>IF(BZ$11=0,0,-ROUND(Assumptions!$P$25*(1+Assumptions!$P$38)^(BZ$9-1)/12,0))</f>
        <v/>
      </c>
      <c r="CA44" s="228">
        <f>IF(CA$11=0,0,-ROUND(Assumptions!$P$25*(1+Assumptions!$P$38)^(CA$9-1)/12,0))</f>
        <v/>
      </c>
      <c r="CB44" s="228">
        <f>IF(CB$11=0,0,-ROUND(Assumptions!$P$25*(1+Assumptions!$P$38)^(CB$9-1)/12,0))</f>
        <v/>
      </c>
      <c r="CC44" s="228">
        <f>IF(CC$11=0,0,-ROUND(Assumptions!$P$25*(1+Assumptions!$P$38)^(CC$9-1)/12,0))</f>
        <v/>
      </c>
      <c r="CD44" s="228">
        <f>IF(CD$11=0,0,-ROUND(Assumptions!$P$25*(1+Assumptions!$P$38)^(CD$9-1)/12,0))</f>
        <v/>
      </c>
      <c r="CE44" s="228">
        <f>IF(CE$11=0,0,-ROUND(Assumptions!$P$25*(1+Assumptions!$P$38)^(CE$9-1)/12,0))</f>
        <v/>
      </c>
      <c r="CF44" s="228">
        <f>IF(CF$11=0,0,-ROUND(Assumptions!$P$25*(1+Assumptions!$P$38)^(CF$9-1)/12,0))</f>
        <v/>
      </c>
      <c r="CG44" s="228">
        <f>IF(CG$11=0,0,-ROUND(Assumptions!$P$25*(1+Assumptions!$P$38)^(CG$9-1)/12,0))</f>
        <v/>
      </c>
      <c r="CH44" s="228">
        <f>IF(CH$11=0,0,-ROUND(Assumptions!$P$25*(1+Assumptions!$P$38)^(CH$9-1)/12,0))</f>
        <v/>
      </c>
      <c r="CI44" s="228">
        <f>IF(CI$11=0,0,-ROUND(Assumptions!$P$25*(1+Assumptions!$P$38)^(CI$9-1)/12,0))</f>
        <v/>
      </c>
      <c r="CJ44" s="228">
        <f>IF(CJ$11=0,0,-ROUND(Assumptions!$P$25*(1+Assumptions!$P$38)^(CJ$9-1)/12,0))</f>
        <v/>
      </c>
      <c r="CK44" s="228">
        <f>IF(CK$11=0,0,-ROUND(Assumptions!$P$25*(1+Assumptions!$P$38)^(CK$9-1)/12,0))</f>
        <v/>
      </c>
      <c r="CL44" s="228">
        <f>IF(CL$11=0,0,-ROUND(Assumptions!$P$25*(1+Assumptions!$P$38)^(CL$9-1)/12,0))</f>
        <v/>
      </c>
      <c r="CM44" s="228">
        <f>IF(CM$11=0,0,-ROUND(Assumptions!$P$25*(1+Assumptions!$P$38)^(CM$9-1)/12,0))</f>
        <v/>
      </c>
      <c r="CN44" s="228">
        <f>IF(CN$11=0,0,-ROUND(Assumptions!$P$25*(1+Assumptions!$P$38)^(CN$9-1)/12,0))</f>
        <v/>
      </c>
      <c r="CO44" s="228">
        <f>IF(CO$11=0,0,-ROUND(Assumptions!$P$25*(1+Assumptions!$P$38)^(CO$9-1)/12,0))</f>
        <v/>
      </c>
      <c r="CP44" s="228">
        <f>IF(CP$11=0,0,-ROUND(Assumptions!$P$25*(1+Assumptions!$P$38)^(CP$9-1)/12,0))</f>
        <v/>
      </c>
      <c r="CQ44" s="228">
        <f>IF(CQ$11=0,0,-ROUND(Assumptions!$P$25*(1+Assumptions!$P$38)^(CQ$9-1)/12,0))</f>
        <v/>
      </c>
      <c r="CR44" s="228">
        <f>IF(CR$11=0,0,-ROUND(Assumptions!$P$25*(1+Assumptions!$P$38)^(CR$9-1)/12,0))</f>
        <v/>
      </c>
      <c r="CS44" s="228">
        <f>IF(CS$11=0,0,-ROUND(Assumptions!$P$25*(1+Assumptions!$P$38)^(CS$9-1)/12,0))</f>
        <v/>
      </c>
      <c r="CT44" s="228">
        <f>IF(CT$11=0,0,-ROUND(Assumptions!$P$25*(1+Assumptions!$P$38)^(CT$9-1)/12,0))</f>
        <v/>
      </c>
      <c r="CU44" s="228">
        <f>IF(CU$11=0,0,-ROUND(Assumptions!$P$25*(1+Assumptions!$P$38)^(CU$9-1)/12,0))</f>
        <v/>
      </c>
      <c r="CV44" s="228">
        <f>IF(CV$11=0,0,-ROUND(Assumptions!$P$25*(1+Assumptions!$P$38)^(CV$9-1)/12,0))</f>
        <v/>
      </c>
      <c r="CW44" s="228">
        <f>IF(CW$11=0,0,-ROUND(Assumptions!$P$25*(1+Assumptions!$P$38)^(CW$9-1)/12,0))</f>
        <v/>
      </c>
      <c r="CX44" s="228">
        <f>IF(CX$11=0,0,-ROUND(Assumptions!$P$25*(1+Assumptions!$P$38)^(CX$9-1)/12,0))</f>
        <v/>
      </c>
      <c r="CY44" s="228">
        <f>IF(CY$11=0,0,-ROUND(Assumptions!$P$25*(1+Assumptions!$P$38)^(CY$9-1)/12,0))</f>
        <v/>
      </c>
      <c r="CZ44" s="228">
        <f>IF(CZ$11=0,0,-ROUND(Assumptions!$P$25*(1+Assumptions!$P$38)^(CZ$9-1)/12,0))</f>
        <v/>
      </c>
      <c r="DA44" s="228">
        <f>IF(DA$11=0,0,-ROUND(Assumptions!$P$25*(1+Assumptions!$P$38)^(DA$9-1)/12,0))</f>
        <v/>
      </c>
      <c r="DB44" s="228">
        <f>IF(DB$11=0,0,-ROUND(Assumptions!$P$25*(1+Assumptions!$P$38)^(DB$9-1)/12,0))</f>
        <v/>
      </c>
      <c r="DC44" s="228">
        <f>IF(DC$11=0,0,-ROUND(Assumptions!$P$25*(1+Assumptions!$P$38)^(DC$9-1)/12,0))</f>
        <v/>
      </c>
      <c r="DD44" s="228">
        <f>IF(DD$11=0,0,-ROUND(Assumptions!$P$25*(1+Assumptions!$P$38)^(DD$9-1)/12,0))</f>
        <v/>
      </c>
      <c r="DE44" s="228">
        <f>IF(DE$11=0,0,-ROUND(Assumptions!$P$25*(1+Assumptions!$P$38)^(DE$9-1)/12,0))</f>
        <v/>
      </c>
      <c r="DF44" s="228">
        <f>IF(DF$11=0,0,-ROUND(Assumptions!$P$25*(1+Assumptions!$P$38)^(DF$9-1)/12,0))</f>
        <v/>
      </c>
      <c r="DG44" s="228">
        <f>IF(DG$11=0,0,-ROUND(Assumptions!$P$25*(1+Assumptions!$P$38)^(DG$9-1)/12,0))</f>
        <v/>
      </c>
      <c r="DH44" s="228">
        <f>IF(DH$11=0,0,-ROUND(Assumptions!$P$25*(1+Assumptions!$P$38)^(DH$9-1)/12,0))</f>
        <v/>
      </c>
      <c r="DI44" s="228">
        <f>IF(DI$11=0,0,-ROUND(Assumptions!$P$25*(1+Assumptions!$P$38)^(DI$9-1)/12,0))</f>
        <v/>
      </c>
      <c r="DJ44" s="228">
        <f>IF(DJ$11=0,0,-ROUND(Assumptions!$P$25*(1+Assumptions!$P$38)^(DJ$9-1)/12,0))</f>
        <v/>
      </c>
      <c r="DK44" s="228">
        <f>IF(DK$11=0,0,-ROUND(Assumptions!$P$25*(1+Assumptions!$P$38)^(DK$9-1)/12,0))</f>
        <v/>
      </c>
      <c r="DL44" s="228">
        <f>IF(DL$11=0,0,-ROUND(Assumptions!$P$25*(1+Assumptions!$P$38)^(DL$9-1)/12,0))</f>
        <v/>
      </c>
      <c r="DM44" s="228">
        <f>IF(DM$11=0,0,-ROUND(Assumptions!$P$25*(1+Assumptions!$P$38)^(DM$9-1)/12,0))</f>
        <v/>
      </c>
      <c r="DN44" s="228">
        <f>IF(DN$11=0,0,-ROUND(Assumptions!$P$25*(1+Assumptions!$P$38)^(DN$9-1)/12,0))</f>
        <v/>
      </c>
      <c r="DO44" s="228">
        <f>IF(DO$11=0,0,-ROUND(Assumptions!$P$25*(1+Assumptions!$P$38)^(DO$9-1)/12,0))</f>
        <v/>
      </c>
      <c r="DP44" s="228">
        <f>IF(DP$11=0,0,-ROUND(Assumptions!$P$25*(1+Assumptions!$P$38)^(DP$9-1)/12,0))</f>
        <v/>
      </c>
      <c r="DQ44" s="228">
        <f>IF(DQ$11=0,0,-ROUND(Assumptions!$P$25*(1+Assumptions!$P$38)^(DQ$9-1)/12,0))</f>
        <v/>
      </c>
      <c r="DR44" s="228">
        <f>IF(DR$11=0,0,-ROUND(Assumptions!$P$25*(1+Assumptions!$P$38)^(DR$9-1)/12,0))</f>
        <v/>
      </c>
      <c r="DS44" s="228">
        <f>IF(DS$11=0,0,-ROUND(Assumptions!$P$25*(1+Assumptions!$P$38)^(DS$9-1)/12,0))</f>
        <v/>
      </c>
      <c r="DT44" s="228">
        <f>IF(DT$11=0,0,-ROUND(Assumptions!$P$25*(1+Assumptions!$P$38)^(DT$9-1)/12,0))</f>
        <v/>
      </c>
    </row>
    <row r="45" ht="15" customHeight="1" s="148">
      <c r="A45" s="112" t="inlineStr">
        <is>
          <t>Property Taxes (Fixed)</t>
        </is>
      </c>
      <c r="C45" s="228">
        <f>SUM(D45:DT45)</f>
        <v/>
      </c>
      <c r="D45" s="228">
        <f>IF(D$11=0,0,-ROUND(Assumptions!$P$27*(1+Assumptions!$P$39)^(D$9-1)/12,0))</f>
        <v/>
      </c>
      <c r="E45" s="228">
        <f>IF(E$11=0,0,-ROUND(Assumptions!$P$27*(1+Assumptions!$P$39)^(E$9-1)/12,0))</f>
        <v/>
      </c>
      <c r="F45" s="228">
        <f>IF(F$11=0,0,-ROUND(Assumptions!$P$27*(1+Assumptions!$P$39)^(F$9-1)/12,0))</f>
        <v/>
      </c>
      <c r="G45" s="228">
        <f>IF(G$11=0,0,-ROUND(Assumptions!$P$27*(1+Assumptions!$P$39)^(G$9-1)/12,0))</f>
        <v/>
      </c>
      <c r="H45" s="228">
        <f>IF(H$11=0,0,-ROUND(Assumptions!$P$27*(1+Assumptions!$P$39)^(H$9-1)/12,0))</f>
        <v/>
      </c>
      <c r="I45" s="228">
        <f>IF(I$11=0,0,-ROUND(Assumptions!$P$27*(1+Assumptions!$P$39)^(I$9-1)/12,0))</f>
        <v/>
      </c>
      <c r="J45" s="228">
        <f>IF(J$11=0,0,-ROUND(Assumptions!$P$27*(1+Assumptions!$P$39)^(J$9-1)/12,0))</f>
        <v/>
      </c>
      <c r="K45" s="228">
        <f>IF(K$11=0,0,-ROUND(Assumptions!$P$27*(1+Assumptions!$P$39)^(K$9-1)/12,0))</f>
        <v/>
      </c>
      <c r="L45" s="228">
        <f>IF(L$11=0,0,-ROUND(Assumptions!$P$27*(1+Assumptions!$P$39)^(L$9-1)/12,0))</f>
        <v/>
      </c>
      <c r="M45" s="228">
        <f>IF(M$11=0,0,-ROUND(Assumptions!$P$27*(1+Assumptions!$P$39)^(M$9-1)/12,0))</f>
        <v/>
      </c>
      <c r="N45" s="228">
        <f>IF(N$11=0,0,-ROUND(Assumptions!$P$27*(1+Assumptions!$P$39)^(N$9-1)/12,0))</f>
        <v/>
      </c>
      <c r="O45" s="228">
        <f>IF(O$11=0,0,-ROUND(Assumptions!$P$27*(1+Assumptions!$P$39)^(O$9-1)/12,0))</f>
        <v/>
      </c>
      <c r="P45" s="228">
        <f>IF(P$11=0,0,-ROUND(Assumptions!$P$27*(1+Assumptions!$P$39)^(P$9-1)/12,0))</f>
        <v/>
      </c>
      <c r="Q45" s="228">
        <f>IF(Q$11=0,0,-ROUND(Assumptions!$P$27*(1+Assumptions!$P$39)^(Q$9-1)/12,0))</f>
        <v/>
      </c>
      <c r="R45" s="228">
        <f>IF(R$11=0,0,-ROUND(Assumptions!$P$27*(1+Assumptions!$P$39)^(R$9-1)/12,0))</f>
        <v/>
      </c>
      <c r="S45" s="228">
        <f>IF(S$11=0,0,-ROUND(Assumptions!$P$27*(1+Assumptions!$P$39)^(S$9-1)/12,0))</f>
        <v/>
      </c>
      <c r="T45" s="228">
        <f>IF(T$11=0,0,-ROUND(Assumptions!$P$27*(1+Assumptions!$P$39)^(T$9-1)/12,0))</f>
        <v/>
      </c>
      <c r="U45" s="228">
        <f>IF(U$11=0,0,-ROUND(Assumptions!$P$27*(1+Assumptions!$P$39)^(U$9-1)/12,0))</f>
        <v/>
      </c>
      <c r="V45" s="228">
        <f>IF(V$11=0,0,-ROUND(Assumptions!$P$27*(1+Assumptions!$P$39)^(V$9-1)/12,0))</f>
        <v/>
      </c>
      <c r="W45" s="228">
        <f>IF(W$11=0,0,-ROUND(Assumptions!$P$27*(1+Assumptions!$P$39)^(W$9-1)/12,0))</f>
        <v/>
      </c>
      <c r="X45" s="228">
        <f>IF(X$11=0,0,-ROUND(Assumptions!$P$27*(1+Assumptions!$P$39)^(X$9-1)/12,0))</f>
        <v/>
      </c>
      <c r="Y45" s="228">
        <f>IF(Y$11=0,0,-ROUND(Assumptions!$P$27*(1+Assumptions!$P$39)^(Y$9-1)/12,0))</f>
        <v/>
      </c>
      <c r="Z45" s="228">
        <f>IF(Z$11=0,0,-ROUND(Assumptions!$P$27*(1+Assumptions!$P$39)^(Z$9-1)/12,0))</f>
        <v/>
      </c>
      <c r="AA45" s="228">
        <f>IF(AA$11=0,0,-ROUND(Assumptions!$P$27*(1+Assumptions!$P$39)^(AA$9-1)/12,0))</f>
        <v/>
      </c>
      <c r="AB45" s="228">
        <f>IF(AB$11=0,0,-ROUND(Assumptions!$P$27*(1+Assumptions!$P$39)^(AB$9-1)/12,0))</f>
        <v/>
      </c>
      <c r="AC45" s="228">
        <f>IF(AC$11=0,0,-ROUND(Assumptions!$P$27*(1+Assumptions!$P$39)^(AC$9-1)/12,0))</f>
        <v/>
      </c>
      <c r="AD45" s="228">
        <f>IF(AD$11=0,0,-ROUND(Assumptions!$P$27*(1+Assumptions!$P$39)^(AD$9-1)/12,0))</f>
        <v/>
      </c>
      <c r="AE45" s="228">
        <f>IF(AE$11=0,0,-ROUND(Assumptions!$P$27*(1+Assumptions!$P$39)^(AE$9-1)/12,0))</f>
        <v/>
      </c>
      <c r="AF45" s="228">
        <f>IF(AF$11=0,0,-ROUND(Assumptions!$P$27*(1+Assumptions!$P$39)^(AF$9-1)/12,0))</f>
        <v/>
      </c>
      <c r="AG45" s="228">
        <f>IF(AG$11=0,0,-ROUND(Assumptions!$P$27*(1+Assumptions!$P$39)^(AG$9-1)/12,0))</f>
        <v/>
      </c>
      <c r="AH45" s="228">
        <f>IF(AH$11=0,0,-ROUND(Assumptions!$P$27*(1+Assumptions!$P$39)^(AH$9-1)/12,0))</f>
        <v/>
      </c>
      <c r="AI45" s="228">
        <f>IF(AI$11=0,0,-ROUND(Assumptions!$P$27*(1+Assumptions!$P$39)^(AI$9-1)/12,0))</f>
        <v/>
      </c>
      <c r="AJ45" s="228">
        <f>IF(AJ$11=0,0,-ROUND(Assumptions!$P$27*(1+Assumptions!$P$39)^(AJ$9-1)/12,0))</f>
        <v/>
      </c>
      <c r="AK45" s="228">
        <f>IF(AK$11=0,0,-ROUND(Assumptions!$P$27*(1+Assumptions!$P$39)^(AK$9-1)/12,0))</f>
        <v/>
      </c>
      <c r="AL45" s="228">
        <f>IF(AL$11=0,0,-ROUND(Assumptions!$P$27*(1+Assumptions!$P$39)^(AL$9-1)/12,0))</f>
        <v/>
      </c>
      <c r="AM45" s="228">
        <f>IF(AM$11=0,0,-ROUND(Assumptions!$P$27*(1+Assumptions!$P$39)^(AM$9-1)/12,0))</f>
        <v/>
      </c>
      <c r="AN45" s="228">
        <f>IF(AN$11=0,0,-ROUND(Assumptions!$P$27*(1+Assumptions!$P$39)^(AN$9-1)/12,0))</f>
        <v/>
      </c>
      <c r="AO45" s="228">
        <f>IF(AO$11=0,0,-ROUND(Assumptions!$P$27*(1+Assumptions!$P$39)^(AO$9-1)/12,0))</f>
        <v/>
      </c>
      <c r="AP45" s="228">
        <f>IF(AP$11=0,0,-ROUND(Assumptions!$P$27*(1+Assumptions!$P$39)^(AP$9-1)/12,0))</f>
        <v/>
      </c>
      <c r="AQ45" s="228">
        <f>IF(AQ$11=0,0,-ROUND(Assumptions!$P$27*(1+Assumptions!$P$39)^(AQ$9-1)/12,0))</f>
        <v/>
      </c>
      <c r="AR45" s="228">
        <f>IF(AR$11=0,0,-ROUND(Assumptions!$P$27*(1+Assumptions!$P$39)^(AR$9-1)/12,0))</f>
        <v/>
      </c>
      <c r="AS45" s="228">
        <f>IF(AS$11=0,0,-ROUND(Assumptions!$P$27*(1+Assumptions!$P$39)^(AS$9-1)/12,0))</f>
        <v/>
      </c>
      <c r="AT45" s="228">
        <f>IF(AT$11=0,0,-ROUND(Assumptions!$P$27*(1+Assumptions!$P$39)^(AT$9-1)/12,0))</f>
        <v/>
      </c>
      <c r="AU45" s="228">
        <f>IF(AU$11=0,0,-ROUND(Assumptions!$P$27*(1+Assumptions!$P$39)^(AU$9-1)/12,0))</f>
        <v/>
      </c>
      <c r="AV45" s="228">
        <f>IF(AV$11=0,0,-ROUND(Assumptions!$P$27*(1+Assumptions!$P$39)^(AV$9-1)/12,0))</f>
        <v/>
      </c>
      <c r="AW45" s="228">
        <f>IF(AW$11=0,0,-ROUND(Assumptions!$P$27*(1+Assumptions!$P$39)^(AW$9-1)/12,0))</f>
        <v/>
      </c>
      <c r="AX45" s="228">
        <f>IF(AX$11=0,0,-ROUND(Assumptions!$P$27*(1+Assumptions!$P$39)^(AX$9-1)/12,0))</f>
        <v/>
      </c>
      <c r="AY45" s="228">
        <f>IF(AY$11=0,0,-ROUND(Assumptions!$P$27*(1+Assumptions!$P$39)^(AY$9-1)/12,0))</f>
        <v/>
      </c>
      <c r="AZ45" s="228">
        <f>IF(AZ$11=0,0,-ROUND(Assumptions!$P$27*(1+Assumptions!$P$39)^(AZ$9-1)/12,0))</f>
        <v/>
      </c>
      <c r="BA45" s="228">
        <f>IF(BA$11=0,0,-ROUND(Assumptions!$P$27*(1+Assumptions!$P$39)^(BA$9-1)/12,0))</f>
        <v/>
      </c>
      <c r="BB45" s="228">
        <f>IF(BB$11=0,0,-ROUND(Assumptions!$P$27*(1+Assumptions!$P$39)^(BB$9-1)/12,0))</f>
        <v/>
      </c>
      <c r="BC45" s="228">
        <f>IF(BC$11=0,0,-ROUND(Assumptions!$P$27*(1+Assumptions!$P$39)^(BC$9-1)/12,0))</f>
        <v/>
      </c>
      <c r="BD45" s="228">
        <f>IF(BD$11=0,0,-ROUND(Assumptions!$P$27*(1+Assumptions!$P$39)^(BD$9-1)/12,0))</f>
        <v/>
      </c>
      <c r="BE45" s="228">
        <f>IF(BE$11=0,0,-ROUND(Assumptions!$P$27*(1+Assumptions!$P$39)^(BE$9-1)/12,0))</f>
        <v/>
      </c>
      <c r="BF45" s="228">
        <f>IF(BF$11=0,0,-ROUND(Assumptions!$P$27*(1+Assumptions!$P$39)^(BF$9-1)/12,0))</f>
        <v/>
      </c>
      <c r="BG45" s="228">
        <f>IF(BG$11=0,0,-ROUND(Assumptions!$P$27*(1+Assumptions!$P$39)^(BG$9-1)/12,0))</f>
        <v/>
      </c>
      <c r="BH45" s="228">
        <f>IF(BH$11=0,0,-ROUND(Assumptions!$P$27*(1+Assumptions!$P$39)^(BH$9-1)/12,0))</f>
        <v/>
      </c>
      <c r="BI45" s="228">
        <f>IF(BI$11=0,0,-ROUND(Assumptions!$P$27*(1+Assumptions!$P$39)^(BI$9-1)/12,0))</f>
        <v/>
      </c>
      <c r="BJ45" s="228">
        <f>IF(BJ$11=0,0,-ROUND(Assumptions!$P$27*(1+Assumptions!$P$39)^(BJ$9-1)/12,0))</f>
        <v/>
      </c>
      <c r="BK45" s="228">
        <f>IF(BK$11=0,0,-ROUND(Assumptions!$P$27*(1+Assumptions!$P$39)^(BK$9-1)/12,0))</f>
        <v/>
      </c>
      <c r="BL45" s="228">
        <f>IF(BL$11=0,0,-ROUND(Assumptions!$P$27*(1+Assumptions!$P$39)^(BL$9-1)/12,0))</f>
        <v/>
      </c>
      <c r="BM45" s="228">
        <f>IF(BM$11=0,0,-ROUND(Assumptions!$P$27*(1+Assumptions!$P$39)^(BM$9-1)/12,0))</f>
        <v/>
      </c>
      <c r="BN45" s="228">
        <f>IF(BN$11=0,0,-ROUND(Assumptions!$P$27*(1+Assumptions!$P$39)^(BN$9-1)/12,0))</f>
        <v/>
      </c>
      <c r="BO45" s="228">
        <f>IF(BO$11=0,0,-ROUND(Assumptions!$P$27*(1+Assumptions!$P$39)^(BO$9-1)/12,0))</f>
        <v/>
      </c>
      <c r="BP45" s="228">
        <f>IF(BP$11=0,0,-ROUND(Assumptions!$P$27*(1+Assumptions!$P$39)^(BP$9-1)/12,0))</f>
        <v/>
      </c>
      <c r="BQ45" s="228">
        <f>IF(BQ$11=0,0,-ROUND(Assumptions!$P$27*(1+Assumptions!$P$39)^(BQ$9-1)/12,0))</f>
        <v/>
      </c>
      <c r="BR45" s="228">
        <f>IF(BR$11=0,0,-ROUND(Assumptions!$P$27*(1+Assumptions!$P$39)^(BR$9-1)/12,0))</f>
        <v/>
      </c>
      <c r="BS45" s="228">
        <f>IF(BS$11=0,0,-ROUND(Assumptions!$P$27*(1+Assumptions!$P$39)^(BS$9-1)/12,0))</f>
        <v/>
      </c>
      <c r="BT45" s="228">
        <f>IF(BT$11=0,0,-ROUND(Assumptions!$P$27*(1+Assumptions!$P$39)^(BT$9-1)/12,0))</f>
        <v/>
      </c>
      <c r="BU45" s="228">
        <f>IF(BU$11=0,0,-ROUND(Assumptions!$P$27*(1+Assumptions!$P$39)^(BU$9-1)/12,0))</f>
        <v/>
      </c>
      <c r="BV45" s="228">
        <f>IF(BV$11=0,0,-ROUND(Assumptions!$P$27*(1+Assumptions!$P$39)^(BV$9-1)/12,0))</f>
        <v/>
      </c>
      <c r="BW45" s="228">
        <f>IF(BW$11=0,0,-ROUND(Assumptions!$P$27*(1+Assumptions!$P$39)^(BW$9-1)/12,0))</f>
        <v/>
      </c>
      <c r="BX45" s="228">
        <f>IF(BX$11=0,0,-ROUND(Assumptions!$P$27*(1+Assumptions!$P$39)^(BX$9-1)/12,0))</f>
        <v/>
      </c>
      <c r="BY45" s="228">
        <f>IF(BY$11=0,0,-ROUND(Assumptions!$P$27*(1+Assumptions!$P$39)^(BY$9-1)/12,0))</f>
        <v/>
      </c>
      <c r="BZ45" s="228">
        <f>IF(BZ$11=0,0,-ROUND(Assumptions!$P$27*(1+Assumptions!$P$39)^(BZ$9-1)/12,0))</f>
        <v/>
      </c>
      <c r="CA45" s="228">
        <f>IF(CA$11=0,0,-ROUND(Assumptions!$P$27*(1+Assumptions!$P$39)^(CA$9-1)/12,0))</f>
        <v/>
      </c>
      <c r="CB45" s="228">
        <f>IF(CB$11=0,0,-ROUND(Assumptions!$P$27*(1+Assumptions!$P$39)^(CB$9-1)/12,0))</f>
        <v/>
      </c>
      <c r="CC45" s="228">
        <f>IF(CC$11=0,0,-ROUND(Assumptions!$P$27*(1+Assumptions!$P$39)^(CC$9-1)/12,0))</f>
        <v/>
      </c>
      <c r="CD45" s="228">
        <f>IF(CD$11=0,0,-ROUND(Assumptions!$P$27*(1+Assumptions!$P$39)^(CD$9-1)/12,0))</f>
        <v/>
      </c>
      <c r="CE45" s="228">
        <f>IF(CE$11=0,0,-ROUND(Assumptions!$P$27*(1+Assumptions!$P$39)^(CE$9-1)/12,0))</f>
        <v/>
      </c>
      <c r="CF45" s="228">
        <f>IF(CF$11=0,0,-ROUND(Assumptions!$P$27*(1+Assumptions!$P$39)^(CF$9-1)/12,0))</f>
        <v/>
      </c>
      <c r="CG45" s="228">
        <f>IF(CG$11=0,0,-ROUND(Assumptions!$P$27*(1+Assumptions!$P$39)^(CG$9-1)/12,0))</f>
        <v/>
      </c>
      <c r="CH45" s="228">
        <f>IF(CH$11=0,0,-ROUND(Assumptions!$P$27*(1+Assumptions!$P$39)^(CH$9-1)/12,0))</f>
        <v/>
      </c>
      <c r="CI45" s="228">
        <f>IF(CI$11=0,0,-ROUND(Assumptions!$P$27*(1+Assumptions!$P$39)^(CI$9-1)/12,0))</f>
        <v/>
      </c>
      <c r="CJ45" s="228">
        <f>IF(CJ$11=0,0,-ROUND(Assumptions!$P$27*(1+Assumptions!$P$39)^(CJ$9-1)/12,0))</f>
        <v/>
      </c>
      <c r="CK45" s="228">
        <f>IF(CK$11=0,0,-ROUND(Assumptions!$P$27*(1+Assumptions!$P$39)^(CK$9-1)/12,0))</f>
        <v/>
      </c>
      <c r="CL45" s="228">
        <f>IF(CL$11=0,0,-ROUND(Assumptions!$P$27*(1+Assumptions!$P$39)^(CL$9-1)/12,0))</f>
        <v/>
      </c>
      <c r="CM45" s="228">
        <f>IF(CM$11=0,0,-ROUND(Assumptions!$P$27*(1+Assumptions!$P$39)^(CM$9-1)/12,0))</f>
        <v/>
      </c>
      <c r="CN45" s="228">
        <f>IF(CN$11=0,0,-ROUND(Assumptions!$P$27*(1+Assumptions!$P$39)^(CN$9-1)/12,0))</f>
        <v/>
      </c>
      <c r="CO45" s="228">
        <f>IF(CO$11=0,0,-ROUND(Assumptions!$P$27*(1+Assumptions!$P$39)^(CO$9-1)/12,0))</f>
        <v/>
      </c>
      <c r="CP45" s="228">
        <f>IF(CP$11=0,0,-ROUND(Assumptions!$P$27*(1+Assumptions!$P$39)^(CP$9-1)/12,0))</f>
        <v/>
      </c>
      <c r="CQ45" s="228">
        <f>IF(CQ$11=0,0,-ROUND(Assumptions!$P$27*(1+Assumptions!$P$39)^(CQ$9-1)/12,0))</f>
        <v/>
      </c>
      <c r="CR45" s="228">
        <f>IF(CR$11=0,0,-ROUND(Assumptions!$P$27*(1+Assumptions!$P$39)^(CR$9-1)/12,0))</f>
        <v/>
      </c>
      <c r="CS45" s="228">
        <f>IF(CS$11=0,0,-ROUND(Assumptions!$P$27*(1+Assumptions!$P$39)^(CS$9-1)/12,0))</f>
        <v/>
      </c>
      <c r="CT45" s="228">
        <f>IF(CT$11=0,0,-ROUND(Assumptions!$P$27*(1+Assumptions!$P$39)^(CT$9-1)/12,0))</f>
        <v/>
      </c>
      <c r="CU45" s="228">
        <f>IF(CU$11=0,0,-ROUND(Assumptions!$P$27*(1+Assumptions!$P$39)^(CU$9-1)/12,0))</f>
        <v/>
      </c>
      <c r="CV45" s="228">
        <f>IF(CV$11=0,0,-ROUND(Assumptions!$P$27*(1+Assumptions!$P$39)^(CV$9-1)/12,0))</f>
        <v/>
      </c>
      <c r="CW45" s="228">
        <f>IF(CW$11=0,0,-ROUND(Assumptions!$P$27*(1+Assumptions!$P$39)^(CW$9-1)/12,0))</f>
        <v/>
      </c>
      <c r="CX45" s="228">
        <f>IF(CX$11=0,0,-ROUND(Assumptions!$P$27*(1+Assumptions!$P$39)^(CX$9-1)/12,0))</f>
        <v/>
      </c>
      <c r="CY45" s="228">
        <f>IF(CY$11=0,0,-ROUND(Assumptions!$P$27*(1+Assumptions!$P$39)^(CY$9-1)/12,0))</f>
        <v/>
      </c>
      <c r="CZ45" s="228">
        <f>IF(CZ$11=0,0,-ROUND(Assumptions!$P$27*(1+Assumptions!$P$39)^(CZ$9-1)/12,0))</f>
        <v/>
      </c>
      <c r="DA45" s="228">
        <f>IF(DA$11=0,0,-ROUND(Assumptions!$P$27*(1+Assumptions!$P$39)^(DA$9-1)/12,0))</f>
        <v/>
      </c>
      <c r="DB45" s="228">
        <f>IF(DB$11=0,0,-ROUND(Assumptions!$P$27*(1+Assumptions!$P$39)^(DB$9-1)/12,0))</f>
        <v/>
      </c>
      <c r="DC45" s="228">
        <f>IF(DC$11=0,0,-ROUND(Assumptions!$P$27*(1+Assumptions!$P$39)^(DC$9-1)/12,0))</f>
        <v/>
      </c>
      <c r="DD45" s="228">
        <f>IF(DD$11=0,0,-ROUND(Assumptions!$P$27*(1+Assumptions!$P$39)^(DD$9-1)/12,0))</f>
        <v/>
      </c>
      <c r="DE45" s="228">
        <f>IF(DE$11=0,0,-ROUND(Assumptions!$P$27*(1+Assumptions!$P$39)^(DE$9-1)/12,0))</f>
        <v/>
      </c>
      <c r="DF45" s="228">
        <f>IF(DF$11=0,0,-ROUND(Assumptions!$P$27*(1+Assumptions!$P$39)^(DF$9-1)/12,0))</f>
        <v/>
      </c>
      <c r="DG45" s="228">
        <f>IF(DG$11=0,0,-ROUND(Assumptions!$P$27*(1+Assumptions!$P$39)^(DG$9-1)/12,0))</f>
        <v/>
      </c>
      <c r="DH45" s="228">
        <f>IF(DH$11=0,0,-ROUND(Assumptions!$P$27*(1+Assumptions!$P$39)^(DH$9-1)/12,0))</f>
        <v/>
      </c>
      <c r="DI45" s="228">
        <f>IF(DI$11=0,0,-ROUND(Assumptions!$P$27*(1+Assumptions!$P$39)^(DI$9-1)/12,0))</f>
        <v/>
      </c>
      <c r="DJ45" s="228">
        <f>IF(DJ$11=0,0,-ROUND(Assumptions!$P$27*(1+Assumptions!$P$39)^(DJ$9-1)/12,0))</f>
        <v/>
      </c>
      <c r="DK45" s="228">
        <f>IF(DK$11=0,0,-ROUND(Assumptions!$P$27*(1+Assumptions!$P$39)^(DK$9-1)/12,0))</f>
        <v/>
      </c>
      <c r="DL45" s="228">
        <f>IF(DL$11=0,0,-ROUND(Assumptions!$P$27*(1+Assumptions!$P$39)^(DL$9-1)/12,0))</f>
        <v/>
      </c>
      <c r="DM45" s="228">
        <f>IF(DM$11=0,0,-ROUND(Assumptions!$P$27*(1+Assumptions!$P$39)^(DM$9-1)/12,0))</f>
        <v/>
      </c>
      <c r="DN45" s="228">
        <f>IF(DN$11=0,0,-ROUND(Assumptions!$P$27*(1+Assumptions!$P$39)^(DN$9-1)/12,0))</f>
        <v/>
      </c>
      <c r="DO45" s="228">
        <f>IF(DO$11=0,0,-ROUND(Assumptions!$P$27*(1+Assumptions!$P$39)^(DO$9-1)/12,0))</f>
        <v/>
      </c>
      <c r="DP45" s="228">
        <f>IF(DP$11=0,0,-ROUND(Assumptions!$P$27*(1+Assumptions!$P$39)^(DP$9-1)/12,0))</f>
        <v/>
      </c>
      <c r="DQ45" s="228">
        <f>IF(DQ$11=0,0,-ROUND(Assumptions!$P$27*(1+Assumptions!$P$39)^(DQ$9-1)/12,0))</f>
        <v/>
      </c>
      <c r="DR45" s="228">
        <f>IF(DR$11=0,0,-ROUND(Assumptions!$P$27*(1+Assumptions!$P$39)^(DR$9-1)/12,0))</f>
        <v/>
      </c>
      <c r="DS45" s="228">
        <f>IF(DS$11=0,0,-ROUND(Assumptions!$P$27*(1+Assumptions!$P$39)^(DS$9-1)/12,0))</f>
        <v/>
      </c>
      <c r="DT45" s="228">
        <f>IF(DT$11=0,0,-ROUND(Assumptions!$P$27*(1+Assumptions!$P$39)^(DT$9-1)/12,0))</f>
        <v/>
      </c>
    </row>
    <row r="46" ht="15" customHeight="1" s="148">
      <c r="A46" s="112" t="inlineStr">
        <is>
          <t>Other Expense 1 (Annual)</t>
        </is>
      </c>
      <c r="C46" s="228">
        <f>SUM(D46:DT46)</f>
        <v/>
      </c>
      <c r="D46" s="228">
        <f>IF(D$11=0,0,-ROUND(Assumptions!$F$13*Assumptions!$P$28*(1+Assumptions!$P$38)^(D$9-1)/12,0))</f>
        <v/>
      </c>
      <c r="E46" s="228">
        <f>IF(E$11=0,0,-ROUND(Assumptions!$F$13*Assumptions!$P$28*(1+Assumptions!$P$38)^(E$9-1)/12,0))</f>
        <v/>
      </c>
      <c r="F46" s="228">
        <f>IF(F$11=0,0,-ROUND(Assumptions!$F$13*Assumptions!$P$28*(1+Assumptions!$P$38)^(F$9-1)/12,0))</f>
        <v/>
      </c>
      <c r="G46" s="228">
        <f>IF(G$11=0,0,-ROUND(Assumptions!$F$13*Assumptions!$P$28*(1+Assumptions!$P$38)^(G$9-1)/12,0))</f>
        <v/>
      </c>
      <c r="H46" s="228">
        <f>IF(H$11=0,0,-ROUND(Assumptions!$F$13*Assumptions!$P$28*(1+Assumptions!$P$38)^(H$9-1)/12,0))</f>
        <v/>
      </c>
      <c r="I46" s="228">
        <f>IF(I$11=0,0,-ROUND(Assumptions!$F$13*Assumptions!$P$28*(1+Assumptions!$P$38)^(I$9-1)/12,0))</f>
        <v/>
      </c>
      <c r="J46" s="228">
        <f>IF(J$11=0,0,-ROUND(Assumptions!$F$13*Assumptions!$P$28*(1+Assumptions!$P$38)^(J$9-1)/12,0))</f>
        <v/>
      </c>
      <c r="K46" s="228">
        <f>IF(K$11=0,0,-ROUND(Assumptions!$F$13*Assumptions!$P$28*(1+Assumptions!$P$38)^(K$9-1)/12,0))</f>
        <v/>
      </c>
      <c r="L46" s="228">
        <f>IF(L$11=0,0,-ROUND(Assumptions!$F$13*Assumptions!$P$28*(1+Assumptions!$P$38)^(L$9-1)/12,0))</f>
        <v/>
      </c>
      <c r="M46" s="228">
        <f>IF(M$11=0,0,-ROUND(Assumptions!$F$13*Assumptions!$P$28*(1+Assumptions!$P$38)^(M$9-1)/12,0))</f>
        <v/>
      </c>
      <c r="N46" s="228">
        <f>IF(N$11=0,0,-ROUND(Assumptions!$F$13*Assumptions!$P$28*(1+Assumptions!$P$38)^(N$9-1)/12,0))</f>
        <v/>
      </c>
      <c r="O46" s="228">
        <f>IF(O$11=0,0,-ROUND(Assumptions!$F$13*Assumptions!$P$28*(1+Assumptions!$P$38)^(O$9-1)/12,0))</f>
        <v/>
      </c>
      <c r="P46" s="228">
        <f>IF(P$11=0,0,-ROUND(Assumptions!$F$13*Assumptions!$P$28*(1+Assumptions!$P$38)^(P$9-1)/12,0))</f>
        <v/>
      </c>
      <c r="Q46" s="228">
        <f>IF(Q$11=0,0,-ROUND(Assumptions!$F$13*Assumptions!$P$28*(1+Assumptions!$P$38)^(Q$9-1)/12,0))</f>
        <v/>
      </c>
      <c r="R46" s="228">
        <f>IF(R$11=0,0,-ROUND(Assumptions!$F$13*Assumptions!$P$28*(1+Assumptions!$P$38)^(R$9-1)/12,0))</f>
        <v/>
      </c>
      <c r="S46" s="228">
        <f>IF(S$11=0,0,-ROUND(Assumptions!$F$13*Assumptions!$P$28*(1+Assumptions!$P$38)^(S$9-1)/12,0))</f>
        <v/>
      </c>
      <c r="T46" s="228">
        <f>IF(T$11=0,0,-ROUND(Assumptions!$F$13*Assumptions!$P$28*(1+Assumptions!$P$38)^(T$9-1)/12,0))</f>
        <v/>
      </c>
      <c r="U46" s="228">
        <f>IF(U$11=0,0,-ROUND(Assumptions!$F$13*Assumptions!$P$28*(1+Assumptions!$P$38)^(U$9-1)/12,0))</f>
        <v/>
      </c>
      <c r="V46" s="228">
        <f>IF(V$11=0,0,-ROUND(Assumptions!$F$13*Assumptions!$P$28*(1+Assumptions!$P$38)^(V$9-1)/12,0))</f>
        <v/>
      </c>
      <c r="W46" s="228">
        <f>IF(W$11=0,0,-ROUND(Assumptions!$F$13*Assumptions!$P$28*(1+Assumptions!$P$38)^(W$9-1)/12,0))</f>
        <v/>
      </c>
      <c r="X46" s="228">
        <f>IF(X$11=0,0,-ROUND(Assumptions!$F$13*Assumptions!$P$28*(1+Assumptions!$P$38)^(X$9-1)/12,0))</f>
        <v/>
      </c>
      <c r="Y46" s="228">
        <f>IF(Y$11=0,0,-ROUND(Assumptions!$F$13*Assumptions!$P$28*(1+Assumptions!$P$38)^(Y$9-1)/12,0))</f>
        <v/>
      </c>
      <c r="Z46" s="228">
        <f>IF(Z$11=0,0,-ROUND(Assumptions!$F$13*Assumptions!$P$28*(1+Assumptions!$P$38)^(Z$9-1)/12,0))</f>
        <v/>
      </c>
      <c r="AA46" s="228">
        <f>IF(AA$11=0,0,-ROUND(Assumptions!$F$13*Assumptions!$P$28*(1+Assumptions!$P$38)^(AA$9-1)/12,0))</f>
        <v/>
      </c>
      <c r="AB46" s="228">
        <f>IF(AB$11=0,0,-ROUND(Assumptions!$F$13*Assumptions!$P$28*(1+Assumptions!$P$38)^(AB$9-1)/12,0))</f>
        <v/>
      </c>
      <c r="AC46" s="228">
        <f>IF(AC$11=0,0,-ROUND(Assumptions!$F$13*Assumptions!$P$28*(1+Assumptions!$P$38)^(AC$9-1)/12,0))</f>
        <v/>
      </c>
      <c r="AD46" s="228">
        <f>IF(AD$11=0,0,-ROUND(Assumptions!$F$13*Assumptions!$P$28*(1+Assumptions!$P$38)^(AD$9-1)/12,0))</f>
        <v/>
      </c>
      <c r="AE46" s="228">
        <f>IF(AE$11=0,0,-ROUND(Assumptions!$F$13*Assumptions!$P$28*(1+Assumptions!$P$38)^(AE$9-1)/12,0))</f>
        <v/>
      </c>
      <c r="AF46" s="228">
        <f>IF(AF$11=0,0,-ROUND(Assumptions!$F$13*Assumptions!$P$28*(1+Assumptions!$P$38)^(AF$9-1)/12,0))</f>
        <v/>
      </c>
      <c r="AG46" s="228">
        <f>IF(AG$11=0,0,-ROUND(Assumptions!$F$13*Assumptions!$P$28*(1+Assumptions!$P$38)^(AG$9-1)/12,0))</f>
        <v/>
      </c>
      <c r="AH46" s="228">
        <f>IF(AH$11=0,0,-ROUND(Assumptions!$F$13*Assumptions!$P$28*(1+Assumptions!$P$38)^(AH$9-1)/12,0))</f>
        <v/>
      </c>
      <c r="AI46" s="228">
        <f>IF(AI$11=0,0,-ROUND(Assumptions!$F$13*Assumptions!$P$28*(1+Assumptions!$P$38)^(AI$9-1)/12,0))</f>
        <v/>
      </c>
      <c r="AJ46" s="228">
        <f>IF(AJ$11=0,0,-ROUND(Assumptions!$F$13*Assumptions!$P$28*(1+Assumptions!$P$38)^(AJ$9-1)/12,0))</f>
        <v/>
      </c>
      <c r="AK46" s="228">
        <f>IF(AK$11=0,0,-ROUND(Assumptions!$F$13*Assumptions!$P$28*(1+Assumptions!$P$38)^(AK$9-1)/12,0))</f>
        <v/>
      </c>
      <c r="AL46" s="228">
        <f>IF(AL$11=0,0,-ROUND(Assumptions!$F$13*Assumptions!$P$28*(1+Assumptions!$P$38)^(AL$9-1)/12,0))</f>
        <v/>
      </c>
      <c r="AM46" s="228">
        <f>IF(AM$11=0,0,-ROUND(Assumptions!$F$13*Assumptions!$P$28*(1+Assumptions!$P$38)^(AM$9-1)/12,0))</f>
        <v/>
      </c>
      <c r="AN46" s="228">
        <f>IF(AN$11=0,0,-ROUND(Assumptions!$F$13*Assumptions!$P$28*(1+Assumptions!$P$38)^(AN$9-1)/12,0))</f>
        <v/>
      </c>
      <c r="AO46" s="228">
        <f>IF(AO$11=0,0,-ROUND(Assumptions!$F$13*Assumptions!$P$28*(1+Assumptions!$P$38)^(AO$9-1)/12,0))</f>
        <v/>
      </c>
      <c r="AP46" s="228">
        <f>IF(AP$11=0,0,-ROUND(Assumptions!$F$13*Assumptions!$P$28*(1+Assumptions!$P$38)^(AP$9-1)/12,0))</f>
        <v/>
      </c>
      <c r="AQ46" s="228">
        <f>IF(AQ$11=0,0,-ROUND(Assumptions!$F$13*Assumptions!$P$28*(1+Assumptions!$P$38)^(AQ$9-1)/12,0))</f>
        <v/>
      </c>
      <c r="AR46" s="228">
        <f>IF(AR$11=0,0,-ROUND(Assumptions!$F$13*Assumptions!$P$28*(1+Assumptions!$P$38)^(AR$9-1)/12,0))</f>
        <v/>
      </c>
      <c r="AS46" s="228">
        <f>IF(AS$11=0,0,-ROUND(Assumptions!$F$13*Assumptions!$P$28*(1+Assumptions!$P$38)^(AS$9-1)/12,0))</f>
        <v/>
      </c>
      <c r="AT46" s="228">
        <f>IF(AT$11=0,0,-ROUND(Assumptions!$F$13*Assumptions!$P$28*(1+Assumptions!$P$38)^(AT$9-1)/12,0))</f>
        <v/>
      </c>
      <c r="AU46" s="228">
        <f>IF(AU$11=0,0,-ROUND(Assumptions!$F$13*Assumptions!$P$28*(1+Assumptions!$P$38)^(AU$9-1)/12,0))</f>
        <v/>
      </c>
      <c r="AV46" s="228">
        <f>IF(AV$11=0,0,-ROUND(Assumptions!$F$13*Assumptions!$P$28*(1+Assumptions!$P$38)^(AV$9-1)/12,0))</f>
        <v/>
      </c>
      <c r="AW46" s="228">
        <f>IF(AW$11=0,0,-ROUND(Assumptions!$F$13*Assumptions!$P$28*(1+Assumptions!$P$38)^(AW$9-1)/12,0))</f>
        <v/>
      </c>
      <c r="AX46" s="228">
        <f>IF(AX$11=0,0,-ROUND(Assumptions!$F$13*Assumptions!$P$28*(1+Assumptions!$P$38)^(AX$9-1)/12,0))</f>
        <v/>
      </c>
      <c r="AY46" s="228">
        <f>IF(AY$11=0,0,-ROUND(Assumptions!$F$13*Assumptions!$P$28*(1+Assumptions!$P$38)^(AY$9-1)/12,0))</f>
        <v/>
      </c>
      <c r="AZ46" s="228">
        <f>IF(AZ$11=0,0,-ROUND(Assumptions!$F$13*Assumptions!$P$28*(1+Assumptions!$P$38)^(AZ$9-1)/12,0))</f>
        <v/>
      </c>
      <c r="BA46" s="228">
        <f>IF(BA$11=0,0,-ROUND(Assumptions!$F$13*Assumptions!$P$28*(1+Assumptions!$P$38)^(BA$9-1)/12,0))</f>
        <v/>
      </c>
      <c r="BB46" s="228">
        <f>IF(BB$11=0,0,-ROUND(Assumptions!$F$13*Assumptions!$P$28*(1+Assumptions!$P$38)^(BB$9-1)/12,0))</f>
        <v/>
      </c>
      <c r="BC46" s="228">
        <f>IF(BC$11=0,0,-ROUND(Assumptions!$F$13*Assumptions!$P$28*(1+Assumptions!$P$38)^(BC$9-1)/12,0))</f>
        <v/>
      </c>
      <c r="BD46" s="228">
        <f>IF(BD$11=0,0,-ROUND(Assumptions!$F$13*Assumptions!$P$28*(1+Assumptions!$P$38)^(BD$9-1)/12,0))</f>
        <v/>
      </c>
      <c r="BE46" s="228">
        <f>IF(BE$11=0,0,-ROUND(Assumptions!$F$13*Assumptions!$P$28*(1+Assumptions!$P$38)^(BE$9-1)/12,0))</f>
        <v/>
      </c>
      <c r="BF46" s="228">
        <f>IF(BF$11=0,0,-ROUND(Assumptions!$F$13*Assumptions!$P$28*(1+Assumptions!$P$38)^(BF$9-1)/12,0))</f>
        <v/>
      </c>
      <c r="BG46" s="228">
        <f>IF(BG$11=0,0,-ROUND(Assumptions!$F$13*Assumptions!$P$28*(1+Assumptions!$P$38)^(BG$9-1)/12,0))</f>
        <v/>
      </c>
      <c r="BH46" s="228">
        <f>IF(BH$11=0,0,-ROUND(Assumptions!$F$13*Assumptions!$P$28*(1+Assumptions!$P$38)^(BH$9-1)/12,0))</f>
        <v/>
      </c>
      <c r="BI46" s="228">
        <f>IF(BI$11=0,0,-ROUND(Assumptions!$F$13*Assumptions!$P$28*(1+Assumptions!$P$38)^(BI$9-1)/12,0))</f>
        <v/>
      </c>
      <c r="BJ46" s="228">
        <f>IF(BJ$11=0,0,-ROUND(Assumptions!$F$13*Assumptions!$P$28*(1+Assumptions!$P$38)^(BJ$9-1)/12,0))</f>
        <v/>
      </c>
      <c r="BK46" s="228">
        <f>IF(BK$11=0,0,-ROUND(Assumptions!$F$13*Assumptions!$P$28*(1+Assumptions!$P$38)^(BK$9-1)/12,0))</f>
        <v/>
      </c>
      <c r="BL46" s="228">
        <f>IF(BL$11=0,0,-ROUND(Assumptions!$F$13*Assumptions!$P$28*(1+Assumptions!$P$38)^(BL$9-1)/12,0))</f>
        <v/>
      </c>
      <c r="BM46" s="228">
        <f>IF(BM$11=0,0,-ROUND(Assumptions!$F$13*Assumptions!$P$28*(1+Assumptions!$P$38)^(BM$9-1)/12,0))</f>
        <v/>
      </c>
      <c r="BN46" s="228">
        <f>IF(BN$11=0,0,-ROUND(Assumptions!$F$13*Assumptions!$P$28*(1+Assumptions!$P$38)^(BN$9-1)/12,0))</f>
        <v/>
      </c>
      <c r="BO46" s="228">
        <f>IF(BO$11=0,0,-ROUND(Assumptions!$F$13*Assumptions!$P$28*(1+Assumptions!$P$38)^(BO$9-1)/12,0))</f>
        <v/>
      </c>
      <c r="BP46" s="228">
        <f>IF(BP$11=0,0,-ROUND(Assumptions!$F$13*Assumptions!$P$28*(1+Assumptions!$P$38)^(BP$9-1)/12,0))</f>
        <v/>
      </c>
      <c r="BQ46" s="228">
        <f>IF(BQ$11=0,0,-ROUND(Assumptions!$F$13*Assumptions!$P$28*(1+Assumptions!$P$38)^(BQ$9-1)/12,0))</f>
        <v/>
      </c>
      <c r="BR46" s="228">
        <f>IF(BR$11=0,0,-ROUND(Assumptions!$F$13*Assumptions!$P$28*(1+Assumptions!$P$38)^(BR$9-1)/12,0))</f>
        <v/>
      </c>
      <c r="BS46" s="228">
        <f>IF(BS$11=0,0,-ROUND(Assumptions!$F$13*Assumptions!$P$28*(1+Assumptions!$P$38)^(BS$9-1)/12,0))</f>
        <v/>
      </c>
      <c r="BT46" s="228">
        <f>IF(BT$11=0,0,-ROUND(Assumptions!$F$13*Assumptions!$P$28*(1+Assumptions!$P$38)^(BT$9-1)/12,0))</f>
        <v/>
      </c>
      <c r="BU46" s="228">
        <f>IF(BU$11=0,0,-ROUND(Assumptions!$F$13*Assumptions!$P$28*(1+Assumptions!$P$38)^(BU$9-1)/12,0))</f>
        <v/>
      </c>
      <c r="BV46" s="228">
        <f>IF(BV$11=0,0,-ROUND(Assumptions!$F$13*Assumptions!$P$28*(1+Assumptions!$P$38)^(BV$9-1)/12,0))</f>
        <v/>
      </c>
      <c r="BW46" s="228">
        <f>IF(BW$11=0,0,-ROUND(Assumptions!$F$13*Assumptions!$P$28*(1+Assumptions!$P$38)^(BW$9-1)/12,0))</f>
        <v/>
      </c>
      <c r="BX46" s="228">
        <f>IF(BX$11=0,0,-ROUND(Assumptions!$F$13*Assumptions!$P$28*(1+Assumptions!$P$38)^(BX$9-1)/12,0))</f>
        <v/>
      </c>
      <c r="BY46" s="228">
        <f>IF(BY$11=0,0,-ROUND(Assumptions!$F$13*Assumptions!$P$28*(1+Assumptions!$P$38)^(BY$9-1)/12,0))</f>
        <v/>
      </c>
      <c r="BZ46" s="228">
        <f>IF(BZ$11=0,0,-ROUND(Assumptions!$F$13*Assumptions!$P$28*(1+Assumptions!$P$38)^(BZ$9-1)/12,0))</f>
        <v/>
      </c>
      <c r="CA46" s="228">
        <f>IF(CA$11=0,0,-ROUND(Assumptions!$F$13*Assumptions!$P$28*(1+Assumptions!$P$38)^(CA$9-1)/12,0))</f>
        <v/>
      </c>
      <c r="CB46" s="228">
        <f>IF(CB$11=0,0,-ROUND(Assumptions!$F$13*Assumptions!$P$28*(1+Assumptions!$P$38)^(CB$9-1)/12,0))</f>
        <v/>
      </c>
      <c r="CC46" s="228">
        <f>IF(CC$11=0,0,-ROUND(Assumptions!$F$13*Assumptions!$P$28*(1+Assumptions!$P$38)^(CC$9-1)/12,0))</f>
        <v/>
      </c>
      <c r="CD46" s="228">
        <f>IF(CD$11=0,0,-ROUND(Assumptions!$F$13*Assumptions!$P$28*(1+Assumptions!$P$38)^(CD$9-1)/12,0))</f>
        <v/>
      </c>
      <c r="CE46" s="228">
        <f>IF(CE$11=0,0,-ROUND(Assumptions!$F$13*Assumptions!$P$28*(1+Assumptions!$P$38)^(CE$9-1)/12,0))</f>
        <v/>
      </c>
      <c r="CF46" s="228">
        <f>IF(CF$11=0,0,-ROUND(Assumptions!$F$13*Assumptions!$P$28*(1+Assumptions!$P$38)^(CF$9-1)/12,0))</f>
        <v/>
      </c>
      <c r="CG46" s="228">
        <f>IF(CG$11=0,0,-ROUND(Assumptions!$F$13*Assumptions!$P$28*(1+Assumptions!$P$38)^(CG$9-1)/12,0))</f>
        <v/>
      </c>
      <c r="CH46" s="228">
        <f>IF(CH$11=0,0,-ROUND(Assumptions!$F$13*Assumptions!$P$28*(1+Assumptions!$P$38)^(CH$9-1)/12,0))</f>
        <v/>
      </c>
      <c r="CI46" s="228">
        <f>IF(CI$11=0,0,-ROUND(Assumptions!$F$13*Assumptions!$P$28*(1+Assumptions!$P$38)^(CI$9-1)/12,0))</f>
        <v/>
      </c>
      <c r="CJ46" s="228">
        <f>IF(CJ$11=0,0,-ROUND(Assumptions!$F$13*Assumptions!$P$28*(1+Assumptions!$P$38)^(CJ$9-1)/12,0))</f>
        <v/>
      </c>
      <c r="CK46" s="228">
        <f>IF(CK$11=0,0,-ROUND(Assumptions!$F$13*Assumptions!$P$28*(1+Assumptions!$P$38)^(CK$9-1)/12,0))</f>
        <v/>
      </c>
      <c r="CL46" s="228">
        <f>IF(CL$11=0,0,-ROUND(Assumptions!$F$13*Assumptions!$P$28*(1+Assumptions!$P$38)^(CL$9-1)/12,0))</f>
        <v/>
      </c>
      <c r="CM46" s="228">
        <f>IF(CM$11=0,0,-ROUND(Assumptions!$F$13*Assumptions!$P$28*(1+Assumptions!$P$38)^(CM$9-1)/12,0))</f>
        <v/>
      </c>
      <c r="CN46" s="228">
        <f>IF(CN$11=0,0,-ROUND(Assumptions!$F$13*Assumptions!$P$28*(1+Assumptions!$P$38)^(CN$9-1)/12,0))</f>
        <v/>
      </c>
      <c r="CO46" s="228">
        <f>IF(CO$11=0,0,-ROUND(Assumptions!$F$13*Assumptions!$P$28*(1+Assumptions!$P$38)^(CO$9-1)/12,0))</f>
        <v/>
      </c>
      <c r="CP46" s="228">
        <f>IF(CP$11=0,0,-ROUND(Assumptions!$F$13*Assumptions!$P$28*(1+Assumptions!$P$38)^(CP$9-1)/12,0))</f>
        <v/>
      </c>
      <c r="CQ46" s="228">
        <f>IF(CQ$11=0,0,-ROUND(Assumptions!$F$13*Assumptions!$P$28*(1+Assumptions!$P$38)^(CQ$9-1)/12,0))</f>
        <v/>
      </c>
      <c r="CR46" s="228">
        <f>IF(CR$11=0,0,-ROUND(Assumptions!$F$13*Assumptions!$P$28*(1+Assumptions!$P$38)^(CR$9-1)/12,0))</f>
        <v/>
      </c>
      <c r="CS46" s="228">
        <f>IF(CS$11=0,0,-ROUND(Assumptions!$F$13*Assumptions!$P$28*(1+Assumptions!$P$38)^(CS$9-1)/12,0))</f>
        <v/>
      </c>
      <c r="CT46" s="228">
        <f>IF(CT$11=0,0,-ROUND(Assumptions!$F$13*Assumptions!$P$28*(1+Assumptions!$P$38)^(CT$9-1)/12,0))</f>
        <v/>
      </c>
      <c r="CU46" s="228">
        <f>IF(CU$11=0,0,-ROUND(Assumptions!$F$13*Assumptions!$P$28*(1+Assumptions!$P$38)^(CU$9-1)/12,0))</f>
        <v/>
      </c>
      <c r="CV46" s="228">
        <f>IF(CV$11=0,0,-ROUND(Assumptions!$F$13*Assumptions!$P$28*(1+Assumptions!$P$38)^(CV$9-1)/12,0))</f>
        <v/>
      </c>
      <c r="CW46" s="228">
        <f>IF(CW$11=0,0,-ROUND(Assumptions!$F$13*Assumptions!$P$28*(1+Assumptions!$P$38)^(CW$9-1)/12,0))</f>
        <v/>
      </c>
      <c r="CX46" s="228">
        <f>IF(CX$11=0,0,-ROUND(Assumptions!$F$13*Assumptions!$P$28*(1+Assumptions!$P$38)^(CX$9-1)/12,0))</f>
        <v/>
      </c>
      <c r="CY46" s="228">
        <f>IF(CY$11=0,0,-ROUND(Assumptions!$F$13*Assumptions!$P$28*(1+Assumptions!$P$38)^(CY$9-1)/12,0))</f>
        <v/>
      </c>
      <c r="CZ46" s="228">
        <f>IF(CZ$11=0,0,-ROUND(Assumptions!$F$13*Assumptions!$P$28*(1+Assumptions!$P$38)^(CZ$9-1)/12,0))</f>
        <v/>
      </c>
      <c r="DA46" s="228">
        <f>IF(DA$11=0,0,-ROUND(Assumptions!$F$13*Assumptions!$P$28*(1+Assumptions!$P$38)^(DA$9-1)/12,0))</f>
        <v/>
      </c>
      <c r="DB46" s="228">
        <f>IF(DB$11=0,0,-ROUND(Assumptions!$F$13*Assumptions!$P$28*(1+Assumptions!$P$38)^(DB$9-1)/12,0))</f>
        <v/>
      </c>
      <c r="DC46" s="228">
        <f>IF(DC$11=0,0,-ROUND(Assumptions!$F$13*Assumptions!$P$28*(1+Assumptions!$P$38)^(DC$9-1)/12,0))</f>
        <v/>
      </c>
      <c r="DD46" s="228">
        <f>IF(DD$11=0,0,-ROUND(Assumptions!$F$13*Assumptions!$P$28*(1+Assumptions!$P$38)^(DD$9-1)/12,0))</f>
        <v/>
      </c>
      <c r="DE46" s="228">
        <f>IF(DE$11=0,0,-ROUND(Assumptions!$F$13*Assumptions!$P$28*(1+Assumptions!$P$38)^(DE$9-1)/12,0))</f>
        <v/>
      </c>
      <c r="DF46" s="228">
        <f>IF(DF$11=0,0,-ROUND(Assumptions!$F$13*Assumptions!$P$28*(1+Assumptions!$P$38)^(DF$9-1)/12,0))</f>
        <v/>
      </c>
      <c r="DG46" s="228">
        <f>IF(DG$11=0,0,-ROUND(Assumptions!$F$13*Assumptions!$P$28*(1+Assumptions!$P$38)^(DG$9-1)/12,0))</f>
        <v/>
      </c>
      <c r="DH46" s="228">
        <f>IF(DH$11=0,0,-ROUND(Assumptions!$F$13*Assumptions!$P$28*(1+Assumptions!$P$38)^(DH$9-1)/12,0))</f>
        <v/>
      </c>
      <c r="DI46" s="228">
        <f>IF(DI$11=0,0,-ROUND(Assumptions!$F$13*Assumptions!$P$28*(1+Assumptions!$P$38)^(DI$9-1)/12,0))</f>
        <v/>
      </c>
      <c r="DJ46" s="228">
        <f>IF(DJ$11=0,0,-ROUND(Assumptions!$F$13*Assumptions!$P$28*(1+Assumptions!$P$38)^(DJ$9-1)/12,0))</f>
        <v/>
      </c>
      <c r="DK46" s="228">
        <f>IF(DK$11=0,0,-ROUND(Assumptions!$F$13*Assumptions!$P$28*(1+Assumptions!$P$38)^(DK$9-1)/12,0))</f>
        <v/>
      </c>
      <c r="DL46" s="228">
        <f>IF(DL$11=0,0,-ROUND(Assumptions!$F$13*Assumptions!$P$28*(1+Assumptions!$P$38)^(DL$9-1)/12,0))</f>
        <v/>
      </c>
      <c r="DM46" s="228">
        <f>IF(DM$11=0,0,-ROUND(Assumptions!$F$13*Assumptions!$P$28*(1+Assumptions!$P$38)^(DM$9-1)/12,0))</f>
        <v/>
      </c>
      <c r="DN46" s="228">
        <f>IF(DN$11=0,0,-ROUND(Assumptions!$F$13*Assumptions!$P$28*(1+Assumptions!$P$38)^(DN$9-1)/12,0))</f>
        <v/>
      </c>
      <c r="DO46" s="228">
        <f>IF(DO$11=0,0,-ROUND(Assumptions!$F$13*Assumptions!$P$28*(1+Assumptions!$P$38)^(DO$9-1)/12,0))</f>
        <v/>
      </c>
      <c r="DP46" s="228">
        <f>IF(DP$11=0,0,-ROUND(Assumptions!$F$13*Assumptions!$P$28*(1+Assumptions!$P$38)^(DP$9-1)/12,0))</f>
        <v/>
      </c>
      <c r="DQ46" s="228">
        <f>IF(DQ$11=0,0,-ROUND(Assumptions!$F$13*Assumptions!$P$28*(1+Assumptions!$P$38)^(DQ$9-1)/12,0))</f>
        <v/>
      </c>
      <c r="DR46" s="228">
        <f>IF(DR$11=0,0,-ROUND(Assumptions!$F$13*Assumptions!$P$28*(1+Assumptions!$P$38)^(DR$9-1)/12,0))</f>
        <v/>
      </c>
      <c r="DS46" s="228">
        <f>IF(DS$11=0,0,-ROUND(Assumptions!$F$13*Assumptions!$P$28*(1+Assumptions!$P$38)^(DS$9-1)/12,0))</f>
        <v/>
      </c>
      <c r="DT46" s="228">
        <f>IF(DT$11=0,0,-ROUND(Assumptions!$F$13*Assumptions!$P$28*(1+Assumptions!$P$38)^(DT$9-1)/12,0))</f>
        <v/>
      </c>
    </row>
    <row r="47" ht="15" customHeight="1" s="148">
      <c r="A47" s="112" t="inlineStr">
        <is>
          <t>Other Expense 2 (Annual)</t>
        </is>
      </c>
      <c r="C47" s="228">
        <f>SUM(D47:DT47)</f>
        <v/>
      </c>
      <c r="D47" s="228">
        <f>IF(D$11=0,0,-ROUND(Assumptions!$F$13*Assumptions!$P$29*(1+Assumptions!$P$38)^(D$9-1)/12,0))</f>
        <v/>
      </c>
      <c r="E47" s="228">
        <f>IF(E$11=0,0,-ROUND(Assumptions!$F$13*Assumptions!$P$29*(1+Assumptions!$P$38)^(E$9-1)/12,0))</f>
        <v/>
      </c>
      <c r="F47" s="228">
        <f>IF(F$11=0,0,-ROUND(Assumptions!$F$13*Assumptions!$P$29*(1+Assumptions!$P$38)^(F$9-1)/12,0))</f>
        <v/>
      </c>
      <c r="G47" s="228">
        <f>IF(G$11=0,0,-ROUND(Assumptions!$F$13*Assumptions!$P$29*(1+Assumptions!$P$38)^(G$9-1)/12,0))</f>
        <v/>
      </c>
      <c r="H47" s="228">
        <f>IF(H$11=0,0,-ROUND(Assumptions!$F$13*Assumptions!$P$29*(1+Assumptions!$P$38)^(H$9-1)/12,0))</f>
        <v/>
      </c>
      <c r="I47" s="228">
        <f>IF(I$11=0,0,-ROUND(Assumptions!$F$13*Assumptions!$P$29*(1+Assumptions!$P$38)^(I$9-1)/12,0))</f>
        <v/>
      </c>
      <c r="J47" s="228">
        <f>IF(J$11=0,0,-ROUND(Assumptions!$F$13*Assumptions!$P$29*(1+Assumptions!$P$38)^(J$9-1)/12,0))</f>
        <v/>
      </c>
      <c r="K47" s="228">
        <f>IF(K$11=0,0,-ROUND(Assumptions!$F$13*Assumptions!$P$29*(1+Assumptions!$P$38)^(K$9-1)/12,0))</f>
        <v/>
      </c>
      <c r="L47" s="228">
        <f>IF(L$11=0,0,-ROUND(Assumptions!$F$13*Assumptions!$P$29*(1+Assumptions!$P$38)^(L$9-1)/12,0))</f>
        <v/>
      </c>
      <c r="M47" s="228">
        <f>IF(M$11=0,0,-ROUND(Assumptions!$F$13*Assumptions!$P$29*(1+Assumptions!$P$38)^(M$9-1)/12,0))</f>
        <v/>
      </c>
      <c r="N47" s="228">
        <f>IF(N$11=0,0,-ROUND(Assumptions!$F$13*Assumptions!$P$29*(1+Assumptions!$P$38)^(N$9-1)/12,0))</f>
        <v/>
      </c>
      <c r="O47" s="228">
        <f>IF(O$11=0,0,-ROUND(Assumptions!$F$13*Assumptions!$P$29*(1+Assumptions!$P$38)^(O$9-1)/12,0))</f>
        <v/>
      </c>
      <c r="P47" s="228">
        <f>IF(P$11=0,0,-ROUND(Assumptions!$F$13*Assumptions!$P$29*(1+Assumptions!$P$38)^(P$9-1)/12,0))</f>
        <v/>
      </c>
      <c r="Q47" s="228">
        <f>IF(Q$11=0,0,-ROUND(Assumptions!$F$13*Assumptions!$P$29*(1+Assumptions!$P$38)^(Q$9-1)/12,0))</f>
        <v/>
      </c>
      <c r="R47" s="228">
        <f>IF(R$11=0,0,-ROUND(Assumptions!$F$13*Assumptions!$P$29*(1+Assumptions!$P$38)^(R$9-1)/12,0))</f>
        <v/>
      </c>
      <c r="S47" s="228">
        <f>IF(S$11=0,0,-ROUND(Assumptions!$F$13*Assumptions!$P$29*(1+Assumptions!$P$38)^(S$9-1)/12,0))</f>
        <v/>
      </c>
      <c r="T47" s="228">
        <f>IF(T$11=0,0,-ROUND(Assumptions!$F$13*Assumptions!$P$29*(1+Assumptions!$P$38)^(T$9-1)/12,0))</f>
        <v/>
      </c>
      <c r="U47" s="228">
        <f>IF(U$11=0,0,-ROUND(Assumptions!$F$13*Assumptions!$P$29*(1+Assumptions!$P$38)^(U$9-1)/12,0))</f>
        <v/>
      </c>
      <c r="V47" s="228">
        <f>IF(V$11=0,0,-ROUND(Assumptions!$F$13*Assumptions!$P$29*(1+Assumptions!$P$38)^(V$9-1)/12,0))</f>
        <v/>
      </c>
      <c r="W47" s="228">
        <f>IF(W$11=0,0,-ROUND(Assumptions!$F$13*Assumptions!$P$29*(1+Assumptions!$P$38)^(W$9-1)/12,0))</f>
        <v/>
      </c>
      <c r="X47" s="228">
        <f>IF(X$11=0,0,-ROUND(Assumptions!$F$13*Assumptions!$P$29*(1+Assumptions!$P$38)^(X$9-1)/12,0))</f>
        <v/>
      </c>
      <c r="Y47" s="228">
        <f>IF(Y$11=0,0,-ROUND(Assumptions!$F$13*Assumptions!$P$29*(1+Assumptions!$P$38)^(Y$9-1)/12,0))</f>
        <v/>
      </c>
      <c r="Z47" s="228">
        <f>IF(Z$11=0,0,-ROUND(Assumptions!$F$13*Assumptions!$P$29*(1+Assumptions!$P$38)^(Z$9-1)/12,0))</f>
        <v/>
      </c>
      <c r="AA47" s="228">
        <f>IF(AA$11=0,0,-ROUND(Assumptions!$F$13*Assumptions!$P$29*(1+Assumptions!$P$38)^(AA$9-1)/12,0))</f>
        <v/>
      </c>
      <c r="AB47" s="228">
        <f>IF(AB$11=0,0,-ROUND(Assumptions!$F$13*Assumptions!$P$29*(1+Assumptions!$P$38)^(AB$9-1)/12,0))</f>
        <v/>
      </c>
      <c r="AC47" s="228">
        <f>IF(AC$11=0,0,-ROUND(Assumptions!$F$13*Assumptions!$P$29*(1+Assumptions!$P$38)^(AC$9-1)/12,0))</f>
        <v/>
      </c>
      <c r="AD47" s="228">
        <f>IF(AD$11=0,0,-ROUND(Assumptions!$F$13*Assumptions!$P$29*(1+Assumptions!$P$38)^(AD$9-1)/12,0))</f>
        <v/>
      </c>
      <c r="AE47" s="228">
        <f>IF(AE$11=0,0,-ROUND(Assumptions!$F$13*Assumptions!$P$29*(1+Assumptions!$P$38)^(AE$9-1)/12,0))</f>
        <v/>
      </c>
      <c r="AF47" s="228">
        <f>IF(AF$11=0,0,-ROUND(Assumptions!$F$13*Assumptions!$P$29*(1+Assumptions!$P$38)^(AF$9-1)/12,0))</f>
        <v/>
      </c>
      <c r="AG47" s="228">
        <f>IF(AG$11=0,0,-ROUND(Assumptions!$F$13*Assumptions!$P$29*(1+Assumptions!$P$38)^(AG$9-1)/12,0))</f>
        <v/>
      </c>
      <c r="AH47" s="228">
        <f>IF(AH$11=0,0,-ROUND(Assumptions!$F$13*Assumptions!$P$29*(1+Assumptions!$P$38)^(AH$9-1)/12,0))</f>
        <v/>
      </c>
      <c r="AI47" s="228">
        <f>IF(AI$11=0,0,-ROUND(Assumptions!$F$13*Assumptions!$P$29*(1+Assumptions!$P$38)^(AI$9-1)/12,0))</f>
        <v/>
      </c>
      <c r="AJ47" s="228">
        <f>IF(AJ$11=0,0,-ROUND(Assumptions!$F$13*Assumptions!$P$29*(1+Assumptions!$P$38)^(AJ$9-1)/12,0))</f>
        <v/>
      </c>
      <c r="AK47" s="228">
        <f>IF(AK$11=0,0,-ROUND(Assumptions!$F$13*Assumptions!$P$29*(1+Assumptions!$P$38)^(AK$9-1)/12,0))</f>
        <v/>
      </c>
      <c r="AL47" s="228">
        <f>IF(AL$11=0,0,-ROUND(Assumptions!$F$13*Assumptions!$P$29*(1+Assumptions!$P$38)^(AL$9-1)/12,0))</f>
        <v/>
      </c>
      <c r="AM47" s="228">
        <f>IF(AM$11=0,0,-ROUND(Assumptions!$F$13*Assumptions!$P$29*(1+Assumptions!$P$38)^(AM$9-1)/12,0))</f>
        <v/>
      </c>
      <c r="AN47" s="228">
        <f>IF(AN$11=0,0,-ROUND(Assumptions!$F$13*Assumptions!$P$29*(1+Assumptions!$P$38)^(AN$9-1)/12,0))</f>
        <v/>
      </c>
      <c r="AO47" s="228">
        <f>IF(AO$11=0,0,-ROUND(Assumptions!$F$13*Assumptions!$P$29*(1+Assumptions!$P$38)^(AO$9-1)/12,0))</f>
        <v/>
      </c>
      <c r="AP47" s="228">
        <f>IF(AP$11=0,0,-ROUND(Assumptions!$F$13*Assumptions!$P$29*(1+Assumptions!$P$38)^(AP$9-1)/12,0))</f>
        <v/>
      </c>
      <c r="AQ47" s="228">
        <f>IF(AQ$11=0,0,-ROUND(Assumptions!$F$13*Assumptions!$P$29*(1+Assumptions!$P$38)^(AQ$9-1)/12,0))</f>
        <v/>
      </c>
      <c r="AR47" s="228">
        <f>IF(AR$11=0,0,-ROUND(Assumptions!$F$13*Assumptions!$P$29*(1+Assumptions!$P$38)^(AR$9-1)/12,0))</f>
        <v/>
      </c>
      <c r="AS47" s="228">
        <f>IF(AS$11=0,0,-ROUND(Assumptions!$F$13*Assumptions!$P$29*(1+Assumptions!$P$38)^(AS$9-1)/12,0))</f>
        <v/>
      </c>
      <c r="AT47" s="228">
        <f>IF(AT$11=0,0,-ROUND(Assumptions!$F$13*Assumptions!$P$29*(1+Assumptions!$P$38)^(AT$9-1)/12,0))</f>
        <v/>
      </c>
      <c r="AU47" s="228">
        <f>IF(AU$11=0,0,-ROUND(Assumptions!$F$13*Assumptions!$P$29*(1+Assumptions!$P$38)^(AU$9-1)/12,0))</f>
        <v/>
      </c>
      <c r="AV47" s="228">
        <f>IF(AV$11=0,0,-ROUND(Assumptions!$F$13*Assumptions!$P$29*(1+Assumptions!$P$38)^(AV$9-1)/12,0))</f>
        <v/>
      </c>
      <c r="AW47" s="228">
        <f>IF(AW$11=0,0,-ROUND(Assumptions!$F$13*Assumptions!$P$29*(1+Assumptions!$P$38)^(AW$9-1)/12,0))</f>
        <v/>
      </c>
      <c r="AX47" s="228">
        <f>IF(AX$11=0,0,-ROUND(Assumptions!$F$13*Assumptions!$P$29*(1+Assumptions!$P$38)^(AX$9-1)/12,0))</f>
        <v/>
      </c>
      <c r="AY47" s="228">
        <f>IF(AY$11=0,0,-ROUND(Assumptions!$F$13*Assumptions!$P$29*(1+Assumptions!$P$38)^(AY$9-1)/12,0))</f>
        <v/>
      </c>
      <c r="AZ47" s="228">
        <f>IF(AZ$11=0,0,-ROUND(Assumptions!$F$13*Assumptions!$P$29*(1+Assumptions!$P$38)^(AZ$9-1)/12,0))</f>
        <v/>
      </c>
      <c r="BA47" s="228">
        <f>IF(BA$11=0,0,-ROUND(Assumptions!$F$13*Assumptions!$P$29*(1+Assumptions!$P$38)^(BA$9-1)/12,0))</f>
        <v/>
      </c>
      <c r="BB47" s="228">
        <f>IF(BB$11=0,0,-ROUND(Assumptions!$F$13*Assumptions!$P$29*(1+Assumptions!$P$38)^(BB$9-1)/12,0))</f>
        <v/>
      </c>
      <c r="BC47" s="228">
        <f>IF(BC$11=0,0,-ROUND(Assumptions!$F$13*Assumptions!$P$29*(1+Assumptions!$P$38)^(BC$9-1)/12,0))</f>
        <v/>
      </c>
      <c r="BD47" s="228">
        <f>IF(BD$11=0,0,-ROUND(Assumptions!$F$13*Assumptions!$P$29*(1+Assumptions!$P$38)^(BD$9-1)/12,0))</f>
        <v/>
      </c>
      <c r="BE47" s="228">
        <f>IF(BE$11=0,0,-ROUND(Assumptions!$F$13*Assumptions!$P$29*(1+Assumptions!$P$38)^(BE$9-1)/12,0))</f>
        <v/>
      </c>
      <c r="BF47" s="228">
        <f>IF(BF$11=0,0,-ROUND(Assumptions!$F$13*Assumptions!$P$29*(1+Assumptions!$P$38)^(BF$9-1)/12,0))</f>
        <v/>
      </c>
      <c r="BG47" s="228">
        <f>IF(BG$11=0,0,-ROUND(Assumptions!$F$13*Assumptions!$P$29*(1+Assumptions!$P$38)^(BG$9-1)/12,0))</f>
        <v/>
      </c>
      <c r="BH47" s="228">
        <f>IF(BH$11=0,0,-ROUND(Assumptions!$F$13*Assumptions!$P$29*(1+Assumptions!$P$38)^(BH$9-1)/12,0))</f>
        <v/>
      </c>
      <c r="BI47" s="228">
        <f>IF(BI$11=0,0,-ROUND(Assumptions!$F$13*Assumptions!$P$29*(1+Assumptions!$P$38)^(BI$9-1)/12,0))</f>
        <v/>
      </c>
      <c r="BJ47" s="228">
        <f>IF(BJ$11=0,0,-ROUND(Assumptions!$F$13*Assumptions!$P$29*(1+Assumptions!$P$38)^(BJ$9-1)/12,0))</f>
        <v/>
      </c>
      <c r="BK47" s="228">
        <f>IF(BK$11=0,0,-ROUND(Assumptions!$F$13*Assumptions!$P$29*(1+Assumptions!$P$38)^(BK$9-1)/12,0))</f>
        <v/>
      </c>
      <c r="BL47" s="228">
        <f>IF(BL$11=0,0,-ROUND(Assumptions!$F$13*Assumptions!$P$29*(1+Assumptions!$P$38)^(BL$9-1)/12,0))</f>
        <v/>
      </c>
      <c r="BM47" s="228">
        <f>IF(BM$11=0,0,-ROUND(Assumptions!$F$13*Assumptions!$P$29*(1+Assumptions!$P$38)^(BM$9-1)/12,0))</f>
        <v/>
      </c>
      <c r="BN47" s="228">
        <f>IF(BN$11=0,0,-ROUND(Assumptions!$F$13*Assumptions!$P$29*(1+Assumptions!$P$38)^(BN$9-1)/12,0))</f>
        <v/>
      </c>
      <c r="BO47" s="228">
        <f>IF(BO$11=0,0,-ROUND(Assumptions!$F$13*Assumptions!$P$29*(1+Assumptions!$P$38)^(BO$9-1)/12,0))</f>
        <v/>
      </c>
      <c r="BP47" s="228">
        <f>IF(BP$11=0,0,-ROUND(Assumptions!$F$13*Assumptions!$P$29*(1+Assumptions!$P$38)^(BP$9-1)/12,0))</f>
        <v/>
      </c>
      <c r="BQ47" s="228">
        <f>IF(BQ$11=0,0,-ROUND(Assumptions!$F$13*Assumptions!$P$29*(1+Assumptions!$P$38)^(BQ$9-1)/12,0))</f>
        <v/>
      </c>
      <c r="BR47" s="228">
        <f>IF(BR$11=0,0,-ROUND(Assumptions!$F$13*Assumptions!$P$29*(1+Assumptions!$P$38)^(BR$9-1)/12,0))</f>
        <v/>
      </c>
      <c r="BS47" s="228">
        <f>IF(BS$11=0,0,-ROUND(Assumptions!$F$13*Assumptions!$P$29*(1+Assumptions!$P$38)^(BS$9-1)/12,0))</f>
        <v/>
      </c>
      <c r="BT47" s="228">
        <f>IF(BT$11=0,0,-ROUND(Assumptions!$F$13*Assumptions!$P$29*(1+Assumptions!$P$38)^(BT$9-1)/12,0))</f>
        <v/>
      </c>
      <c r="BU47" s="228">
        <f>IF(BU$11=0,0,-ROUND(Assumptions!$F$13*Assumptions!$P$29*(1+Assumptions!$P$38)^(BU$9-1)/12,0))</f>
        <v/>
      </c>
      <c r="BV47" s="228">
        <f>IF(BV$11=0,0,-ROUND(Assumptions!$F$13*Assumptions!$P$29*(1+Assumptions!$P$38)^(BV$9-1)/12,0))</f>
        <v/>
      </c>
      <c r="BW47" s="228">
        <f>IF(BW$11=0,0,-ROUND(Assumptions!$F$13*Assumptions!$P$29*(1+Assumptions!$P$38)^(BW$9-1)/12,0))</f>
        <v/>
      </c>
      <c r="BX47" s="228">
        <f>IF(BX$11=0,0,-ROUND(Assumptions!$F$13*Assumptions!$P$29*(1+Assumptions!$P$38)^(BX$9-1)/12,0))</f>
        <v/>
      </c>
      <c r="BY47" s="228">
        <f>IF(BY$11=0,0,-ROUND(Assumptions!$F$13*Assumptions!$P$29*(1+Assumptions!$P$38)^(BY$9-1)/12,0))</f>
        <v/>
      </c>
      <c r="BZ47" s="228">
        <f>IF(BZ$11=0,0,-ROUND(Assumptions!$F$13*Assumptions!$P$29*(1+Assumptions!$P$38)^(BZ$9-1)/12,0))</f>
        <v/>
      </c>
      <c r="CA47" s="228">
        <f>IF(CA$11=0,0,-ROUND(Assumptions!$F$13*Assumptions!$P$29*(1+Assumptions!$P$38)^(CA$9-1)/12,0))</f>
        <v/>
      </c>
      <c r="CB47" s="228">
        <f>IF(CB$11=0,0,-ROUND(Assumptions!$F$13*Assumptions!$P$29*(1+Assumptions!$P$38)^(CB$9-1)/12,0))</f>
        <v/>
      </c>
      <c r="CC47" s="228">
        <f>IF(CC$11=0,0,-ROUND(Assumptions!$F$13*Assumptions!$P$29*(1+Assumptions!$P$38)^(CC$9-1)/12,0))</f>
        <v/>
      </c>
      <c r="CD47" s="228">
        <f>IF(CD$11=0,0,-ROUND(Assumptions!$F$13*Assumptions!$P$29*(1+Assumptions!$P$38)^(CD$9-1)/12,0))</f>
        <v/>
      </c>
      <c r="CE47" s="228">
        <f>IF(CE$11=0,0,-ROUND(Assumptions!$F$13*Assumptions!$P$29*(1+Assumptions!$P$38)^(CE$9-1)/12,0))</f>
        <v/>
      </c>
      <c r="CF47" s="228">
        <f>IF(CF$11=0,0,-ROUND(Assumptions!$F$13*Assumptions!$P$29*(1+Assumptions!$P$38)^(CF$9-1)/12,0))</f>
        <v/>
      </c>
      <c r="CG47" s="228">
        <f>IF(CG$11=0,0,-ROUND(Assumptions!$F$13*Assumptions!$P$29*(1+Assumptions!$P$38)^(CG$9-1)/12,0))</f>
        <v/>
      </c>
      <c r="CH47" s="228">
        <f>IF(CH$11=0,0,-ROUND(Assumptions!$F$13*Assumptions!$P$29*(1+Assumptions!$P$38)^(CH$9-1)/12,0))</f>
        <v/>
      </c>
      <c r="CI47" s="228">
        <f>IF(CI$11=0,0,-ROUND(Assumptions!$F$13*Assumptions!$P$29*(1+Assumptions!$P$38)^(CI$9-1)/12,0))</f>
        <v/>
      </c>
      <c r="CJ47" s="228">
        <f>IF(CJ$11=0,0,-ROUND(Assumptions!$F$13*Assumptions!$P$29*(1+Assumptions!$P$38)^(CJ$9-1)/12,0))</f>
        <v/>
      </c>
      <c r="CK47" s="228">
        <f>IF(CK$11=0,0,-ROUND(Assumptions!$F$13*Assumptions!$P$29*(1+Assumptions!$P$38)^(CK$9-1)/12,0))</f>
        <v/>
      </c>
      <c r="CL47" s="228">
        <f>IF(CL$11=0,0,-ROUND(Assumptions!$F$13*Assumptions!$P$29*(1+Assumptions!$P$38)^(CL$9-1)/12,0))</f>
        <v/>
      </c>
      <c r="CM47" s="228">
        <f>IF(CM$11=0,0,-ROUND(Assumptions!$F$13*Assumptions!$P$29*(1+Assumptions!$P$38)^(CM$9-1)/12,0))</f>
        <v/>
      </c>
      <c r="CN47" s="228">
        <f>IF(CN$11=0,0,-ROUND(Assumptions!$F$13*Assumptions!$P$29*(1+Assumptions!$P$38)^(CN$9-1)/12,0))</f>
        <v/>
      </c>
      <c r="CO47" s="228">
        <f>IF(CO$11=0,0,-ROUND(Assumptions!$F$13*Assumptions!$P$29*(1+Assumptions!$P$38)^(CO$9-1)/12,0))</f>
        <v/>
      </c>
      <c r="CP47" s="228">
        <f>IF(CP$11=0,0,-ROUND(Assumptions!$F$13*Assumptions!$P$29*(1+Assumptions!$P$38)^(CP$9-1)/12,0))</f>
        <v/>
      </c>
      <c r="CQ47" s="228">
        <f>IF(CQ$11=0,0,-ROUND(Assumptions!$F$13*Assumptions!$P$29*(1+Assumptions!$P$38)^(CQ$9-1)/12,0))</f>
        <v/>
      </c>
      <c r="CR47" s="228">
        <f>IF(CR$11=0,0,-ROUND(Assumptions!$F$13*Assumptions!$P$29*(1+Assumptions!$P$38)^(CR$9-1)/12,0))</f>
        <v/>
      </c>
      <c r="CS47" s="228">
        <f>IF(CS$11=0,0,-ROUND(Assumptions!$F$13*Assumptions!$P$29*(1+Assumptions!$P$38)^(CS$9-1)/12,0))</f>
        <v/>
      </c>
      <c r="CT47" s="228">
        <f>IF(CT$11=0,0,-ROUND(Assumptions!$F$13*Assumptions!$P$29*(1+Assumptions!$P$38)^(CT$9-1)/12,0))</f>
        <v/>
      </c>
      <c r="CU47" s="228">
        <f>IF(CU$11=0,0,-ROUND(Assumptions!$F$13*Assumptions!$P$29*(1+Assumptions!$P$38)^(CU$9-1)/12,0))</f>
        <v/>
      </c>
      <c r="CV47" s="228">
        <f>IF(CV$11=0,0,-ROUND(Assumptions!$F$13*Assumptions!$P$29*(1+Assumptions!$P$38)^(CV$9-1)/12,0))</f>
        <v/>
      </c>
      <c r="CW47" s="228">
        <f>IF(CW$11=0,0,-ROUND(Assumptions!$F$13*Assumptions!$P$29*(1+Assumptions!$P$38)^(CW$9-1)/12,0))</f>
        <v/>
      </c>
      <c r="CX47" s="228">
        <f>IF(CX$11=0,0,-ROUND(Assumptions!$F$13*Assumptions!$P$29*(1+Assumptions!$P$38)^(CX$9-1)/12,0))</f>
        <v/>
      </c>
      <c r="CY47" s="228">
        <f>IF(CY$11=0,0,-ROUND(Assumptions!$F$13*Assumptions!$P$29*(1+Assumptions!$P$38)^(CY$9-1)/12,0))</f>
        <v/>
      </c>
      <c r="CZ47" s="228">
        <f>IF(CZ$11=0,0,-ROUND(Assumptions!$F$13*Assumptions!$P$29*(1+Assumptions!$P$38)^(CZ$9-1)/12,0))</f>
        <v/>
      </c>
      <c r="DA47" s="228">
        <f>IF(DA$11=0,0,-ROUND(Assumptions!$F$13*Assumptions!$P$29*(1+Assumptions!$P$38)^(DA$9-1)/12,0))</f>
        <v/>
      </c>
      <c r="DB47" s="228">
        <f>IF(DB$11=0,0,-ROUND(Assumptions!$F$13*Assumptions!$P$29*(1+Assumptions!$P$38)^(DB$9-1)/12,0))</f>
        <v/>
      </c>
      <c r="DC47" s="228">
        <f>IF(DC$11=0,0,-ROUND(Assumptions!$F$13*Assumptions!$P$29*(1+Assumptions!$P$38)^(DC$9-1)/12,0))</f>
        <v/>
      </c>
      <c r="DD47" s="228">
        <f>IF(DD$11=0,0,-ROUND(Assumptions!$F$13*Assumptions!$P$29*(1+Assumptions!$P$38)^(DD$9-1)/12,0))</f>
        <v/>
      </c>
      <c r="DE47" s="228">
        <f>IF(DE$11=0,0,-ROUND(Assumptions!$F$13*Assumptions!$P$29*(1+Assumptions!$P$38)^(DE$9-1)/12,0))</f>
        <v/>
      </c>
      <c r="DF47" s="228">
        <f>IF(DF$11=0,0,-ROUND(Assumptions!$F$13*Assumptions!$P$29*(1+Assumptions!$P$38)^(DF$9-1)/12,0))</f>
        <v/>
      </c>
      <c r="DG47" s="228">
        <f>IF(DG$11=0,0,-ROUND(Assumptions!$F$13*Assumptions!$P$29*(1+Assumptions!$P$38)^(DG$9-1)/12,0))</f>
        <v/>
      </c>
      <c r="DH47" s="228">
        <f>IF(DH$11=0,0,-ROUND(Assumptions!$F$13*Assumptions!$P$29*(1+Assumptions!$P$38)^(DH$9-1)/12,0))</f>
        <v/>
      </c>
      <c r="DI47" s="228">
        <f>IF(DI$11=0,0,-ROUND(Assumptions!$F$13*Assumptions!$P$29*(1+Assumptions!$P$38)^(DI$9-1)/12,0))</f>
        <v/>
      </c>
      <c r="DJ47" s="228">
        <f>IF(DJ$11=0,0,-ROUND(Assumptions!$F$13*Assumptions!$P$29*(1+Assumptions!$P$38)^(DJ$9-1)/12,0))</f>
        <v/>
      </c>
      <c r="DK47" s="228">
        <f>IF(DK$11=0,0,-ROUND(Assumptions!$F$13*Assumptions!$P$29*(1+Assumptions!$P$38)^(DK$9-1)/12,0))</f>
        <v/>
      </c>
      <c r="DL47" s="228">
        <f>IF(DL$11=0,0,-ROUND(Assumptions!$F$13*Assumptions!$P$29*(1+Assumptions!$P$38)^(DL$9-1)/12,0))</f>
        <v/>
      </c>
      <c r="DM47" s="228">
        <f>IF(DM$11=0,0,-ROUND(Assumptions!$F$13*Assumptions!$P$29*(1+Assumptions!$P$38)^(DM$9-1)/12,0))</f>
        <v/>
      </c>
      <c r="DN47" s="228">
        <f>IF(DN$11=0,0,-ROUND(Assumptions!$F$13*Assumptions!$P$29*(1+Assumptions!$P$38)^(DN$9-1)/12,0))</f>
        <v/>
      </c>
      <c r="DO47" s="228">
        <f>IF(DO$11=0,0,-ROUND(Assumptions!$F$13*Assumptions!$P$29*(1+Assumptions!$P$38)^(DO$9-1)/12,0))</f>
        <v/>
      </c>
      <c r="DP47" s="228">
        <f>IF(DP$11=0,0,-ROUND(Assumptions!$F$13*Assumptions!$P$29*(1+Assumptions!$P$38)^(DP$9-1)/12,0))</f>
        <v/>
      </c>
      <c r="DQ47" s="228">
        <f>IF(DQ$11=0,0,-ROUND(Assumptions!$F$13*Assumptions!$P$29*(1+Assumptions!$P$38)^(DQ$9-1)/12,0))</f>
        <v/>
      </c>
      <c r="DR47" s="228">
        <f>IF(DR$11=0,0,-ROUND(Assumptions!$F$13*Assumptions!$P$29*(1+Assumptions!$P$38)^(DR$9-1)/12,0))</f>
        <v/>
      </c>
      <c r="DS47" s="228">
        <f>IF(DS$11=0,0,-ROUND(Assumptions!$F$13*Assumptions!$P$29*(1+Assumptions!$P$38)^(DS$9-1)/12,0))</f>
        <v/>
      </c>
      <c r="DT47" s="228">
        <f>IF(DT$11=0,0,-ROUND(Assumptions!$F$13*Assumptions!$P$29*(1+Assumptions!$P$38)^(DT$9-1)/12,0))</f>
        <v/>
      </c>
    </row>
    <row r="48" ht="15" customHeight="1" s="148">
      <c r="A48" s="112" t="inlineStr">
        <is>
          <t>Other Expense 3 (Annual)</t>
        </is>
      </c>
      <c r="C48" s="228">
        <f>SUM(D48:DT48)</f>
        <v/>
      </c>
      <c r="D48" s="228">
        <f>IF(D$11=0,0,-ROUND(Assumptions!$F$13*Assumptions!$P$30*(1+Assumptions!$P$38)^(D$9-1)/12,0))</f>
        <v/>
      </c>
      <c r="E48" s="228">
        <f>IF(E$11=0,0,-ROUND(Assumptions!$F$13*Assumptions!$P$30*(1+Assumptions!$P$38)^(E$9-1)/12,0))</f>
        <v/>
      </c>
      <c r="F48" s="228">
        <f>IF(F$11=0,0,-ROUND(Assumptions!$F$13*Assumptions!$P$30*(1+Assumptions!$P$38)^(F$9-1)/12,0))</f>
        <v/>
      </c>
      <c r="G48" s="228">
        <f>IF(G$11=0,0,-ROUND(Assumptions!$F$13*Assumptions!$P$30*(1+Assumptions!$P$38)^(G$9-1)/12,0))</f>
        <v/>
      </c>
      <c r="H48" s="228">
        <f>IF(H$11=0,0,-ROUND(Assumptions!$F$13*Assumptions!$P$30*(1+Assumptions!$P$38)^(H$9-1)/12,0))</f>
        <v/>
      </c>
      <c r="I48" s="228">
        <f>IF(I$11=0,0,-ROUND(Assumptions!$F$13*Assumptions!$P$30*(1+Assumptions!$P$38)^(I$9-1)/12,0))</f>
        <v/>
      </c>
      <c r="J48" s="228">
        <f>IF(J$11=0,0,-ROUND(Assumptions!$F$13*Assumptions!$P$30*(1+Assumptions!$P$38)^(J$9-1)/12,0))</f>
        <v/>
      </c>
      <c r="K48" s="228">
        <f>IF(K$11=0,0,-ROUND(Assumptions!$F$13*Assumptions!$P$30*(1+Assumptions!$P$38)^(K$9-1)/12,0))</f>
        <v/>
      </c>
      <c r="L48" s="228">
        <f>IF(L$11=0,0,-ROUND(Assumptions!$F$13*Assumptions!$P$30*(1+Assumptions!$P$38)^(L$9-1)/12,0))</f>
        <v/>
      </c>
      <c r="M48" s="228">
        <f>IF(M$11=0,0,-ROUND(Assumptions!$F$13*Assumptions!$P$30*(1+Assumptions!$P$38)^(M$9-1)/12,0))</f>
        <v/>
      </c>
      <c r="N48" s="228">
        <f>IF(N$11=0,0,-ROUND(Assumptions!$F$13*Assumptions!$P$30*(1+Assumptions!$P$38)^(N$9-1)/12,0))</f>
        <v/>
      </c>
      <c r="O48" s="228">
        <f>IF(O$11=0,0,-ROUND(Assumptions!$F$13*Assumptions!$P$30*(1+Assumptions!$P$38)^(O$9-1)/12,0))</f>
        <v/>
      </c>
      <c r="P48" s="228">
        <f>IF(P$11=0,0,-ROUND(Assumptions!$F$13*Assumptions!$P$30*(1+Assumptions!$P$38)^(P$9-1)/12,0))</f>
        <v/>
      </c>
      <c r="Q48" s="228">
        <f>IF(Q$11=0,0,-ROUND(Assumptions!$F$13*Assumptions!$P$30*(1+Assumptions!$P$38)^(Q$9-1)/12,0))</f>
        <v/>
      </c>
      <c r="R48" s="228">
        <f>IF(R$11=0,0,-ROUND(Assumptions!$F$13*Assumptions!$P$30*(1+Assumptions!$P$38)^(R$9-1)/12,0))</f>
        <v/>
      </c>
      <c r="S48" s="228">
        <f>IF(S$11=0,0,-ROUND(Assumptions!$F$13*Assumptions!$P$30*(1+Assumptions!$P$38)^(S$9-1)/12,0))</f>
        <v/>
      </c>
      <c r="T48" s="228">
        <f>IF(T$11=0,0,-ROUND(Assumptions!$F$13*Assumptions!$P$30*(1+Assumptions!$P$38)^(T$9-1)/12,0))</f>
        <v/>
      </c>
      <c r="U48" s="228">
        <f>IF(U$11=0,0,-ROUND(Assumptions!$F$13*Assumptions!$P$30*(1+Assumptions!$P$38)^(U$9-1)/12,0))</f>
        <v/>
      </c>
      <c r="V48" s="228">
        <f>IF(V$11=0,0,-ROUND(Assumptions!$F$13*Assumptions!$P$30*(1+Assumptions!$P$38)^(V$9-1)/12,0))</f>
        <v/>
      </c>
      <c r="W48" s="228">
        <f>IF(W$11=0,0,-ROUND(Assumptions!$F$13*Assumptions!$P$30*(1+Assumptions!$P$38)^(W$9-1)/12,0))</f>
        <v/>
      </c>
      <c r="X48" s="228">
        <f>IF(X$11=0,0,-ROUND(Assumptions!$F$13*Assumptions!$P$30*(1+Assumptions!$P$38)^(X$9-1)/12,0))</f>
        <v/>
      </c>
      <c r="Y48" s="228">
        <f>IF(Y$11=0,0,-ROUND(Assumptions!$F$13*Assumptions!$P$30*(1+Assumptions!$P$38)^(Y$9-1)/12,0))</f>
        <v/>
      </c>
      <c r="Z48" s="228">
        <f>IF(Z$11=0,0,-ROUND(Assumptions!$F$13*Assumptions!$P$30*(1+Assumptions!$P$38)^(Z$9-1)/12,0))</f>
        <v/>
      </c>
      <c r="AA48" s="228">
        <f>IF(AA$11=0,0,-ROUND(Assumptions!$F$13*Assumptions!$P$30*(1+Assumptions!$P$38)^(AA$9-1)/12,0))</f>
        <v/>
      </c>
      <c r="AB48" s="228">
        <f>IF(AB$11=0,0,-ROUND(Assumptions!$F$13*Assumptions!$P$30*(1+Assumptions!$P$38)^(AB$9-1)/12,0))</f>
        <v/>
      </c>
      <c r="AC48" s="228">
        <f>IF(AC$11=0,0,-ROUND(Assumptions!$F$13*Assumptions!$P$30*(1+Assumptions!$P$38)^(AC$9-1)/12,0))</f>
        <v/>
      </c>
      <c r="AD48" s="228">
        <f>IF(AD$11=0,0,-ROUND(Assumptions!$F$13*Assumptions!$P$30*(1+Assumptions!$P$38)^(AD$9-1)/12,0))</f>
        <v/>
      </c>
      <c r="AE48" s="228">
        <f>IF(AE$11=0,0,-ROUND(Assumptions!$F$13*Assumptions!$P$30*(1+Assumptions!$P$38)^(AE$9-1)/12,0))</f>
        <v/>
      </c>
      <c r="AF48" s="228">
        <f>IF(AF$11=0,0,-ROUND(Assumptions!$F$13*Assumptions!$P$30*(1+Assumptions!$P$38)^(AF$9-1)/12,0))</f>
        <v/>
      </c>
      <c r="AG48" s="228">
        <f>IF(AG$11=0,0,-ROUND(Assumptions!$F$13*Assumptions!$P$30*(1+Assumptions!$P$38)^(AG$9-1)/12,0))</f>
        <v/>
      </c>
      <c r="AH48" s="228">
        <f>IF(AH$11=0,0,-ROUND(Assumptions!$F$13*Assumptions!$P$30*(1+Assumptions!$P$38)^(AH$9-1)/12,0))</f>
        <v/>
      </c>
      <c r="AI48" s="228">
        <f>IF(AI$11=0,0,-ROUND(Assumptions!$F$13*Assumptions!$P$30*(1+Assumptions!$P$38)^(AI$9-1)/12,0))</f>
        <v/>
      </c>
      <c r="AJ48" s="228">
        <f>IF(AJ$11=0,0,-ROUND(Assumptions!$F$13*Assumptions!$P$30*(1+Assumptions!$P$38)^(AJ$9-1)/12,0))</f>
        <v/>
      </c>
      <c r="AK48" s="228">
        <f>IF(AK$11=0,0,-ROUND(Assumptions!$F$13*Assumptions!$P$30*(1+Assumptions!$P$38)^(AK$9-1)/12,0))</f>
        <v/>
      </c>
      <c r="AL48" s="228">
        <f>IF(AL$11=0,0,-ROUND(Assumptions!$F$13*Assumptions!$P$30*(1+Assumptions!$P$38)^(AL$9-1)/12,0))</f>
        <v/>
      </c>
      <c r="AM48" s="228">
        <f>IF(AM$11=0,0,-ROUND(Assumptions!$F$13*Assumptions!$P$30*(1+Assumptions!$P$38)^(AM$9-1)/12,0))</f>
        <v/>
      </c>
      <c r="AN48" s="228">
        <f>IF(AN$11=0,0,-ROUND(Assumptions!$F$13*Assumptions!$P$30*(1+Assumptions!$P$38)^(AN$9-1)/12,0))</f>
        <v/>
      </c>
      <c r="AO48" s="228">
        <f>IF(AO$11=0,0,-ROUND(Assumptions!$F$13*Assumptions!$P$30*(1+Assumptions!$P$38)^(AO$9-1)/12,0))</f>
        <v/>
      </c>
      <c r="AP48" s="228">
        <f>IF(AP$11=0,0,-ROUND(Assumptions!$F$13*Assumptions!$P$30*(1+Assumptions!$P$38)^(AP$9-1)/12,0))</f>
        <v/>
      </c>
      <c r="AQ48" s="228">
        <f>IF(AQ$11=0,0,-ROUND(Assumptions!$F$13*Assumptions!$P$30*(1+Assumptions!$P$38)^(AQ$9-1)/12,0))</f>
        <v/>
      </c>
      <c r="AR48" s="228">
        <f>IF(AR$11=0,0,-ROUND(Assumptions!$F$13*Assumptions!$P$30*(1+Assumptions!$P$38)^(AR$9-1)/12,0))</f>
        <v/>
      </c>
      <c r="AS48" s="228">
        <f>IF(AS$11=0,0,-ROUND(Assumptions!$F$13*Assumptions!$P$30*(1+Assumptions!$P$38)^(AS$9-1)/12,0))</f>
        <v/>
      </c>
      <c r="AT48" s="228">
        <f>IF(AT$11=0,0,-ROUND(Assumptions!$F$13*Assumptions!$P$30*(1+Assumptions!$P$38)^(AT$9-1)/12,0))</f>
        <v/>
      </c>
      <c r="AU48" s="228">
        <f>IF(AU$11=0,0,-ROUND(Assumptions!$F$13*Assumptions!$P$30*(1+Assumptions!$P$38)^(AU$9-1)/12,0))</f>
        <v/>
      </c>
      <c r="AV48" s="228">
        <f>IF(AV$11=0,0,-ROUND(Assumptions!$F$13*Assumptions!$P$30*(1+Assumptions!$P$38)^(AV$9-1)/12,0))</f>
        <v/>
      </c>
      <c r="AW48" s="228">
        <f>IF(AW$11=0,0,-ROUND(Assumptions!$F$13*Assumptions!$P$30*(1+Assumptions!$P$38)^(AW$9-1)/12,0))</f>
        <v/>
      </c>
      <c r="AX48" s="228">
        <f>IF(AX$11=0,0,-ROUND(Assumptions!$F$13*Assumptions!$P$30*(1+Assumptions!$P$38)^(AX$9-1)/12,0))</f>
        <v/>
      </c>
      <c r="AY48" s="228">
        <f>IF(AY$11=0,0,-ROUND(Assumptions!$F$13*Assumptions!$P$30*(1+Assumptions!$P$38)^(AY$9-1)/12,0))</f>
        <v/>
      </c>
      <c r="AZ48" s="228">
        <f>IF(AZ$11=0,0,-ROUND(Assumptions!$F$13*Assumptions!$P$30*(1+Assumptions!$P$38)^(AZ$9-1)/12,0))</f>
        <v/>
      </c>
      <c r="BA48" s="228">
        <f>IF(BA$11=0,0,-ROUND(Assumptions!$F$13*Assumptions!$P$30*(1+Assumptions!$P$38)^(BA$9-1)/12,0))</f>
        <v/>
      </c>
      <c r="BB48" s="228">
        <f>IF(BB$11=0,0,-ROUND(Assumptions!$F$13*Assumptions!$P$30*(1+Assumptions!$P$38)^(BB$9-1)/12,0))</f>
        <v/>
      </c>
      <c r="BC48" s="228">
        <f>IF(BC$11=0,0,-ROUND(Assumptions!$F$13*Assumptions!$P$30*(1+Assumptions!$P$38)^(BC$9-1)/12,0))</f>
        <v/>
      </c>
      <c r="BD48" s="228">
        <f>IF(BD$11=0,0,-ROUND(Assumptions!$F$13*Assumptions!$P$30*(1+Assumptions!$P$38)^(BD$9-1)/12,0))</f>
        <v/>
      </c>
      <c r="BE48" s="228">
        <f>IF(BE$11=0,0,-ROUND(Assumptions!$F$13*Assumptions!$P$30*(1+Assumptions!$P$38)^(BE$9-1)/12,0))</f>
        <v/>
      </c>
      <c r="BF48" s="228">
        <f>IF(BF$11=0,0,-ROUND(Assumptions!$F$13*Assumptions!$P$30*(1+Assumptions!$P$38)^(BF$9-1)/12,0))</f>
        <v/>
      </c>
      <c r="BG48" s="228">
        <f>IF(BG$11=0,0,-ROUND(Assumptions!$F$13*Assumptions!$P$30*(1+Assumptions!$P$38)^(BG$9-1)/12,0))</f>
        <v/>
      </c>
      <c r="BH48" s="228">
        <f>IF(BH$11=0,0,-ROUND(Assumptions!$F$13*Assumptions!$P$30*(1+Assumptions!$P$38)^(BH$9-1)/12,0))</f>
        <v/>
      </c>
      <c r="BI48" s="228">
        <f>IF(BI$11=0,0,-ROUND(Assumptions!$F$13*Assumptions!$P$30*(1+Assumptions!$P$38)^(BI$9-1)/12,0))</f>
        <v/>
      </c>
      <c r="BJ48" s="228">
        <f>IF(BJ$11=0,0,-ROUND(Assumptions!$F$13*Assumptions!$P$30*(1+Assumptions!$P$38)^(BJ$9-1)/12,0))</f>
        <v/>
      </c>
      <c r="BK48" s="228">
        <f>IF(BK$11=0,0,-ROUND(Assumptions!$F$13*Assumptions!$P$30*(1+Assumptions!$P$38)^(BK$9-1)/12,0))</f>
        <v/>
      </c>
      <c r="BL48" s="228">
        <f>IF(BL$11=0,0,-ROUND(Assumptions!$F$13*Assumptions!$P$30*(1+Assumptions!$P$38)^(BL$9-1)/12,0))</f>
        <v/>
      </c>
      <c r="BM48" s="228">
        <f>IF(BM$11=0,0,-ROUND(Assumptions!$F$13*Assumptions!$P$30*(1+Assumptions!$P$38)^(BM$9-1)/12,0))</f>
        <v/>
      </c>
      <c r="BN48" s="228">
        <f>IF(BN$11=0,0,-ROUND(Assumptions!$F$13*Assumptions!$P$30*(1+Assumptions!$P$38)^(BN$9-1)/12,0))</f>
        <v/>
      </c>
      <c r="BO48" s="228">
        <f>IF(BO$11=0,0,-ROUND(Assumptions!$F$13*Assumptions!$P$30*(1+Assumptions!$P$38)^(BO$9-1)/12,0))</f>
        <v/>
      </c>
      <c r="BP48" s="228">
        <f>IF(BP$11=0,0,-ROUND(Assumptions!$F$13*Assumptions!$P$30*(1+Assumptions!$P$38)^(BP$9-1)/12,0))</f>
        <v/>
      </c>
      <c r="BQ48" s="228">
        <f>IF(BQ$11=0,0,-ROUND(Assumptions!$F$13*Assumptions!$P$30*(1+Assumptions!$P$38)^(BQ$9-1)/12,0))</f>
        <v/>
      </c>
      <c r="BR48" s="228">
        <f>IF(BR$11=0,0,-ROUND(Assumptions!$F$13*Assumptions!$P$30*(1+Assumptions!$P$38)^(BR$9-1)/12,0))</f>
        <v/>
      </c>
      <c r="BS48" s="228">
        <f>IF(BS$11=0,0,-ROUND(Assumptions!$F$13*Assumptions!$P$30*(1+Assumptions!$P$38)^(BS$9-1)/12,0))</f>
        <v/>
      </c>
      <c r="BT48" s="228">
        <f>IF(BT$11=0,0,-ROUND(Assumptions!$F$13*Assumptions!$P$30*(1+Assumptions!$P$38)^(BT$9-1)/12,0))</f>
        <v/>
      </c>
      <c r="BU48" s="228">
        <f>IF(BU$11=0,0,-ROUND(Assumptions!$F$13*Assumptions!$P$30*(1+Assumptions!$P$38)^(BU$9-1)/12,0))</f>
        <v/>
      </c>
      <c r="BV48" s="228">
        <f>IF(BV$11=0,0,-ROUND(Assumptions!$F$13*Assumptions!$P$30*(1+Assumptions!$P$38)^(BV$9-1)/12,0))</f>
        <v/>
      </c>
      <c r="BW48" s="228">
        <f>IF(BW$11=0,0,-ROUND(Assumptions!$F$13*Assumptions!$P$30*(1+Assumptions!$P$38)^(BW$9-1)/12,0))</f>
        <v/>
      </c>
      <c r="BX48" s="228">
        <f>IF(BX$11=0,0,-ROUND(Assumptions!$F$13*Assumptions!$P$30*(1+Assumptions!$P$38)^(BX$9-1)/12,0))</f>
        <v/>
      </c>
      <c r="BY48" s="228">
        <f>IF(BY$11=0,0,-ROUND(Assumptions!$F$13*Assumptions!$P$30*(1+Assumptions!$P$38)^(BY$9-1)/12,0))</f>
        <v/>
      </c>
      <c r="BZ48" s="228">
        <f>IF(BZ$11=0,0,-ROUND(Assumptions!$F$13*Assumptions!$P$30*(1+Assumptions!$P$38)^(BZ$9-1)/12,0))</f>
        <v/>
      </c>
      <c r="CA48" s="228">
        <f>IF(CA$11=0,0,-ROUND(Assumptions!$F$13*Assumptions!$P$30*(1+Assumptions!$P$38)^(CA$9-1)/12,0))</f>
        <v/>
      </c>
      <c r="CB48" s="228">
        <f>IF(CB$11=0,0,-ROUND(Assumptions!$F$13*Assumptions!$P$30*(1+Assumptions!$P$38)^(CB$9-1)/12,0))</f>
        <v/>
      </c>
      <c r="CC48" s="228">
        <f>IF(CC$11=0,0,-ROUND(Assumptions!$F$13*Assumptions!$P$30*(1+Assumptions!$P$38)^(CC$9-1)/12,0))</f>
        <v/>
      </c>
      <c r="CD48" s="228">
        <f>IF(CD$11=0,0,-ROUND(Assumptions!$F$13*Assumptions!$P$30*(1+Assumptions!$P$38)^(CD$9-1)/12,0))</f>
        <v/>
      </c>
      <c r="CE48" s="228">
        <f>IF(CE$11=0,0,-ROUND(Assumptions!$F$13*Assumptions!$P$30*(1+Assumptions!$P$38)^(CE$9-1)/12,0))</f>
        <v/>
      </c>
      <c r="CF48" s="228">
        <f>IF(CF$11=0,0,-ROUND(Assumptions!$F$13*Assumptions!$P$30*(1+Assumptions!$P$38)^(CF$9-1)/12,0))</f>
        <v/>
      </c>
      <c r="CG48" s="228">
        <f>IF(CG$11=0,0,-ROUND(Assumptions!$F$13*Assumptions!$P$30*(1+Assumptions!$P$38)^(CG$9-1)/12,0))</f>
        <v/>
      </c>
      <c r="CH48" s="228">
        <f>IF(CH$11=0,0,-ROUND(Assumptions!$F$13*Assumptions!$P$30*(1+Assumptions!$P$38)^(CH$9-1)/12,0))</f>
        <v/>
      </c>
      <c r="CI48" s="228">
        <f>IF(CI$11=0,0,-ROUND(Assumptions!$F$13*Assumptions!$P$30*(1+Assumptions!$P$38)^(CI$9-1)/12,0))</f>
        <v/>
      </c>
      <c r="CJ48" s="228">
        <f>IF(CJ$11=0,0,-ROUND(Assumptions!$F$13*Assumptions!$P$30*(1+Assumptions!$P$38)^(CJ$9-1)/12,0))</f>
        <v/>
      </c>
      <c r="CK48" s="228">
        <f>IF(CK$11=0,0,-ROUND(Assumptions!$F$13*Assumptions!$P$30*(1+Assumptions!$P$38)^(CK$9-1)/12,0))</f>
        <v/>
      </c>
      <c r="CL48" s="228">
        <f>IF(CL$11=0,0,-ROUND(Assumptions!$F$13*Assumptions!$P$30*(1+Assumptions!$P$38)^(CL$9-1)/12,0))</f>
        <v/>
      </c>
      <c r="CM48" s="228">
        <f>IF(CM$11=0,0,-ROUND(Assumptions!$F$13*Assumptions!$P$30*(1+Assumptions!$P$38)^(CM$9-1)/12,0))</f>
        <v/>
      </c>
      <c r="CN48" s="228">
        <f>IF(CN$11=0,0,-ROUND(Assumptions!$F$13*Assumptions!$P$30*(1+Assumptions!$P$38)^(CN$9-1)/12,0))</f>
        <v/>
      </c>
      <c r="CO48" s="228">
        <f>IF(CO$11=0,0,-ROUND(Assumptions!$F$13*Assumptions!$P$30*(1+Assumptions!$P$38)^(CO$9-1)/12,0))</f>
        <v/>
      </c>
      <c r="CP48" s="228">
        <f>IF(CP$11=0,0,-ROUND(Assumptions!$F$13*Assumptions!$P$30*(1+Assumptions!$P$38)^(CP$9-1)/12,0))</f>
        <v/>
      </c>
      <c r="CQ48" s="228">
        <f>IF(CQ$11=0,0,-ROUND(Assumptions!$F$13*Assumptions!$P$30*(1+Assumptions!$P$38)^(CQ$9-1)/12,0))</f>
        <v/>
      </c>
      <c r="CR48" s="228">
        <f>IF(CR$11=0,0,-ROUND(Assumptions!$F$13*Assumptions!$P$30*(1+Assumptions!$P$38)^(CR$9-1)/12,0))</f>
        <v/>
      </c>
      <c r="CS48" s="228">
        <f>IF(CS$11=0,0,-ROUND(Assumptions!$F$13*Assumptions!$P$30*(1+Assumptions!$P$38)^(CS$9-1)/12,0))</f>
        <v/>
      </c>
      <c r="CT48" s="228">
        <f>IF(CT$11=0,0,-ROUND(Assumptions!$F$13*Assumptions!$P$30*(1+Assumptions!$P$38)^(CT$9-1)/12,0))</f>
        <v/>
      </c>
      <c r="CU48" s="228">
        <f>IF(CU$11=0,0,-ROUND(Assumptions!$F$13*Assumptions!$P$30*(1+Assumptions!$P$38)^(CU$9-1)/12,0))</f>
        <v/>
      </c>
      <c r="CV48" s="228">
        <f>IF(CV$11=0,0,-ROUND(Assumptions!$F$13*Assumptions!$P$30*(1+Assumptions!$P$38)^(CV$9-1)/12,0))</f>
        <v/>
      </c>
      <c r="CW48" s="228">
        <f>IF(CW$11=0,0,-ROUND(Assumptions!$F$13*Assumptions!$P$30*(1+Assumptions!$P$38)^(CW$9-1)/12,0))</f>
        <v/>
      </c>
      <c r="CX48" s="228">
        <f>IF(CX$11=0,0,-ROUND(Assumptions!$F$13*Assumptions!$P$30*(1+Assumptions!$P$38)^(CX$9-1)/12,0))</f>
        <v/>
      </c>
      <c r="CY48" s="228">
        <f>IF(CY$11=0,0,-ROUND(Assumptions!$F$13*Assumptions!$P$30*(1+Assumptions!$P$38)^(CY$9-1)/12,0))</f>
        <v/>
      </c>
      <c r="CZ48" s="228">
        <f>IF(CZ$11=0,0,-ROUND(Assumptions!$F$13*Assumptions!$P$30*(1+Assumptions!$P$38)^(CZ$9-1)/12,0))</f>
        <v/>
      </c>
      <c r="DA48" s="228">
        <f>IF(DA$11=0,0,-ROUND(Assumptions!$F$13*Assumptions!$P$30*(1+Assumptions!$P$38)^(DA$9-1)/12,0))</f>
        <v/>
      </c>
      <c r="DB48" s="228">
        <f>IF(DB$11=0,0,-ROUND(Assumptions!$F$13*Assumptions!$P$30*(1+Assumptions!$P$38)^(DB$9-1)/12,0))</f>
        <v/>
      </c>
      <c r="DC48" s="228">
        <f>IF(DC$11=0,0,-ROUND(Assumptions!$F$13*Assumptions!$P$30*(1+Assumptions!$P$38)^(DC$9-1)/12,0))</f>
        <v/>
      </c>
      <c r="DD48" s="228">
        <f>IF(DD$11=0,0,-ROUND(Assumptions!$F$13*Assumptions!$P$30*(1+Assumptions!$P$38)^(DD$9-1)/12,0))</f>
        <v/>
      </c>
      <c r="DE48" s="228">
        <f>IF(DE$11=0,0,-ROUND(Assumptions!$F$13*Assumptions!$P$30*(1+Assumptions!$P$38)^(DE$9-1)/12,0))</f>
        <v/>
      </c>
      <c r="DF48" s="228">
        <f>IF(DF$11=0,0,-ROUND(Assumptions!$F$13*Assumptions!$P$30*(1+Assumptions!$P$38)^(DF$9-1)/12,0))</f>
        <v/>
      </c>
      <c r="DG48" s="228">
        <f>IF(DG$11=0,0,-ROUND(Assumptions!$F$13*Assumptions!$P$30*(1+Assumptions!$P$38)^(DG$9-1)/12,0))</f>
        <v/>
      </c>
      <c r="DH48" s="228">
        <f>IF(DH$11=0,0,-ROUND(Assumptions!$F$13*Assumptions!$P$30*(1+Assumptions!$P$38)^(DH$9-1)/12,0))</f>
        <v/>
      </c>
      <c r="DI48" s="228">
        <f>IF(DI$11=0,0,-ROUND(Assumptions!$F$13*Assumptions!$P$30*(1+Assumptions!$P$38)^(DI$9-1)/12,0))</f>
        <v/>
      </c>
      <c r="DJ48" s="228">
        <f>IF(DJ$11=0,0,-ROUND(Assumptions!$F$13*Assumptions!$P$30*(1+Assumptions!$P$38)^(DJ$9-1)/12,0))</f>
        <v/>
      </c>
      <c r="DK48" s="228">
        <f>IF(DK$11=0,0,-ROUND(Assumptions!$F$13*Assumptions!$P$30*(1+Assumptions!$P$38)^(DK$9-1)/12,0))</f>
        <v/>
      </c>
      <c r="DL48" s="228">
        <f>IF(DL$11=0,0,-ROUND(Assumptions!$F$13*Assumptions!$P$30*(1+Assumptions!$P$38)^(DL$9-1)/12,0))</f>
        <v/>
      </c>
      <c r="DM48" s="228">
        <f>IF(DM$11=0,0,-ROUND(Assumptions!$F$13*Assumptions!$P$30*(1+Assumptions!$P$38)^(DM$9-1)/12,0))</f>
        <v/>
      </c>
      <c r="DN48" s="228">
        <f>IF(DN$11=0,0,-ROUND(Assumptions!$F$13*Assumptions!$P$30*(1+Assumptions!$P$38)^(DN$9-1)/12,0))</f>
        <v/>
      </c>
      <c r="DO48" s="228">
        <f>IF(DO$11=0,0,-ROUND(Assumptions!$F$13*Assumptions!$P$30*(1+Assumptions!$P$38)^(DO$9-1)/12,0))</f>
        <v/>
      </c>
      <c r="DP48" s="228">
        <f>IF(DP$11=0,0,-ROUND(Assumptions!$F$13*Assumptions!$P$30*(1+Assumptions!$P$38)^(DP$9-1)/12,0))</f>
        <v/>
      </c>
      <c r="DQ48" s="228">
        <f>IF(DQ$11=0,0,-ROUND(Assumptions!$F$13*Assumptions!$P$30*(1+Assumptions!$P$38)^(DQ$9-1)/12,0))</f>
        <v/>
      </c>
      <c r="DR48" s="228">
        <f>IF(DR$11=0,0,-ROUND(Assumptions!$F$13*Assumptions!$P$30*(1+Assumptions!$P$38)^(DR$9-1)/12,0))</f>
        <v/>
      </c>
      <c r="DS48" s="228">
        <f>IF(DS$11=0,0,-ROUND(Assumptions!$F$13*Assumptions!$P$30*(1+Assumptions!$P$38)^(DS$9-1)/12,0))</f>
        <v/>
      </c>
      <c r="DT48" s="228">
        <f>IF(DT$11=0,0,-ROUND(Assumptions!$F$13*Assumptions!$P$30*(1+Assumptions!$P$38)^(DT$9-1)/12,0))</f>
        <v/>
      </c>
    </row>
    <row r="49" ht="15" customHeight="1" s="148">
      <c r="A49" s="112" t="inlineStr">
        <is>
          <t>Other Expense 4 (Annual)</t>
        </is>
      </c>
      <c r="C49" s="228">
        <f>SUM(D49:DT49)</f>
        <v/>
      </c>
      <c r="D49" s="228">
        <f>IF(D$11=0,0,-ROUND(Assumptions!$F$13*Assumptions!$P$31*(1+Assumptions!$P$38)^(D$9-1)/12,0))</f>
        <v/>
      </c>
      <c r="E49" s="228">
        <f>IF(E$11=0,0,-ROUND(Assumptions!$F$13*Assumptions!$P$31*(1+Assumptions!$P$38)^(E$9-1)/12,0))</f>
        <v/>
      </c>
      <c r="F49" s="228">
        <f>IF(F$11=0,0,-ROUND(Assumptions!$F$13*Assumptions!$P$31*(1+Assumptions!$P$38)^(F$9-1)/12,0))</f>
        <v/>
      </c>
      <c r="G49" s="228">
        <f>IF(G$11=0,0,-ROUND(Assumptions!$F$13*Assumptions!$P$31*(1+Assumptions!$P$38)^(G$9-1)/12,0))</f>
        <v/>
      </c>
      <c r="H49" s="228">
        <f>IF(H$11=0,0,-ROUND(Assumptions!$F$13*Assumptions!$P$31*(1+Assumptions!$P$38)^(H$9-1)/12,0))</f>
        <v/>
      </c>
      <c r="I49" s="228">
        <f>IF(I$11=0,0,-ROUND(Assumptions!$F$13*Assumptions!$P$31*(1+Assumptions!$P$38)^(I$9-1)/12,0))</f>
        <v/>
      </c>
      <c r="J49" s="228">
        <f>IF(J$11=0,0,-ROUND(Assumptions!$F$13*Assumptions!$P$31*(1+Assumptions!$P$38)^(J$9-1)/12,0))</f>
        <v/>
      </c>
      <c r="K49" s="228">
        <f>IF(K$11=0,0,-ROUND(Assumptions!$F$13*Assumptions!$P$31*(1+Assumptions!$P$38)^(K$9-1)/12,0))</f>
        <v/>
      </c>
      <c r="L49" s="228">
        <f>IF(L$11=0,0,-ROUND(Assumptions!$F$13*Assumptions!$P$31*(1+Assumptions!$P$38)^(L$9-1)/12,0))</f>
        <v/>
      </c>
      <c r="M49" s="228">
        <f>IF(M$11=0,0,-ROUND(Assumptions!$F$13*Assumptions!$P$31*(1+Assumptions!$P$38)^(M$9-1)/12,0))</f>
        <v/>
      </c>
      <c r="N49" s="228">
        <f>IF(N$11=0,0,-ROUND(Assumptions!$F$13*Assumptions!$P$31*(1+Assumptions!$P$38)^(N$9-1)/12,0))</f>
        <v/>
      </c>
      <c r="O49" s="228">
        <f>IF(O$11=0,0,-ROUND(Assumptions!$F$13*Assumptions!$P$31*(1+Assumptions!$P$38)^(O$9-1)/12,0))</f>
        <v/>
      </c>
      <c r="P49" s="228">
        <f>IF(P$11=0,0,-ROUND(Assumptions!$F$13*Assumptions!$P$31*(1+Assumptions!$P$38)^(P$9-1)/12,0))</f>
        <v/>
      </c>
      <c r="Q49" s="228">
        <f>IF(Q$11=0,0,-ROUND(Assumptions!$F$13*Assumptions!$P$31*(1+Assumptions!$P$38)^(Q$9-1)/12,0))</f>
        <v/>
      </c>
      <c r="R49" s="228">
        <f>IF(R$11=0,0,-ROUND(Assumptions!$F$13*Assumptions!$P$31*(1+Assumptions!$P$38)^(R$9-1)/12,0))</f>
        <v/>
      </c>
      <c r="S49" s="228">
        <f>IF(S$11=0,0,-ROUND(Assumptions!$F$13*Assumptions!$P$31*(1+Assumptions!$P$38)^(S$9-1)/12,0))</f>
        <v/>
      </c>
      <c r="T49" s="228">
        <f>IF(T$11=0,0,-ROUND(Assumptions!$F$13*Assumptions!$P$31*(1+Assumptions!$P$38)^(T$9-1)/12,0))</f>
        <v/>
      </c>
      <c r="U49" s="228">
        <f>IF(U$11=0,0,-ROUND(Assumptions!$F$13*Assumptions!$P$31*(1+Assumptions!$P$38)^(U$9-1)/12,0))</f>
        <v/>
      </c>
      <c r="V49" s="228">
        <f>IF(V$11=0,0,-ROUND(Assumptions!$F$13*Assumptions!$P$31*(1+Assumptions!$P$38)^(V$9-1)/12,0))</f>
        <v/>
      </c>
      <c r="W49" s="228">
        <f>IF(W$11=0,0,-ROUND(Assumptions!$F$13*Assumptions!$P$31*(1+Assumptions!$P$38)^(W$9-1)/12,0))</f>
        <v/>
      </c>
      <c r="X49" s="228">
        <f>IF(X$11=0,0,-ROUND(Assumptions!$F$13*Assumptions!$P$31*(1+Assumptions!$P$38)^(X$9-1)/12,0))</f>
        <v/>
      </c>
      <c r="Y49" s="228">
        <f>IF(Y$11=0,0,-ROUND(Assumptions!$F$13*Assumptions!$P$31*(1+Assumptions!$P$38)^(Y$9-1)/12,0))</f>
        <v/>
      </c>
      <c r="Z49" s="228">
        <f>IF(Z$11=0,0,-ROUND(Assumptions!$F$13*Assumptions!$P$31*(1+Assumptions!$P$38)^(Z$9-1)/12,0))</f>
        <v/>
      </c>
      <c r="AA49" s="228">
        <f>IF(AA$11=0,0,-ROUND(Assumptions!$F$13*Assumptions!$P$31*(1+Assumptions!$P$38)^(AA$9-1)/12,0))</f>
        <v/>
      </c>
      <c r="AB49" s="228">
        <f>IF(AB$11=0,0,-ROUND(Assumptions!$F$13*Assumptions!$P$31*(1+Assumptions!$P$38)^(AB$9-1)/12,0))</f>
        <v/>
      </c>
      <c r="AC49" s="228">
        <f>IF(AC$11=0,0,-ROUND(Assumptions!$F$13*Assumptions!$P$31*(1+Assumptions!$P$38)^(AC$9-1)/12,0))</f>
        <v/>
      </c>
      <c r="AD49" s="228">
        <f>IF(AD$11=0,0,-ROUND(Assumptions!$F$13*Assumptions!$P$31*(1+Assumptions!$P$38)^(AD$9-1)/12,0))</f>
        <v/>
      </c>
      <c r="AE49" s="228">
        <f>IF(AE$11=0,0,-ROUND(Assumptions!$F$13*Assumptions!$P$31*(1+Assumptions!$P$38)^(AE$9-1)/12,0))</f>
        <v/>
      </c>
      <c r="AF49" s="228">
        <f>IF(AF$11=0,0,-ROUND(Assumptions!$F$13*Assumptions!$P$31*(1+Assumptions!$P$38)^(AF$9-1)/12,0))</f>
        <v/>
      </c>
      <c r="AG49" s="228">
        <f>IF(AG$11=0,0,-ROUND(Assumptions!$F$13*Assumptions!$P$31*(1+Assumptions!$P$38)^(AG$9-1)/12,0))</f>
        <v/>
      </c>
      <c r="AH49" s="228">
        <f>IF(AH$11=0,0,-ROUND(Assumptions!$F$13*Assumptions!$P$31*(1+Assumptions!$P$38)^(AH$9-1)/12,0))</f>
        <v/>
      </c>
      <c r="AI49" s="228">
        <f>IF(AI$11=0,0,-ROUND(Assumptions!$F$13*Assumptions!$P$31*(1+Assumptions!$P$38)^(AI$9-1)/12,0))</f>
        <v/>
      </c>
      <c r="AJ49" s="228">
        <f>IF(AJ$11=0,0,-ROUND(Assumptions!$F$13*Assumptions!$P$31*(1+Assumptions!$P$38)^(AJ$9-1)/12,0))</f>
        <v/>
      </c>
      <c r="AK49" s="228">
        <f>IF(AK$11=0,0,-ROUND(Assumptions!$F$13*Assumptions!$P$31*(1+Assumptions!$P$38)^(AK$9-1)/12,0))</f>
        <v/>
      </c>
      <c r="AL49" s="228">
        <f>IF(AL$11=0,0,-ROUND(Assumptions!$F$13*Assumptions!$P$31*(1+Assumptions!$P$38)^(AL$9-1)/12,0))</f>
        <v/>
      </c>
      <c r="AM49" s="228">
        <f>IF(AM$11=0,0,-ROUND(Assumptions!$F$13*Assumptions!$P$31*(1+Assumptions!$P$38)^(AM$9-1)/12,0))</f>
        <v/>
      </c>
      <c r="AN49" s="228">
        <f>IF(AN$11=0,0,-ROUND(Assumptions!$F$13*Assumptions!$P$31*(1+Assumptions!$P$38)^(AN$9-1)/12,0))</f>
        <v/>
      </c>
      <c r="AO49" s="228">
        <f>IF(AO$11=0,0,-ROUND(Assumptions!$F$13*Assumptions!$P$31*(1+Assumptions!$P$38)^(AO$9-1)/12,0))</f>
        <v/>
      </c>
      <c r="AP49" s="228">
        <f>IF(AP$11=0,0,-ROUND(Assumptions!$F$13*Assumptions!$P$31*(1+Assumptions!$P$38)^(AP$9-1)/12,0))</f>
        <v/>
      </c>
      <c r="AQ49" s="228">
        <f>IF(AQ$11=0,0,-ROUND(Assumptions!$F$13*Assumptions!$P$31*(1+Assumptions!$P$38)^(AQ$9-1)/12,0))</f>
        <v/>
      </c>
      <c r="AR49" s="228">
        <f>IF(AR$11=0,0,-ROUND(Assumptions!$F$13*Assumptions!$P$31*(1+Assumptions!$P$38)^(AR$9-1)/12,0))</f>
        <v/>
      </c>
      <c r="AS49" s="228">
        <f>IF(AS$11=0,0,-ROUND(Assumptions!$F$13*Assumptions!$P$31*(1+Assumptions!$P$38)^(AS$9-1)/12,0))</f>
        <v/>
      </c>
      <c r="AT49" s="228">
        <f>IF(AT$11=0,0,-ROUND(Assumptions!$F$13*Assumptions!$P$31*(1+Assumptions!$P$38)^(AT$9-1)/12,0))</f>
        <v/>
      </c>
      <c r="AU49" s="228">
        <f>IF(AU$11=0,0,-ROUND(Assumptions!$F$13*Assumptions!$P$31*(1+Assumptions!$P$38)^(AU$9-1)/12,0))</f>
        <v/>
      </c>
      <c r="AV49" s="228">
        <f>IF(AV$11=0,0,-ROUND(Assumptions!$F$13*Assumptions!$P$31*(1+Assumptions!$P$38)^(AV$9-1)/12,0))</f>
        <v/>
      </c>
      <c r="AW49" s="228">
        <f>IF(AW$11=0,0,-ROUND(Assumptions!$F$13*Assumptions!$P$31*(1+Assumptions!$P$38)^(AW$9-1)/12,0))</f>
        <v/>
      </c>
      <c r="AX49" s="228">
        <f>IF(AX$11=0,0,-ROUND(Assumptions!$F$13*Assumptions!$P$31*(1+Assumptions!$P$38)^(AX$9-1)/12,0))</f>
        <v/>
      </c>
      <c r="AY49" s="228">
        <f>IF(AY$11=0,0,-ROUND(Assumptions!$F$13*Assumptions!$P$31*(1+Assumptions!$P$38)^(AY$9-1)/12,0))</f>
        <v/>
      </c>
      <c r="AZ49" s="228">
        <f>IF(AZ$11=0,0,-ROUND(Assumptions!$F$13*Assumptions!$P$31*(1+Assumptions!$P$38)^(AZ$9-1)/12,0))</f>
        <v/>
      </c>
      <c r="BA49" s="228">
        <f>IF(BA$11=0,0,-ROUND(Assumptions!$F$13*Assumptions!$P$31*(1+Assumptions!$P$38)^(BA$9-1)/12,0))</f>
        <v/>
      </c>
      <c r="BB49" s="228">
        <f>IF(BB$11=0,0,-ROUND(Assumptions!$F$13*Assumptions!$P$31*(1+Assumptions!$P$38)^(BB$9-1)/12,0))</f>
        <v/>
      </c>
      <c r="BC49" s="228">
        <f>IF(BC$11=0,0,-ROUND(Assumptions!$F$13*Assumptions!$P$31*(1+Assumptions!$P$38)^(BC$9-1)/12,0))</f>
        <v/>
      </c>
      <c r="BD49" s="228">
        <f>IF(BD$11=0,0,-ROUND(Assumptions!$F$13*Assumptions!$P$31*(1+Assumptions!$P$38)^(BD$9-1)/12,0))</f>
        <v/>
      </c>
      <c r="BE49" s="228">
        <f>IF(BE$11=0,0,-ROUND(Assumptions!$F$13*Assumptions!$P$31*(1+Assumptions!$P$38)^(BE$9-1)/12,0))</f>
        <v/>
      </c>
      <c r="BF49" s="228">
        <f>IF(BF$11=0,0,-ROUND(Assumptions!$F$13*Assumptions!$P$31*(1+Assumptions!$P$38)^(BF$9-1)/12,0))</f>
        <v/>
      </c>
      <c r="BG49" s="228">
        <f>IF(BG$11=0,0,-ROUND(Assumptions!$F$13*Assumptions!$P$31*(1+Assumptions!$P$38)^(BG$9-1)/12,0))</f>
        <v/>
      </c>
      <c r="BH49" s="228">
        <f>IF(BH$11=0,0,-ROUND(Assumptions!$F$13*Assumptions!$P$31*(1+Assumptions!$P$38)^(BH$9-1)/12,0))</f>
        <v/>
      </c>
      <c r="BI49" s="228">
        <f>IF(BI$11=0,0,-ROUND(Assumptions!$F$13*Assumptions!$P$31*(1+Assumptions!$P$38)^(BI$9-1)/12,0))</f>
        <v/>
      </c>
      <c r="BJ49" s="228">
        <f>IF(BJ$11=0,0,-ROUND(Assumptions!$F$13*Assumptions!$P$31*(1+Assumptions!$P$38)^(BJ$9-1)/12,0))</f>
        <v/>
      </c>
      <c r="BK49" s="228">
        <f>IF(BK$11=0,0,-ROUND(Assumptions!$F$13*Assumptions!$P$31*(1+Assumptions!$P$38)^(BK$9-1)/12,0))</f>
        <v/>
      </c>
      <c r="BL49" s="228">
        <f>IF(BL$11=0,0,-ROUND(Assumptions!$F$13*Assumptions!$P$31*(1+Assumptions!$P$38)^(BL$9-1)/12,0))</f>
        <v/>
      </c>
      <c r="BM49" s="228">
        <f>IF(BM$11=0,0,-ROUND(Assumptions!$F$13*Assumptions!$P$31*(1+Assumptions!$P$38)^(BM$9-1)/12,0))</f>
        <v/>
      </c>
      <c r="BN49" s="228">
        <f>IF(BN$11=0,0,-ROUND(Assumptions!$F$13*Assumptions!$P$31*(1+Assumptions!$P$38)^(BN$9-1)/12,0))</f>
        <v/>
      </c>
      <c r="BO49" s="228">
        <f>IF(BO$11=0,0,-ROUND(Assumptions!$F$13*Assumptions!$P$31*(1+Assumptions!$P$38)^(BO$9-1)/12,0))</f>
        <v/>
      </c>
      <c r="BP49" s="228">
        <f>IF(BP$11=0,0,-ROUND(Assumptions!$F$13*Assumptions!$P$31*(1+Assumptions!$P$38)^(BP$9-1)/12,0))</f>
        <v/>
      </c>
      <c r="BQ49" s="228">
        <f>IF(BQ$11=0,0,-ROUND(Assumptions!$F$13*Assumptions!$P$31*(1+Assumptions!$P$38)^(BQ$9-1)/12,0))</f>
        <v/>
      </c>
      <c r="BR49" s="228">
        <f>IF(BR$11=0,0,-ROUND(Assumptions!$F$13*Assumptions!$P$31*(1+Assumptions!$P$38)^(BR$9-1)/12,0))</f>
        <v/>
      </c>
      <c r="BS49" s="228">
        <f>IF(BS$11=0,0,-ROUND(Assumptions!$F$13*Assumptions!$P$31*(1+Assumptions!$P$38)^(BS$9-1)/12,0))</f>
        <v/>
      </c>
      <c r="BT49" s="228">
        <f>IF(BT$11=0,0,-ROUND(Assumptions!$F$13*Assumptions!$P$31*(1+Assumptions!$P$38)^(BT$9-1)/12,0))</f>
        <v/>
      </c>
      <c r="BU49" s="228">
        <f>IF(BU$11=0,0,-ROUND(Assumptions!$F$13*Assumptions!$P$31*(1+Assumptions!$P$38)^(BU$9-1)/12,0))</f>
        <v/>
      </c>
      <c r="BV49" s="228">
        <f>IF(BV$11=0,0,-ROUND(Assumptions!$F$13*Assumptions!$P$31*(1+Assumptions!$P$38)^(BV$9-1)/12,0))</f>
        <v/>
      </c>
      <c r="BW49" s="228">
        <f>IF(BW$11=0,0,-ROUND(Assumptions!$F$13*Assumptions!$P$31*(1+Assumptions!$P$38)^(BW$9-1)/12,0))</f>
        <v/>
      </c>
      <c r="BX49" s="228">
        <f>IF(BX$11=0,0,-ROUND(Assumptions!$F$13*Assumptions!$P$31*(1+Assumptions!$P$38)^(BX$9-1)/12,0))</f>
        <v/>
      </c>
      <c r="BY49" s="228">
        <f>IF(BY$11=0,0,-ROUND(Assumptions!$F$13*Assumptions!$P$31*(1+Assumptions!$P$38)^(BY$9-1)/12,0))</f>
        <v/>
      </c>
      <c r="BZ49" s="228">
        <f>IF(BZ$11=0,0,-ROUND(Assumptions!$F$13*Assumptions!$P$31*(1+Assumptions!$P$38)^(BZ$9-1)/12,0))</f>
        <v/>
      </c>
      <c r="CA49" s="228">
        <f>IF(CA$11=0,0,-ROUND(Assumptions!$F$13*Assumptions!$P$31*(1+Assumptions!$P$38)^(CA$9-1)/12,0))</f>
        <v/>
      </c>
      <c r="CB49" s="228">
        <f>IF(CB$11=0,0,-ROUND(Assumptions!$F$13*Assumptions!$P$31*(1+Assumptions!$P$38)^(CB$9-1)/12,0))</f>
        <v/>
      </c>
      <c r="CC49" s="228">
        <f>IF(CC$11=0,0,-ROUND(Assumptions!$F$13*Assumptions!$P$31*(1+Assumptions!$P$38)^(CC$9-1)/12,0))</f>
        <v/>
      </c>
      <c r="CD49" s="228">
        <f>IF(CD$11=0,0,-ROUND(Assumptions!$F$13*Assumptions!$P$31*(1+Assumptions!$P$38)^(CD$9-1)/12,0))</f>
        <v/>
      </c>
      <c r="CE49" s="228">
        <f>IF(CE$11=0,0,-ROUND(Assumptions!$F$13*Assumptions!$P$31*(1+Assumptions!$P$38)^(CE$9-1)/12,0))</f>
        <v/>
      </c>
      <c r="CF49" s="228">
        <f>IF(CF$11=0,0,-ROUND(Assumptions!$F$13*Assumptions!$P$31*(1+Assumptions!$P$38)^(CF$9-1)/12,0))</f>
        <v/>
      </c>
      <c r="CG49" s="228">
        <f>IF(CG$11=0,0,-ROUND(Assumptions!$F$13*Assumptions!$P$31*(1+Assumptions!$P$38)^(CG$9-1)/12,0))</f>
        <v/>
      </c>
      <c r="CH49" s="228">
        <f>IF(CH$11=0,0,-ROUND(Assumptions!$F$13*Assumptions!$P$31*(1+Assumptions!$P$38)^(CH$9-1)/12,0))</f>
        <v/>
      </c>
      <c r="CI49" s="228">
        <f>IF(CI$11=0,0,-ROUND(Assumptions!$F$13*Assumptions!$P$31*(1+Assumptions!$P$38)^(CI$9-1)/12,0))</f>
        <v/>
      </c>
      <c r="CJ49" s="228">
        <f>IF(CJ$11=0,0,-ROUND(Assumptions!$F$13*Assumptions!$P$31*(1+Assumptions!$P$38)^(CJ$9-1)/12,0))</f>
        <v/>
      </c>
      <c r="CK49" s="228">
        <f>IF(CK$11=0,0,-ROUND(Assumptions!$F$13*Assumptions!$P$31*(1+Assumptions!$P$38)^(CK$9-1)/12,0))</f>
        <v/>
      </c>
      <c r="CL49" s="228">
        <f>IF(CL$11=0,0,-ROUND(Assumptions!$F$13*Assumptions!$P$31*(1+Assumptions!$P$38)^(CL$9-1)/12,0))</f>
        <v/>
      </c>
      <c r="CM49" s="228">
        <f>IF(CM$11=0,0,-ROUND(Assumptions!$F$13*Assumptions!$P$31*(1+Assumptions!$P$38)^(CM$9-1)/12,0))</f>
        <v/>
      </c>
      <c r="CN49" s="228">
        <f>IF(CN$11=0,0,-ROUND(Assumptions!$F$13*Assumptions!$P$31*(1+Assumptions!$P$38)^(CN$9-1)/12,0))</f>
        <v/>
      </c>
      <c r="CO49" s="228">
        <f>IF(CO$11=0,0,-ROUND(Assumptions!$F$13*Assumptions!$P$31*(1+Assumptions!$P$38)^(CO$9-1)/12,0))</f>
        <v/>
      </c>
      <c r="CP49" s="228">
        <f>IF(CP$11=0,0,-ROUND(Assumptions!$F$13*Assumptions!$P$31*(1+Assumptions!$P$38)^(CP$9-1)/12,0))</f>
        <v/>
      </c>
      <c r="CQ49" s="228">
        <f>IF(CQ$11=0,0,-ROUND(Assumptions!$F$13*Assumptions!$P$31*(1+Assumptions!$P$38)^(CQ$9-1)/12,0))</f>
        <v/>
      </c>
      <c r="CR49" s="228">
        <f>IF(CR$11=0,0,-ROUND(Assumptions!$F$13*Assumptions!$P$31*(1+Assumptions!$P$38)^(CR$9-1)/12,0))</f>
        <v/>
      </c>
      <c r="CS49" s="228">
        <f>IF(CS$11=0,0,-ROUND(Assumptions!$F$13*Assumptions!$P$31*(1+Assumptions!$P$38)^(CS$9-1)/12,0))</f>
        <v/>
      </c>
      <c r="CT49" s="228">
        <f>IF(CT$11=0,0,-ROUND(Assumptions!$F$13*Assumptions!$P$31*(1+Assumptions!$P$38)^(CT$9-1)/12,0))</f>
        <v/>
      </c>
      <c r="CU49" s="228">
        <f>IF(CU$11=0,0,-ROUND(Assumptions!$F$13*Assumptions!$P$31*(1+Assumptions!$P$38)^(CU$9-1)/12,0))</f>
        <v/>
      </c>
      <c r="CV49" s="228">
        <f>IF(CV$11=0,0,-ROUND(Assumptions!$F$13*Assumptions!$P$31*(1+Assumptions!$P$38)^(CV$9-1)/12,0))</f>
        <v/>
      </c>
      <c r="CW49" s="228">
        <f>IF(CW$11=0,0,-ROUND(Assumptions!$F$13*Assumptions!$P$31*(1+Assumptions!$P$38)^(CW$9-1)/12,0))</f>
        <v/>
      </c>
      <c r="CX49" s="228">
        <f>IF(CX$11=0,0,-ROUND(Assumptions!$F$13*Assumptions!$P$31*(1+Assumptions!$P$38)^(CX$9-1)/12,0))</f>
        <v/>
      </c>
      <c r="CY49" s="228">
        <f>IF(CY$11=0,0,-ROUND(Assumptions!$F$13*Assumptions!$P$31*(1+Assumptions!$P$38)^(CY$9-1)/12,0))</f>
        <v/>
      </c>
      <c r="CZ49" s="228">
        <f>IF(CZ$11=0,0,-ROUND(Assumptions!$F$13*Assumptions!$P$31*(1+Assumptions!$P$38)^(CZ$9-1)/12,0))</f>
        <v/>
      </c>
      <c r="DA49" s="228">
        <f>IF(DA$11=0,0,-ROUND(Assumptions!$F$13*Assumptions!$P$31*(1+Assumptions!$P$38)^(DA$9-1)/12,0))</f>
        <v/>
      </c>
      <c r="DB49" s="228">
        <f>IF(DB$11=0,0,-ROUND(Assumptions!$F$13*Assumptions!$P$31*(1+Assumptions!$P$38)^(DB$9-1)/12,0))</f>
        <v/>
      </c>
      <c r="DC49" s="228">
        <f>IF(DC$11=0,0,-ROUND(Assumptions!$F$13*Assumptions!$P$31*(1+Assumptions!$P$38)^(DC$9-1)/12,0))</f>
        <v/>
      </c>
      <c r="DD49" s="228">
        <f>IF(DD$11=0,0,-ROUND(Assumptions!$F$13*Assumptions!$P$31*(1+Assumptions!$P$38)^(DD$9-1)/12,0))</f>
        <v/>
      </c>
      <c r="DE49" s="228">
        <f>IF(DE$11=0,0,-ROUND(Assumptions!$F$13*Assumptions!$P$31*(1+Assumptions!$P$38)^(DE$9-1)/12,0))</f>
        <v/>
      </c>
      <c r="DF49" s="228">
        <f>IF(DF$11=0,0,-ROUND(Assumptions!$F$13*Assumptions!$P$31*(1+Assumptions!$P$38)^(DF$9-1)/12,0))</f>
        <v/>
      </c>
      <c r="DG49" s="228">
        <f>IF(DG$11=0,0,-ROUND(Assumptions!$F$13*Assumptions!$P$31*(1+Assumptions!$P$38)^(DG$9-1)/12,0))</f>
        <v/>
      </c>
      <c r="DH49" s="228">
        <f>IF(DH$11=0,0,-ROUND(Assumptions!$F$13*Assumptions!$P$31*(1+Assumptions!$P$38)^(DH$9-1)/12,0))</f>
        <v/>
      </c>
      <c r="DI49" s="228">
        <f>IF(DI$11=0,0,-ROUND(Assumptions!$F$13*Assumptions!$P$31*(1+Assumptions!$P$38)^(DI$9-1)/12,0))</f>
        <v/>
      </c>
      <c r="DJ49" s="228">
        <f>IF(DJ$11=0,0,-ROUND(Assumptions!$F$13*Assumptions!$P$31*(1+Assumptions!$P$38)^(DJ$9-1)/12,0))</f>
        <v/>
      </c>
      <c r="DK49" s="228">
        <f>IF(DK$11=0,0,-ROUND(Assumptions!$F$13*Assumptions!$P$31*(1+Assumptions!$P$38)^(DK$9-1)/12,0))</f>
        <v/>
      </c>
      <c r="DL49" s="228">
        <f>IF(DL$11=0,0,-ROUND(Assumptions!$F$13*Assumptions!$P$31*(1+Assumptions!$P$38)^(DL$9-1)/12,0))</f>
        <v/>
      </c>
      <c r="DM49" s="228">
        <f>IF(DM$11=0,0,-ROUND(Assumptions!$F$13*Assumptions!$P$31*(1+Assumptions!$P$38)^(DM$9-1)/12,0))</f>
        <v/>
      </c>
      <c r="DN49" s="228">
        <f>IF(DN$11=0,0,-ROUND(Assumptions!$F$13*Assumptions!$P$31*(1+Assumptions!$P$38)^(DN$9-1)/12,0))</f>
        <v/>
      </c>
      <c r="DO49" s="228">
        <f>IF(DO$11=0,0,-ROUND(Assumptions!$F$13*Assumptions!$P$31*(1+Assumptions!$P$38)^(DO$9-1)/12,0))</f>
        <v/>
      </c>
      <c r="DP49" s="228">
        <f>IF(DP$11=0,0,-ROUND(Assumptions!$F$13*Assumptions!$P$31*(1+Assumptions!$P$38)^(DP$9-1)/12,0))</f>
        <v/>
      </c>
      <c r="DQ49" s="228">
        <f>IF(DQ$11=0,0,-ROUND(Assumptions!$F$13*Assumptions!$P$31*(1+Assumptions!$P$38)^(DQ$9-1)/12,0))</f>
        <v/>
      </c>
      <c r="DR49" s="228">
        <f>IF(DR$11=0,0,-ROUND(Assumptions!$F$13*Assumptions!$P$31*(1+Assumptions!$P$38)^(DR$9-1)/12,0))</f>
        <v/>
      </c>
      <c r="DS49" s="228">
        <f>IF(DS$11=0,0,-ROUND(Assumptions!$F$13*Assumptions!$P$31*(1+Assumptions!$P$38)^(DS$9-1)/12,0))</f>
        <v/>
      </c>
      <c r="DT49" s="228">
        <f>IF(DT$11=0,0,-ROUND(Assumptions!$F$13*Assumptions!$P$31*(1+Assumptions!$P$38)^(DT$9-1)/12,0))</f>
        <v/>
      </c>
    </row>
    <row r="50" ht="15" customHeight="1" s="148">
      <c r="A50" s="112" t="inlineStr">
        <is>
          <t>Other Expense 5 (Annual)</t>
        </is>
      </c>
      <c r="C50" s="228">
        <f>SUM(D50:DT50)</f>
        <v/>
      </c>
      <c r="D50" s="228">
        <f>IF(D$11=0,0,-ROUND(Assumptions!$F$13*Assumptions!$P$32*(1+Assumptions!$P$38)^(D$9-1)/12,0))</f>
        <v/>
      </c>
      <c r="E50" s="228">
        <f>IF(E$11=0,0,-ROUND(Assumptions!$F$13*Assumptions!$P$32*(1+Assumptions!$P$38)^(E$9-1)/12,0))</f>
        <v/>
      </c>
      <c r="F50" s="228">
        <f>IF(F$11=0,0,-ROUND(Assumptions!$F$13*Assumptions!$P$32*(1+Assumptions!$P$38)^(F$9-1)/12,0))</f>
        <v/>
      </c>
      <c r="G50" s="228">
        <f>IF(G$11=0,0,-ROUND(Assumptions!$F$13*Assumptions!$P$32*(1+Assumptions!$P$38)^(G$9-1)/12,0))</f>
        <v/>
      </c>
      <c r="H50" s="228">
        <f>IF(H$11=0,0,-ROUND(Assumptions!$F$13*Assumptions!$P$32*(1+Assumptions!$P$38)^(H$9-1)/12,0))</f>
        <v/>
      </c>
      <c r="I50" s="228">
        <f>IF(I$11=0,0,-ROUND(Assumptions!$F$13*Assumptions!$P$32*(1+Assumptions!$P$38)^(I$9-1)/12,0))</f>
        <v/>
      </c>
      <c r="J50" s="228">
        <f>IF(J$11=0,0,-ROUND(Assumptions!$F$13*Assumptions!$P$32*(1+Assumptions!$P$38)^(J$9-1)/12,0))</f>
        <v/>
      </c>
      <c r="K50" s="228">
        <f>IF(K$11=0,0,-ROUND(Assumptions!$F$13*Assumptions!$P$32*(1+Assumptions!$P$38)^(K$9-1)/12,0))</f>
        <v/>
      </c>
      <c r="L50" s="228">
        <f>IF(L$11=0,0,-ROUND(Assumptions!$F$13*Assumptions!$P$32*(1+Assumptions!$P$38)^(L$9-1)/12,0))</f>
        <v/>
      </c>
      <c r="M50" s="228">
        <f>IF(M$11=0,0,-ROUND(Assumptions!$F$13*Assumptions!$P$32*(1+Assumptions!$P$38)^(M$9-1)/12,0))</f>
        <v/>
      </c>
      <c r="N50" s="228">
        <f>IF(N$11=0,0,-ROUND(Assumptions!$F$13*Assumptions!$P$32*(1+Assumptions!$P$38)^(N$9-1)/12,0))</f>
        <v/>
      </c>
      <c r="O50" s="228">
        <f>IF(O$11=0,0,-ROUND(Assumptions!$F$13*Assumptions!$P$32*(1+Assumptions!$P$38)^(O$9-1)/12,0))</f>
        <v/>
      </c>
      <c r="P50" s="228">
        <f>IF(P$11=0,0,-ROUND(Assumptions!$F$13*Assumptions!$P$32*(1+Assumptions!$P$38)^(P$9-1)/12,0))</f>
        <v/>
      </c>
      <c r="Q50" s="228">
        <f>IF(Q$11=0,0,-ROUND(Assumptions!$F$13*Assumptions!$P$32*(1+Assumptions!$P$38)^(Q$9-1)/12,0))</f>
        <v/>
      </c>
      <c r="R50" s="228">
        <f>IF(R$11=0,0,-ROUND(Assumptions!$F$13*Assumptions!$P$32*(1+Assumptions!$P$38)^(R$9-1)/12,0))</f>
        <v/>
      </c>
      <c r="S50" s="228">
        <f>IF(S$11=0,0,-ROUND(Assumptions!$F$13*Assumptions!$P$32*(1+Assumptions!$P$38)^(S$9-1)/12,0))</f>
        <v/>
      </c>
      <c r="T50" s="228">
        <f>IF(T$11=0,0,-ROUND(Assumptions!$F$13*Assumptions!$P$32*(1+Assumptions!$P$38)^(T$9-1)/12,0))</f>
        <v/>
      </c>
      <c r="U50" s="228">
        <f>IF(U$11=0,0,-ROUND(Assumptions!$F$13*Assumptions!$P$32*(1+Assumptions!$P$38)^(U$9-1)/12,0))</f>
        <v/>
      </c>
      <c r="V50" s="228">
        <f>IF(V$11=0,0,-ROUND(Assumptions!$F$13*Assumptions!$P$32*(1+Assumptions!$P$38)^(V$9-1)/12,0))</f>
        <v/>
      </c>
      <c r="W50" s="228">
        <f>IF(W$11=0,0,-ROUND(Assumptions!$F$13*Assumptions!$P$32*(1+Assumptions!$P$38)^(W$9-1)/12,0))</f>
        <v/>
      </c>
      <c r="X50" s="228">
        <f>IF(X$11=0,0,-ROUND(Assumptions!$F$13*Assumptions!$P$32*(1+Assumptions!$P$38)^(X$9-1)/12,0))</f>
        <v/>
      </c>
      <c r="Y50" s="228">
        <f>IF(Y$11=0,0,-ROUND(Assumptions!$F$13*Assumptions!$P$32*(1+Assumptions!$P$38)^(Y$9-1)/12,0))</f>
        <v/>
      </c>
      <c r="Z50" s="228">
        <f>IF(Z$11=0,0,-ROUND(Assumptions!$F$13*Assumptions!$P$32*(1+Assumptions!$P$38)^(Z$9-1)/12,0))</f>
        <v/>
      </c>
      <c r="AA50" s="228">
        <f>IF(AA$11=0,0,-ROUND(Assumptions!$F$13*Assumptions!$P$32*(1+Assumptions!$P$38)^(AA$9-1)/12,0))</f>
        <v/>
      </c>
      <c r="AB50" s="228">
        <f>IF(AB$11=0,0,-ROUND(Assumptions!$F$13*Assumptions!$P$32*(1+Assumptions!$P$38)^(AB$9-1)/12,0))</f>
        <v/>
      </c>
      <c r="AC50" s="228">
        <f>IF(AC$11=0,0,-ROUND(Assumptions!$F$13*Assumptions!$P$32*(1+Assumptions!$P$38)^(AC$9-1)/12,0))</f>
        <v/>
      </c>
      <c r="AD50" s="228">
        <f>IF(AD$11=0,0,-ROUND(Assumptions!$F$13*Assumptions!$P$32*(1+Assumptions!$P$38)^(AD$9-1)/12,0))</f>
        <v/>
      </c>
      <c r="AE50" s="228">
        <f>IF(AE$11=0,0,-ROUND(Assumptions!$F$13*Assumptions!$P$32*(1+Assumptions!$P$38)^(AE$9-1)/12,0))</f>
        <v/>
      </c>
      <c r="AF50" s="228">
        <f>IF(AF$11=0,0,-ROUND(Assumptions!$F$13*Assumptions!$P$32*(1+Assumptions!$P$38)^(AF$9-1)/12,0))</f>
        <v/>
      </c>
      <c r="AG50" s="228">
        <f>IF(AG$11=0,0,-ROUND(Assumptions!$F$13*Assumptions!$P$32*(1+Assumptions!$P$38)^(AG$9-1)/12,0))</f>
        <v/>
      </c>
      <c r="AH50" s="228">
        <f>IF(AH$11=0,0,-ROUND(Assumptions!$F$13*Assumptions!$P$32*(1+Assumptions!$P$38)^(AH$9-1)/12,0))</f>
        <v/>
      </c>
      <c r="AI50" s="228">
        <f>IF(AI$11=0,0,-ROUND(Assumptions!$F$13*Assumptions!$P$32*(1+Assumptions!$P$38)^(AI$9-1)/12,0))</f>
        <v/>
      </c>
      <c r="AJ50" s="228">
        <f>IF(AJ$11=0,0,-ROUND(Assumptions!$F$13*Assumptions!$P$32*(1+Assumptions!$P$38)^(AJ$9-1)/12,0))</f>
        <v/>
      </c>
      <c r="AK50" s="228">
        <f>IF(AK$11=0,0,-ROUND(Assumptions!$F$13*Assumptions!$P$32*(1+Assumptions!$P$38)^(AK$9-1)/12,0))</f>
        <v/>
      </c>
      <c r="AL50" s="228">
        <f>IF(AL$11=0,0,-ROUND(Assumptions!$F$13*Assumptions!$P$32*(1+Assumptions!$P$38)^(AL$9-1)/12,0))</f>
        <v/>
      </c>
      <c r="AM50" s="228">
        <f>IF(AM$11=0,0,-ROUND(Assumptions!$F$13*Assumptions!$P$32*(1+Assumptions!$P$38)^(AM$9-1)/12,0))</f>
        <v/>
      </c>
      <c r="AN50" s="228">
        <f>IF(AN$11=0,0,-ROUND(Assumptions!$F$13*Assumptions!$P$32*(1+Assumptions!$P$38)^(AN$9-1)/12,0))</f>
        <v/>
      </c>
      <c r="AO50" s="228">
        <f>IF(AO$11=0,0,-ROUND(Assumptions!$F$13*Assumptions!$P$32*(1+Assumptions!$P$38)^(AO$9-1)/12,0))</f>
        <v/>
      </c>
      <c r="AP50" s="228">
        <f>IF(AP$11=0,0,-ROUND(Assumptions!$F$13*Assumptions!$P$32*(1+Assumptions!$P$38)^(AP$9-1)/12,0))</f>
        <v/>
      </c>
      <c r="AQ50" s="228">
        <f>IF(AQ$11=0,0,-ROUND(Assumptions!$F$13*Assumptions!$P$32*(1+Assumptions!$P$38)^(AQ$9-1)/12,0))</f>
        <v/>
      </c>
      <c r="AR50" s="228">
        <f>IF(AR$11=0,0,-ROUND(Assumptions!$F$13*Assumptions!$P$32*(1+Assumptions!$P$38)^(AR$9-1)/12,0))</f>
        <v/>
      </c>
      <c r="AS50" s="228">
        <f>IF(AS$11=0,0,-ROUND(Assumptions!$F$13*Assumptions!$P$32*(1+Assumptions!$P$38)^(AS$9-1)/12,0))</f>
        <v/>
      </c>
      <c r="AT50" s="228">
        <f>IF(AT$11=0,0,-ROUND(Assumptions!$F$13*Assumptions!$P$32*(1+Assumptions!$P$38)^(AT$9-1)/12,0))</f>
        <v/>
      </c>
      <c r="AU50" s="228">
        <f>IF(AU$11=0,0,-ROUND(Assumptions!$F$13*Assumptions!$P$32*(1+Assumptions!$P$38)^(AU$9-1)/12,0))</f>
        <v/>
      </c>
      <c r="AV50" s="228">
        <f>IF(AV$11=0,0,-ROUND(Assumptions!$F$13*Assumptions!$P$32*(1+Assumptions!$P$38)^(AV$9-1)/12,0))</f>
        <v/>
      </c>
      <c r="AW50" s="228">
        <f>IF(AW$11=0,0,-ROUND(Assumptions!$F$13*Assumptions!$P$32*(1+Assumptions!$P$38)^(AW$9-1)/12,0))</f>
        <v/>
      </c>
      <c r="AX50" s="228">
        <f>IF(AX$11=0,0,-ROUND(Assumptions!$F$13*Assumptions!$P$32*(1+Assumptions!$P$38)^(AX$9-1)/12,0))</f>
        <v/>
      </c>
      <c r="AY50" s="228">
        <f>IF(AY$11=0,0,-ROUND(Assumptions!$F$13*Assumptions!$P$32*(1+Assumptions!$P$38)^(AY$9-1)/12,0))</f>
        <v/>
      </c>
      <c r="AZ50" s="228">
        <f>IF(AZ$11=0,0,-ROUND(Assumptions!$F$13*Assumptions!$P$32*(1+Assumptions!$P$38)^(AZ$9-1)/12,0))</f>
        <v/>
      </c>
      <c r="BA50" s="228">
        <f>IF(BA$11=0,0,-ROUND(Assumptions!$F$13*Assumptions!$P$32*(1+Assumptions!$P$38)^(BA$9-1)/12,0))</f>
        <v/>
      </c>
      <c r="BB50" s="228">
        <f>IF(BB$11=0,0,-ROUND(Assumptions!$F$13*Assumptions!$P$32*(1+Assumptions!$P$38)^(BB$9-1)/12,0))</f>
        <v/>
      </c>
      <c r="BC50" s="228">
        <f>IF(BC$11=0,0,-ROUND(Assumptions!$F$13*Assumptions!$P$32*(1+Assumptions!$P$38)^(BC$9-1)/12,0))</f>
        <v/>
      </c>
      <c r="BD50" s="228">
        <f>IF(BD$11=0,0,-ROUND(Assumptions!$F$13*Assumptions!$P$32*(1+Assumptions!$P$38)^(BD$9-1)/12,0))</f>
        <v/>
      </c>
      <c r="BE50" s="228">
        <f>IF(BE$11=0,0,-ROUND(Assumptions!$F$13*Assumptions!$P$32*(1+Assumptions!$P$38)^(BE$9-1)/12,0))</f>
        <v/>
      </c>
      <c r="BF50" s="228">
        <f>IF(BF$11=0,0,-ROUND(Assumptions!$F$13*Assumptions!$P$32*(1+Assumptions!$P$38)^(BF$9-1)/12,0))</f>
        <v/>
      </c>
      <c r="BG50" s="228">
        <f>IF(BG$11=0,0,-ROUND(Assumptions!$F$13*Assumptions!$P$32*(1+Assumptions!$P$38)^(BG$9-1)/12,0))</f>
        <v/>
      </c>
      <c r="BH50" s="228">
        <f>IF(BH$11=0,0,-ROUND(Assumptions!$F$13*Assumptions!$P$32*(1+Assumptions!$P$38)^(BH$9-1)/12,0))</f>
        <v/>
      </c>
      <c r="BI50" s="228">
        <f>IF(BI$11=0,0,-ROUND(Assumptions!$F$13*Assumptions!$P$32*(1+Assumptions!$P$38)^(BI$9-1)/12,0))</f>
        <v/>
      </c>
      <c r="BJ50" s="228">
        <f>IF(BJ$11=0,0,-ROUND(Assumptions!$F$13*Assumptions!$P$32*(1+Assumptions!$P$38)^(BJ$9-1)/12,0))</f>
        <v/>
      </c>
      <c r="BK50" s="228">
        <f>IF(BK$11=0,0,-ROUND(Assumptions!$F$13*Assumptions!$P$32*(1+Assumptions!$P$38)^(BK$9-1)/12,0))</f>
        <v/>
      </c>
      <c r="BL50" s="228">
        <f>IF(BL$11=0,0,-ROUND(Assumptions!$F$13*Assumptions!$P$32*(1+Assumptions!$P$38)^(BL$9-1)/12,0))</f>
        <v/>
      </c>
      <c r="BM50" s="228">
        <f>IF(BM$11=0,0,-ROUND(Assumptions!$F$13*Assumptions!$P$32*(1+Assumptions!$P$38)^(BM$9-1)/12,0))</f>
        <v/>
      </c>
      <c r="BN50" s="228">
        <f>IF(BN$11=0,0,-ROUND(Assumptions!$F$13*Assumptions!$P$32*(1+Assumptions!$P$38)^(BN$9-1)/12,0))</f>
        <v/>
      </c>
      <c r="BO50" s="228">
        <f>IF(BO$11=0,0,-ROUND(Assumptions!$F$13*Assumptions!$P$32*(1+Assumptions!$P$38)^(BO$9-1)/12,0))</f>
        <v/>
      </c>
      <c r="BP50" s="228">
        <f>IF(BP$11=0,0,-ROUND(Assumptions!$F$13*Assumptions!$P$32*(1+Assumptions!$P$38)^(BP$9-1)/12,0))</f>
        <v/>
      </c>
      <c r="BQ50" s="228">
        <f>IF(BQ$11=0,0,-ROUND(Assumptions!$F$13*Assumptions!$P$32*(1+Assumptions!$P$38)^(BQ$9-1)/12,0))</f>
        <v/>
      </c>
      <c r="BR50" s="228">
        <f>IF(BR$11=0,0,-ROUND(Assumptions!$F$13*Assumptions!$P$32*(1+Assumptions!$P$38)^(BR$9-1)/12,0))</f>
        <v/>
      </c>
      <c r="BS50" s="228">
        <f>IF(BS$11=0,0,-ROUND(Assumptions!$F$13*Assumptions!$P$32*(1+Assumptions!$P$38)^(BS$9-1)/12,0))</f>
        <v/>
      </c>
      <c r="BT50" s="228">
        <f>IF(BT$11=0,0,-ROUND(Assumptions!$F$13*Assumptions!$P$32*(1+Assumptions!$P$38)^(BT$9-1)/12,0))</f>
        <v/>
      </c>
      <c r="BU50" s="228">
        <f>IF(BU$11=0,0,-ROUND(Assumptions!$F$13*Assumptions!$P$32*(1+Assumptions!$P$38)^(BU$9-1)/12,0))</f>
        <v/>
      </c>
      <c r="BV50" s="228">
        <f>IF(BV$11=0,0,-ROUND(Assumptions!$F$13*Assumptions!$P$32*(1+Assumptions!$P$38)^(BV$9-1)/12,0))</f>
        <v/>
      </c>
      <c r="BW50" s="228">
        <f>IF(BW$11=0,0,-ROUND(Assumptions!$F$13*Assumptions!$P$32*(1+Assumptions!$P$38)^(BW$9-1)/12,0))</f>
        <v/>
      </c>
      <c r="BX50" s="228">
        <f>IF(BX$11=0,0,-ROUND(Assumptions!$F$13*Assumptions!$P$32*(1+Assumptions!$P$38)^(BX$9-1)/12,0))</f>
        <v/>
      </c>
      <c r="BY50" s="228">
        <f>IF(BY$11=0,0,-ROUND(Assumptions!$F$13*Assumptions!$P$32*(1+Assumptions!$P$38)^(BY$9-1)/12,0))</f>
        <v/>
      </c>
      <c r="BZ50" s="228">
        <f>IF(BZ$11=0,0,-ROUND(Assumptions!$F$13*Assumptions!$P$32*(1+Assumptions!$P$38)^(BZ$9-1)/12,0))</f>
        <v/>
      </c>
      <c r="CA50" s="228">
        <f>IF(CA$11=0,0,-ROUND(Assumptions!$F$13*Assumptions!$P$32*(1+Assumptions!$P$38)^(CA$9-1)/12,0))</f>
        <v/>
      </c>
      <c r="CB50" s="228">
        <f>IF(CB$11=0,0,-ROUND(Assumptions!$F$13*Assumptions!$P$32*(1+Assumptions!$P$38)^(CB$9-1)/12,0))</f>
        <v/>
      </c>
      <c r="CC50" s="228">
        <f>IF(CC$11=0,0,-ROUND(Assumptions!$F$13*Assumptions!$P$32*(1+Assumptions!$P$38)^(CC$9-1)/12,0))</f>
        <v/>
      </c>
      <c r="CD50" s="228">
        <f>IF(CD$11=0,0,-ROUND(Assumptions!$F$13*Assumptions!$P$32*(1+Assumptions!$P$38)^(CD$9-1)/12,0))</f>
        <v/>
      </c>
      <c r="CE50" s="228">
        <f>IF(CE$11=0,0,-ROUND(Assumptions!$F$13*Assumptions!$P$32*(1+Assumptions!$P$38)^(CE$9-1)/12,0))</f>
        <v/>
      </c>
      <c r="CF50" s="228">
        <f>IF(CF$11=0,0,-ROUND(Assumptions!$F$13*Assumptions!$P$32*(1+Assumptions!$P$38)^(CF$9-1)/12,0))</f>
        <v/>
      </c>
      <c r="CG50" s="228">
        <f>IF(CG$11=0,0,-ROUND(Assumptions!$F$13*Assumptions!$P$32*(1+Assumptions!$P$38)^(CG$9-1)/12,0))</f>
        <v/>
      </c>
      <c r="CH50" s="228">
        <f>IF(CH$11=0,0,-ROUND(Assumptions!$F$13*Assumptions!$P$32*(1+Assumptions!$P$38)^(CH$9-1)/12,0))</f>
        <v/>
      </c>
      <c r="CI50" s="228">
        <f>IF(CI$11=0,0,-ROUND(Assumptions!$F$13*Assumptions!$P$32*(1+Assumptions!$P$38)^(CI$9-1)/12,0))</f>
        <v/>
      </c>
      <c r="CJ50" s="228">
        <f>IF(CJ$11=0,0,-ROUND(Assumptions!$F$13*Assumptions!$P$32*(1+Assumptions!$P$38)^(CJ$9-1)/12,0))</f>
        <v/>
      </c>
      <c r="CK50" s="228">
        <f>IF(CK$11=0,0,-ROUND(Assumptions!$F$13*Assumptions!$P$32*(1+Assumptions!$P$38)^(CK$9-1)/12,0))</f>
        <v/>
      </c>
      <c r="CL50" s="228">
        <f>IF(CL$11=0,0,-ROUND(Assumptions!$F$13*Assumptions!$P$32*(1+Assumptions!$P$38)^(CL$9-1)/12,0))</f>
        <v/>
      </c>
      <c r="CM50" s="228">
        <f>IF(CM$11=0,0,-ROUND(Assumptions!$F$13*Assumptions!$P$32*(1+Assumptions!$P$38)^(CM$9-1)/12,0))</f>
        <v/>
      </c>
      <c r="CN50" s="228">
        <f>IF(CN$11=0,0,-ROUND(Assumptions!$F$13*Assumptions!$P$32*(1+Assumptions!$P$38)^(CN$9-1)/12,0))</f>
        <v/>
      </c>
      <c r="CO50" s="228">
        <f>IF(CO$11=0,0,-ROUND(Assumptions!$F$13*Assumptions!$P$32*(1+Assumptions!$P$38)^(CO$9-1)/12,0))</f>
        <v/>
      </c>
      <c r="CP50" s="228">
        <f>IF(CP$11=0,0,-ROUND(Assumptions!$F$13*Assumptions!$P$32*(1+Assumptions!$P$38)^(CP$9-1)/12,0))</f>
        <v/>
      </c>
      <c r="CQ50" s="228">
        <f>IF(CQ$11=0,0,-ROUND(Assumptions!$F$13*Assumptions!$P$32*(1+Assumptions!$P$38)^(CQ$9-1)/12,0))</f>
        <v/>
      </c>
      <c r="CR50" s="228">
        <f>IF(CR$11=0,0,-ROUND(Assumptions!$F$13*Assumptions!$P$32*(1+Assumptions!$P$38)^(CR$9-1)/12,0))</f>
        <v/>
      </c>
      <c r="CS50" s="228">
        <f>IF(CS$11=0,0,-ROUND(Assumptions!$F$13*Assumptions!$P$32*(1+Assumptions!$P$38)^(CS$9-1)/12,0))</f>
        <v/>
      </c>
      <c r="CT50" s="228">
        <f>IF(CT$11=0,0,-ROUND(Assumptions!$F$13*Assumptions!$P$32*(1+Assumptions!$P$38)^(CT$9-1)/12,0))</f>
        <v/>
      </c>
      <c r="CU50" s="228">
        <f>IF(CU$11=0,0,-ROUND(Assumptions!$F$13*Assumptions!$P$32*(1+Assumptions!$P$38)^(CU$9-1)/12,0))</f>
        <v/>
      </c>
      <c r="CV50" s="228">
        <f>IF(CV$11=0,0,-ROUND(Assumptions!$F$13*Assumptions!$P$32*(1+Assumptions!$P$38)^(CV$9-1)/12,0))</f>
        <v/>
      </c>
      <c r="CW50" s="228">
        <f>IF(CW$11=0,0,-ROUND(Assumptions!$F$13*Assumptions!$P$32*(1+Assumptions!$P$38)^(CW$9-1)/12,0))</f>
        <v/>
      </c>
      <c r="CX50" s="228">
        <f>IF(CX$11=0,0,-ROUND(Assumptions!$F$13*Assumptions!$P$32*(1+Assumptions!$P$38)^(CX$9-1)/12,0))</f>
        <v/>
      </c>
      <c r="CY50" s="228">
        <f>IF(CY$11=0,0,-ROUND(Assumptions!$F$13*Assumptions!$P$32*(1+Assumptions!$P$38)^(CY$9-1)/12,0))</f>
        <v/>
      </c>
      <c r="CZ50" s="228">
        <f>IF(CZ$11=0,0,-ROUND(Assumptions!$F$13*Assumptions!$P$32*(1+Assumptions!$P$38)^(CZ$9-1)/12,0))</f>
        <v/>
      </c>
      <c r="DA50" s="228">
        <f>IF(DA$11=0,0,-ROUND(Assumptions!$F$13*Assumptions!$P$32*(1+Assumptions!$P$38)^(DA$9-1)/12,0))</f>
        <v/>
      </c>
      <c r="DB50" s="228">
        <f>IF(DB$11=0,0,-ROUND(Assumptions!$F$13*Assumptions!$P$32*(1+Assumptions!$P$38)^(DB$9-1)/12,0))</f>
        <v/>
      </c>
      <c r="DC50" s="228">
        <f>IF(DC$11=0,0,-ROUND(Assumptions!$F$13*Assumptions!$P$32*(1+Assumptions!$P$38)^(DC$9-1)/12,0))</f>
        <v/>
      </c>
      <c r="DD50" s="228">
        <f>IF(DD$11=0,0,-ROUND(Assumptions!$F$13*Assumptions!$P$32*(1+Assumptions!$P$38)^(DD$9-1)/12,0))</f>
        <v/>
      </c>
      <c r="DE50" s="228">
        <f>IF(DE$11=0,0,-ROUND(Assumptions!$F$13*Assumptions!$P$32*(1+Assumptions!$P$38)^(DE$9-1)/12,0))</f>
        <v/>
      </c>
      <c r="DF50" s="228">
        <f>IF(DF$11=0,0,-ROUND(Assumptions!$F$13*Assumptions!$P$32*(1+Assumptions!$P$38)^(DF$9-1)/12,0))</f>
        <v/>
      </c>
      <c r="DG50" s="228">
        <f>IF(DG$11=0,0,-ROUND(Assumptions!$F$13*Assumptions!$P$32*(1+Assumptions!$P$38)^(DG$9-1)/12,0))</f>
        <v/>
      </c>
      <c r="DH50" s="228">
        <f>IF(DH$11=0,0,-ROUND(Assumptions!$F$13*Assumptions!$P$32*(1+Assumptions!$P$38)^(DH$9-1)/12,0))</f>
        <v/>
      </c>
      <c r="DI50" s="228">
        <f>IF(DI$11=0,0,-ROUND(Assumptions!$F$13*Assumptions!$P$32*(1+Assumptions!$P$38)^(DI$9-1)/12,0))</f>
        <v/>
      </c>
      <c r="DJ50" s="228">
        <f>IF(DJ$11=0,0,-ROUND(Assumptions!$F$13*Assumptions!$P$32*(1+Assumptions!$P$38)^(DJ$9-1)/12,0))</f>
        <v/>
      </c>
      <c r="DK50" s="228">
        <f>IF(DK$11=0,0,-ROUND(Assumptions!$F$13*Assumptions!$P$32*(1+Assumptions!$P$38)^(DK$9-1)/12,0))</f>
        <v/>
      </c>
      <c r="DL50" s="228">
        <f>IF(DL$11=0,0,-ROUND(Assumptions!$F$13*Assumptions!$P$32*(1+Assumptions!$P$38)^(DL$9-1)/12,0))</f>
        <v/>
      </c>
      <c r="DM50" s="228">
        <f>IF(DM$11=0,0,-ROUND(Assumptions!$F$13*Assumptions!$P$32*(1+Assumptions!$P$38)^(DM$9-1)/12,0))</f>
        <v/>
      </c>
      <c r="DN50" s="228">
        <f>IF(DN$11=0,0,-ROUND(Assumptions!$F$13*Assumptions!$P$32*(1+Assumptions!$P$38)^(DN$9-1)/12,0))</f>
        <v/>
      </c>
      <c r="DO50" s="228">
        <f>IF(DO$11=0,0,-ROUND(Assumptions!$F$13*Assumptions!$P$32*(1+Assumptions!$P$38)^(DO$9-1)/12,0))</f>
        <v/>
      </c>
      <c r="DP50" s="228">
        <f>IF(DP$11=0,0,-ROUND(Assumptions!$F$13*Assumptions!$P$32*(1+Assumptions!$P$38)^(DP$9-1)/12,0))</f>
        <v/>
      </c>
      <c r="DQ50" s="228">
        <f>IF(DQ$11=0,0,-ROUND(Assumptions!$F$13*Assumptions!$P$32*(1+Assumptions!$P$38)^(DQ$9-1)/12,0))</f>
        <v/>
      </c>
      <c r="DR50" s="228">
        <f>IF(DR$11=0,0,-ROUND(Assumptions!$F$13*Assumptions!$P$32*(1+Assumptions!$P$38)^(DR$9-1)/12,0))</f>
        <v/>
      </c>
      <c r="DS50" s="228">
        <f>IF(DS$11=0,0,-ROUND(Assumptions!$F$13*Assumptions!$P$32*(1+Assumptions!$P$38)^(DS$9-1)/12,0))</f>
        <v/>
      </c>
      <c r="DT50" s="228">
        <f>IF(DT$11=0,0,-ROUND(Assumptions!$F$13*Assumptions!$P$32*(1+Assumptions!$P$38)^(DT$9-1)/12,0))</f>
        <v/>
      </c>
    </row>
    <row r="52" ht="15" customHeight="1" s="148">
      <c r="A52" s="110" t="inlineStr">
        <is>
          <t>Total Recoverable Operating Expenses</t>
        </is>
      </c>
      <c r="C52" s="228">
        <f>SUM(D52:DT52)</f>
        <v/>
      </c>
      <c r="D52" s="228">
        <f>SUM(D$38,D$39,D$40,D$41,D$42,D$43,D$44,D$45,D$46,D$47,D$48,D$49,D$50)</f>
        <v/>
      </c>
      <c r="E52" s="228">
        <f>SUM(E$38,E$39,E$40,E$41,E$42,E$43,E$44,E$45,E$46,E$47,E$48,E$49,E$50)</f>
        <v/>
      </c>
      <c r="F52" s="228">
        <f>SUM(F$38,F$39,F$40,F$41,F$42,F$43,F$44,F$45,F$46,F$47,F$48,F$49,F$50)</f>
        <v/>
      </c>
      <c r="G52" s="228">
        <f>SUM(G$38,G$39,G$40,G$41,G$42,G$43,G$44,G$45,G$46,G$47,G$48,G$49,G$50)</f>
        <v/>
      </c>
      <c r="H52" s="228">
        <f>SUM(H$38,H$39,H$40,H$41,H$42,H$43,H$44,H$45,H$46,H$47,H$48,H$49,H$50)</f>
        <v/>
      </c>
      <c r="I52" s="228">
        <f>SUM(I$38,I$39,I$40,I$41,I$42,I$43,I$44,I$45,I$46,I$47,I$48,I$49,I$50)</f>
        <v/>
      </c>
      <c r="J52" s="228">
        <f>SUM(J$38,J$39,J$40,J$41,J$42,J$43,J$44,J$45,J$46,J$47,J$48,J$49,J$50)</f>
        <v/>
      </c>
      <c r="K52" s="228">
        <f>SUM(K$38,K$39,K$40,K$41,K$42,K$43,K$44,K$45,K$46,K$47,K$48,K$49,K$50)</f>
        <v/>
      </c>
      <c r="L52" s="228">
        <f>SUM(L$38,L$39,L$40,L$41,L$42,L$43,L$44,L$45,L$46,L$47,L$48,L$49,L$50)</f>
        <v/>
      </c>
      <c r="M52" s="228">
        <f>SUM(M$38,M$39,M$40,M$41,M$42,M$43,M$44,M$45,M$46,M$47,M$48,M$49,M$50)</f>
        <v/>
      </c>
      <c r="N52" s="228">
        <f>SUM(N$38,N$39,N$40,N$41,N$42,N$43,N$44,N$45,N$46,N$47,N$48,N$49,N$50)</f>
        <v/>
      </c>
      <c r="O52" s="228">
        <f>SUM(O$38,O$39,O$40,O$41,O$42,O$43,O$44,O$45,O$46,O$47,O$48,O$49,O$50)</f>
        <v/>
      </c>
      <c r="P52" s="228">
        <f>SUM(P$38,P$39,P$40,P$41,P$42,P$43,P$44,P$45,P$46,P$47,P$48,P$49,P$50)</f>
        <v/>
      </c>
      <c r="Q52" s="228">
        <f>SUM(Q$38,Q$39,Q$40,Q$41,Q$42,Q$43,Q$44,Q$45,Q$46,Q$47,Q$48,Q$49,Q$50)</f>
        <v/>
      </c>
      <c r="R52" s="228">
        <f>SUM(R$38,R$39,R$40,R$41,R$42,R$43,R$44,R$45,R$46,R$47,R$48,R$49,R$50)</f>
        <v/>
      </c>
      <c r="S52" s="228">
        <f>SUM(S$38,S$39,S$40,S$41,S$42,S$43,S$44,S$45,S$46,S$47,S$48,S$49,S$50)</f>
        <v/>
      </c>
      <c r="T52" s="228">
        <f>SUM(T$38,T$39,T$40,T$41,T$42,T$43,T$44,T$45,T$46,T$47,T$48,T$49,T$50)</f>
        <v/>
      </c>
      <c r="U52" s="228">
        <f>SUM(U$38,U$39,U$40,U$41,U$42,U$43,U$44,U$45,U$46,U$47,U$48,U$49,U$50)</f>
        <v/>
      </c>
      <c r="V52" s="228">
        <f>SUM(V$38,V$39,V$40,V$41,V$42,V$43,V$44,V$45,V$46,V$47,V$48,V$49,V$50)</f>
        <v/>
      </c>
      <c r="W52" s="228">
        <f>SUM(W$38,W$39,W$40,W$41,W$42,W$43,W$44,W$45,W$46,W$47,W$48,W$49,W$50)</f>
        <v/>
      </c>
      <c r="X52" s="228">
        <f>SUM(X$38,X$39,X$40,X$41,X$42,X$43,X$44,X$45,X$46,X$47,X$48,X$49,X$50)</f>
        <v/>
      </c>
      <c r="Y52" s="228">
        <f>SUM(Y$38,Y$39,Y$40,Y$41,Y$42,Y$43,Y$44,Y$45,Y$46,Y$47,Y$48,Y$49,Y$50)</f>
        <v/>
      </c>
      <c r="Z52" s="228">
        <f>SUM(Z$38,Z$39,Z$40,Z$41,Z$42,Z$43,Z$44,Z$45,Z$46,Z$47,Z$48,Z$49,Z$50)</f>
        <v/>
      </c>
      <c r="AA52" s="228">
        <f>SUM(AA$38,AA$39,AA$40,AA$41,AA$42,AA$43,AA$44,AA$45,AA$46,AA$47,AA$48,AA$49,AA$50)</f>
        <v/>
      </c>
      <c r="AB52" s="228">
        <f>SUM(AB$38,AB$39,AB$40,AB$41,AB$42,AB$43,AB$44,AB$45,AB$46,AB$47,AB$48,AB$49,AB$50)</f>
        <v/>
      </c>
      <c r="AC52" s="228">
        <f>SUM(AC$38,AC$39,AC$40,AC$41,AC$42,AC$43,AC$44,AC$45,AC$46,AC$47,AC$48,AC$49,AC$50)</f>
        <v/>
      </c>
      <c r="AD52" s="228">
        <f>SUM(AD$38,AD$39,AD$40,AD$41,AD$42,AD$43,AD$44,AD$45,AD$46,AD$47,AD$48,AD$49,AD$50)</f>
        <v/>
      </c>
      <c r="AE52" s="228">
        <f>SUM(AE$38,AE$39,AE$40,AE$41,AE$42,AE$43,AE$44,AE$45,AE$46,AE$47,AE$48,AE$49,AE$50)</f>
        <v/>
      </c>
      <c r="AF52" s="228">
        <f>SUM(AF$38,AF$39,AF$40,AF$41,AF$42,AF$43,AF$44,AF$45,AF$46,AF$47,AF$48,AF$49,AF$50)</f>
        <v/>
      </c>
      <c r="AG52" s="228">
        <f>SUM(AG$38,AG$39,AG$40,AG$41,AG$42,AG$43,AG$44,AG$45,AG$46,AG$47,AG$48,AG$49,AG$50)</f>
        <v/>
      </c>
      <c r="AH52" s="228">
        <f>SUM(AH$38,AH$39,AH$40,AH$41,AH$42,AH$43,AH$44,AH$45,AH$46,AH$47,AH$48,AH$49,AH$50)</f>
        <v/>
      </c>
      <c r="AI52" s="228">
        <f>SUM(AI$38,AI$39,AI$40,AI$41,AI$42,AI$43,AI$44,AI$45,AI$46,AI$47,AI$48,AI$49,AI$50)</f>
        <v/>
      </c>
      <c r="AJ52" s="228">
        <f>SUM(AJ$38,AJ$39,AJ$40,AJ$41,AJ$42,AJ$43,AJ$44,AJ$45,AJ$46,AJ$47,AJ$48,AJ$49,AJ$50)</f>
        <v/>
      </c>
      <c r="AK52" s="228">
        <f>SUM(AK$38,AK$39,AK$40,AK$41,AK$42,AK$43,AK$44,AK$45,AK$46,AK$47,AK$48,AK$49,AK$50)</f>
        <v/>
      </c>
      <c r="AL52" s="228">
        <f>SUM(AL$38,AL$39,AL$40,AL$41,AL$42,AL$43,AL$44,AL$45,AL$46,AL$47,AL$48,AL$49,AL$50)</f>
        <v/>
      </c>
      <c r="AM52" s="228">
        <f>SUM(AM$38,AM$39,AM$40,AM$41,AM$42,AM$43,AM$44,AM$45,AM$46,AM$47,AM$48,AM$49,AM$50)</f>
        <v/>
      </c>
      <c r="AN52" s="228">
        <f>SUM(AN$38,AN$39,AN$40,AN$41,AN$42,AN$43,AN$44,AN$45,AN$46,AN$47,AN$48,AN$49,AN$50)</f>
        <v/>
      </c>
      <c r="AO52" s="228">
        <f>SUM(AO$38,AO$39,AO$40,AO$41,AO$42,AO$43,AO$44,AO$45,AO$46,AO$47,AO$48,AO$49,AO$50)</f>
        <v/>
      </c>
      <c r="AP52" s="228">
        <f>SUM(AP$38,AP$39,AP$40,AP$41,AP$42,AP$43,AP$44,AP$45,AP$46,AP$47,AP$48,AP$49,AP$50)</f>
        <v/>
      </c>
      <c r="AQ52" s="228">
        <f>SUM(AQ$38,AQ$39,AQ$40,AQ$41,AQ$42,AQ$43,AQ$44,AQ$45,AQ$46,AQ$47,AQ$48,AQ$49,AQ$50)</f>
        <v/>
      </c>
      <c r="AR52" s="228">
        <f>SUM(AR$38,AR$39,AR$40,AR$41,AR$42,AR$43,AR$44,AR$45,AR$46,AR$47,AR$48,AR$49,AR$50)</f>
        <v/>
      </c>
      <c r="AS52" s="228">
        <f>SUM(AS$38,AS$39,AS$40,AS$41,AS$42,AS$43,AS$44,AS$45,AS$46,AS$47,AS$48,AS$49,AS$50)</f>
        <v/>
      </c>
      <c r="AT52" s="228">
        <f>SUM(AT$38,AT$39,AT$40,AT$41,AT$42,AT$43,AT$44,AT$45,AT$46,AT$47,AT$48,AT$49,AT$50)</f>
        <v/>
      </c>
      <c r="AU52" s="228">
        <f>SUM(AU$38,AU$39,AU$40,AU$41,AU$42,AU$43,AU$44,AU$45,AU$46,AU$47,AU$48,AU$49,AU$50)</f>
        <v/>
      </c>
      <c r="AV52" s="228">
        <f>SUM(AV$38,AV$39,AV$40,AV$41,AV$42,AV$43,AV$44,AV$45,AV$46,AV$47,AV$48,AV$49,AV$50)</f>
        <v/>
      </c>
      <c r="AW52" s="228">
        <f>SUM(AW$38,AW$39,AW$40,AW$41,AW$42,AW$43,AW$44,AW$45,AW$46,AW$47,AW$48,AW$49,AW$50)</f>
        <v/>
      </c>
      <c r="AX52" s="228">
        <f>SUM(AX$38,AX$39,AX$40,AX$41,AX$42,AX$43,AX$44,AX$45,AX$46,AX$47,AX$48,AX$49,AX$50)</f>
        <v/>
      </c>
      <c r="AY52" s="228">
        <f>SUM(AY$38,AY$39,AY$40,AY$41,AY$42,AY$43,AY$44,AY$45,AY$46,AY$47,AY$48,AY$49,AY$50)</f>
        <v/>
      </c>
      <c r="AZ52" s="228">
        <f>SUM(AZ$38,AZ$39,AZ$40,AZ$41,AZ$42,AZ$43,AZ$44,AZ$45,AZ$46,AZ$47,AZ$48,AZ$49,AZ$50)</f>
        <v/>
      </c>
      <c r="BA52" s="228">
        <f>SUM(BA$38,BA$39,BA$40,BA$41,BA$42,BA$43,BA$44,BA$45,BA$46,BA$47,BA$48,BA$49,BA$50)</f>
        <v/>
      </c>
      <c r="BB52" s="228">
        <f>SUM(BB$38,BB$39,BB$40,BB$41,BB$42,BB$43,BB$44,BB$45,BB$46,BB$47,BB$48,BB$49,BB$50)</f>
        <v/>
      </c>
      <c r="BC52" s="228">
        <f>SUM(BC$38,BC$39,BC$40,BC$41,BC$42,BC$43,BC$44,BC$45,BC$46,BC$47,BC$48,BC$49,BC$50)</f>
        <v/>
      </c>
      <c r="BD52" s="228">
        <f>SUM(BD$38,BD$39,BD$40,BD$41,BD$42,BD$43,BD$44,BD$45,BD$46,BD$47,BD$48,BD$49,BD$50)</f>
        <v/>
      </c>
      <c r="BE52" s="228">
        <f>SUM(BE$38,BE$39,BE$40,BE$41,BE$42,BE$43,BE$44,BE$45,BE$46,BE$47,BE$48,BE$49,BE$50)</f>
        <v/>
      </c>
      <c r="BF52" s="228">
        <f>SUM(BF$38,BF$39,BF$40,BF$41,BF$42,BF$43,BF$44,BF$45,BF$46,BF$47,BF$48,BF$49,BF$50)</f>
        <v/>
      </c>
      <c r="BG52" s="228">
        <f>SUM(BG$38,BG$39,BG$40,BG$41,BG$42,BG$43,BG$44,BG$45,BG$46,BG$47,BG$48,BG$49,BG$50)</f>
        <v/>
      </c>
      <c r="BH52" s="228">
        <f>SUM(BH$38,BH$39,BH$40,BH$41,BH$42,BH$43,BH$44,BH$45,BH$46,BH$47,BH$48,BH$49,BH$50)</f>
        <v/>
      </c>
      <c r="BI52" s="228">
        <f>SUM(BI$38,BI$39,BI$40,BI$41,BI$42,BI$43,BI$44,BI$45,BI$46,BI$47,BI$48,BI$49,BI$50)</f>
        <v/>
      </c>
      <c r="BJ52" s="228">
        <f>SUM(BJ$38,BJ$39,BJ$40,BJ$41,BJ$42,BJ$43,BJ$44,BJ$45,BJ$46,BJ$47,BJ$48,BJ$49,BJ$50)</f>
        <v/>
      </c>
      <c r="BK52" s="228">
        <f>SUM(BK$38,BK$39,BK$40,BK$41,BK$42,BK$43,BK$44,BK$45,BK$46,BK$47,BK$48,BK$49,BK$50)</f>
        <v/>
      </c>
      <c r="BL52" s="228">
        <f>SUM(BL$38,BL$39,BL$40,BL$41,BL$42,BL$43,BL$44,BL$45,BL$46,BL$47,BL$48,BL$49,BL$50)</f>
        <v/>
      </c>
      <c r="BM52" s="228">
        <f>SUM(BM$38,BM$39,BM$40,BM$41,BM$42,BM$43,BM$44,BM$45,BM$46,BM$47,BM$48,BM$49,BM$50)</f>
        <v/>
      </c>
      <c r="BN52" s="228">
        <f>SUM(BN$38,BN$39,BN$40,BN$41,BN$42,BN$43,BN$44,BN$45,BN$46,BN$47,BN$48,BN$49,BN$50)</f>
        <v/>
      </c>
      <c r="BO52" s="228">
        <f>SUM(BO$38,BO$39,BO$40,BO$41,BO$42,BO$43,BO$44,BO$45,BO$46,BO$47,BO$48,BO$49,BO$50)</f>
        <v/>
      </c>
      <c r="BP52" s="228">
        <f>SUM(BP$38,BP$39,BP$40,BP$41,BP$42,BP$43,BP$44,BP$45,BP$46,BP$47,BP$48,BP$49,BP$50)</f>
        <v/>
      </c>
      <c r="BQ52" s="228">
        <f>SUM(BQ$38,BQ$39,BQ$40,BQ$41,BQ$42,BQ$43,BQ$44,BQ$45,BQ$46,BQ$47,BQ$48,BQ$49,BQ$50)</f>
        <v/>
      </c>
      <c r="BR52" s="228">
        <f>SUM(BR$38,BR$39,BR$40,BR$41,BR$42,BR$43,BR$44,BR$45,BR$46,BR$47,BR$48,BR$49,BR$50)</f>
        <v/>
      </c>
      <c r="BS52" s="228">
        <f>SUM(BS$38,BS$39,BS$40,BS$41,BS$42,BS$43,BS$44,BS$45,BS$46,BS$47,BS$48,BS$49,BS$50)</f>
        <v/>
      </c>
      <c r="BT52" s="228">
        <f>SUM(BT$38,BT$39,BT$40,BT$41,BT$42,BT$43,BT$44,BT$45,BT$46,BT$47,BT$48,BT$49,BT$50)</f>
        <v/>
      </c>
      <c r="BU52" s="228">
        <f>SUM(BU$38,BU$39,BU$40,BU$41,BU$42,BU$43,BU$44,BU$45,BU$46,BU$47,BU$48,BU$49,BU$50)</f>
        <v/>
      </c>
      <c r="BV52" s="228">
        <f>SUM(BV$38,BV$39,BV$40,BV$41,BV$42,BV$43,BV$44,BV$45,BV$46,BV$47,BV$48,BV$49,BV$50)</f>
        <v/>
      </c>
      <c r="BW52" s="228">
        <f>SUM(BW$38,BW$39,BW$40,BW$41,BW$42,BW$43,BW$44,BW$45,BW$46,BW$47,BW$48,BW$49,BW$50)</f>
        <v/>
      </c>
      <c r="BX52" s="228">
        <f>SUM(BX$38,BX$39,BX$40,BX$41,BX$42,BX$43,BX$44,BX$45,BX$46,BX$47,BX$48,BX$49,BX$50)</f>
        <v/>
      </c>
      <c r="BY52" s="228">
        <f>SUM(BY$38,BY$39,BY$40,BY$41,BY$42,BY$43,BY$44,BY$45,BY$46,BY$47,BY$48,BY$49,BY$50)</f>
        <v/>
      </c>
      <c r="BZ52" s="228">
        <f>SUM(BZ$38,BZ$39,BZ$40,BZ$41,BZ$42,BZ$43,BZ$44,BZ$45,BZ$46,BZ$47,BZ$48,BZ$49,BZ$50)</f>
        <v/>
      </c>
      <c r="CA52" s="228">
        <f>SUM(CA$38,CA$39,CA$40,CA$41,CA$42,CA$43,CA$44,CA$45,CA$46,CA$47,CA$48,CA$49,CA$50)</f>
        <v/>
      </c>
      <c r="CB52" s="228">
        <f>SUM(CB$38,CB$39,CB$40,CB$41,CB$42,CB$43,CB$44,CB$45,CB$46,CB$47,CB$48,CB$49,CB$50)</f>
        <v/>
      </c>
      <c r="CC52" s="228">
        <f>SUM(CC$38,CC$39,CC$40,CC$41,CC$42,CC$43,CC$44,CC$45,CC$46,CC$47,CC$48,CC$49,CC$50)</f>
        <v/>
      </c>
      <c r="CD52" s="228">
        <f>SUM(CD$38,CD$39,CD$40,CD$41,CD$42,CD$43,CD$44,CD$45,CD$46,CD$47,CD$48,CD$49,CD$50)</f>
        <v/>
      </c>
      <c r="CE52" s="228">
        <f>SUM(CE$38,CE$39,CE$40,CE$41,CE$42,CE$43,CE$44,CE$45,CE$46,CE$47,CE$48,CE$49,CE$50)</f>
        <v/>
      </c>
      <c r="CF52" s="228">
        <f>SUM(CF$38,CF$39,CF$40,CF$41,CF$42,CF$43,CF$44,CF$45,CF$46,CF$47,CF$48,CF$49,CF$50)</f>
        <v/>
      </c>
      <c r="CG52" s="228">
        <f>SUM(CG$38,CG$39,CG$40,CG$41,CG$42,CG$43,CG$44,CG$45,CG$46,CG$47,CG$48,CG$49,CG$50)</f>
        <v/>
      </c>
      <c r="CH52" s="228">
        <f>SUM(CH$38,CH$39,CH$40,CH$41,CH$42,CH$43,CH$44,CH$45,CH$46,CH$47,CH$48,CH$49,CH$50)</f>
        <v/>
      </c>
      <c r="CI52" s="228">
        <f>SUM(CI$38,CI$39,CI$40,CI$41,CI$42,CI$43,CI$44,CI$45,CI$46,CI$47,CI$48,CI$49,CI$50)</f>
        <v/>
      </c>
      <c r="CJ52" s="228">
        <f>SUM(CJ$38,CJ$39,CJ$40,CJ$41,CJ$42,CJ$43,CJ$44,CJ$45,CJ$46,CJ$47,CJ$48,CJ$49,CJ$50)</f>
        <v/>
      </c>
      <c r="CK52" s="228">
        <f>SUM(CK$38,CK$39,CK$40,CK$41,CK$42,CK$43,CK$44,CK$45,CK$46,CK$47,CK$48,CK$49,CK$50)</f>
        <v/>
      </c>
      <c r="CL52" s="228">
        <f>SUM(CL$38,CL$39,CL$40,CL$41,CL$42,CL$43,CL$44,CL$45,CL$46,CL$47,CL$48,CL$49,CL$50)</f>
        <v/>
      </c>
      <c r="CM52" s="228">
        <f>SUM(CM$38,CM$39,CM$40,CM$41,CM$42,CM$43,CM$44,CM$45,CM$46,CM$47,CM$48,CM$49,CM$50)</f>
        <v/>
      </c>
      <c r="CN52" s="228">
        <f>SUM(CN$38,CN$39,CN$40,CN$41,CN$42,CN$43,CN$44,CN$45,CN$46,CN$47,CN$48,CN$49,CN$50)</f>
        <v/>
      </c>
      <c r="CO52" s="228">
        <f>SUM(CO$38,CO$39,CO$40,CO$41,CO$42,CO$43,CO$44,CO$45,CO$46,CO$47,CO$48,CO$49,CO$50)</f>
        <v/>
      </c>
      <c r="CP52" s="228">
        <f>SUM(CP$38,CP$39,CP$40,CP$41,CP$42,CP$43,CP$44,CP$45,CP$46,CP$47,CP$48,CP$49,CP$50)</f>
        <v/>
      </c>
      <c r="CQ52" s="228">
        <f>SUM(CQ$38,CQ$39,CQ$40,CQ$41,CQ$42,CQ$43,CQ$44,CQ$45,CQ$46,CQ$47,CQ$48,CQ$49,CQ$50)</f>
        <v/>
      </c>
      <c r="CR52" s="228">
        <f>SUM(CR$38,CR$39,CR$40,CR$41,CR$42,CR$43,CR$44,CR$45,CR$46,CR$47,CR$48,CR$49,CR$50)</f>
        <v/>
      </c>
      <c r="CS52" s="228">
        <f>SUM(CS$38,CS$39,CS$40,CS$41,CS$42,CS$43,CS$44,CS$45,CS$46,CS$47,CS$48,CS$49,CS$50)</f>
        <v/>
      </c>
      <c r="CT52" s="228">
        <f>SUM(CT$38,CT$39,CT$40,CT$41,CT$42,CT$43,CT$44,CT$45,CT$46,CT$47,CT$48,CT$49,CT$50)</f>
        <v/>
      </c>
      <c r="CU52" s="228">
        <f>SUM(CU$38,CU$39,CU$40,CU$41,CU$42,CU$43,CU$44,CU$45,CU$46,CU$47,CU$48,CU$49,CU$50)</f>
        <v/>
      </c>
      <c r="CV52" s="228">
        <f>SUM(CV$38,CV$39,CV$40,CV$41,CV$42,CV$43,CV$44,CV$45,CV$46,CV$47,CV$48,CV$49,CV$50)</f>
        <v/>
      </c>
      <c r="CW52" s="228">
        <f>SUM(CW$38,CW$39,CW$40,CW$41,CW$42,CW$43,CW$44,CW$45,CW$46,CW$47,CW$48,CW$49,CW$50)</f>
        <v/>
      </c>
      <c r="CX52" s="228">
        <f>SUM(CX$38,CX$39,CX$40,CX$41,CX$42,CX$43,CX$44,CX$45,CX$46,CX$47,CX$48,CX$49,CX$50)</f>
        <v/>
      </c>
      <c r="CY52" s="228">
        <f>SUM(CY$38,CY$39,CY$40,CY$41,CY$42,CY$43,CY$44,CY$45,CY$46,CY$47,CY$48,CY$49,CY$50)</f>
        <v/>
      </c>
      <c r="CZ52" s="228">
        <f>SUM(CZ$38,CZ$39,CZ$40,CZ$41,CZ$42,CZ$43,CZ$44,CZ$45,CZ$46,CZ$47,CZ$48,CZ$49,CZ$50)</f>
        <v/>
      </c>
      <c r="DA52" s="228">
        <f>SUM(DA$38,DA$39,DA$40,DA$41,DA$42,DA$43,DA$44,DA$45,DA$46,DA$47,DA$48,DA$49,DA$50)</f>
        <v/>
      </c>
      <c r="DB52" s="228">
        <f>SUM(DB$38,DB$39,DB$40,DB$41,DB$42,DB$43,DB$44,DB$45,DB$46,DB$47,DB$48,DB$49,DB$50)</f>
        <v/>
      </c>
      <c r="DC52" s="228">
        <f>SUM(DC$38,DC$39,DC$40,DC$41,DC$42,DC$43,DC$44,DC$45,DC$46,DC$47,DC$48,DC$49,DC$50)</f>
        <v/>
      </c>
      <c r="DD52" s="228">
        <f>SUM(DD$38,DD$39,DD$40,DD$41,DD$42,DD$43,DD$44,DD$45,DD$46,DD$47,DD$48,DD$49,DD$50)</f>
        <v/>
      </c>
      <c r="DE52" s="228">
        <f>SUM(DE$38,DE$39,DE$40,DE$41,DE$42,DE$43,DE$44,DE$45,DE$46,DE$47,DE$48,DE$49,DE$50)</f>
        <v/>
      </c>
      <c r="DF52" s="228">
        <f>SUM(DF$38,DF$39,DF$40,DF$41,DF$42,DF$43,DF$44,DF$45,DF$46,DF$47,DF$48,DF$49,DF$50)</f>
        <v/>
      </c>
      <c r="DG52" s="228">
        <f>SUM(DG$38,DG$39,DG$40,DG$41,DG$42,DG$43,DG$44,DG$45,DG$46,DG$47,DG$48,DG$49,DG$50)</f>
        <v/>
      </c>
      <c r="DH52" s="228">
        <f>SUM(DH$38,DH$39,DH$40,DH$41,DH$42,DH$43,DH$44,DH$45,DH$46,DH$47,DH$48,DH$49,DH$50)</f>
        <v/>
      </c>
      <c r="DI52" s="228">
        <f>SUM(DI$38,DI$39,DI$40,DI$41,DI$42,DI$43,DI$44,DI$45,DI$46,DI$47,DI$48,DI$49,DI$50)</f>
        <v/>
      </c>
      <c r="DJ52" s="228">
        <f>SUM(DJ$38,DJ$39,DJ$40,DJ$41,DJ$42,DJ$43,DJ$44,DJ$45,DJ$46,DJ$47,DJ$48,DJ$49,DJ$50)</f>
        <v/>
      </c>
      <c r="DK52" s="228">
        <f>SUM(DK$38,DK$39,DK$40,DK$41,DK$42,DK$43,DK$44,DK$45,DK$46,DK$47,DK$48,DK$49,DK$50)</f>
        <v/>
      </c>
      <c r="DL52" s="228">
        <f>SUM(DL$38,DL$39,DL$40,DL$41,DL$42,DL$43,DL$44,DL$45,DL$46,DL$47,DL$48,DL$49,DL$50)</f>
        <v/>
      </c>
      <c r="DM52" s="228">
        <f>SUM(DM$38,DM$39,DM$40,DM$41,DM$42,DM$43,DM$44,DM$45,DM$46,DM$47,DM$48,DM$49,DM$50)</f>
        <v/>
      </c>
      <c r="DN52" s="228">
        <f>SUM(DN$38,DN$39,DN$40,DN$41,DN$42,DN$43,DN$44,DN$45,DN$46,DN$47,DN$48,DN$49,DN$50)</f>
        <v/>
      </c>
      <c r="DO52" s="228">
        <f>SUM(DO$38,DO$39,DO$40,DO$41,DO$42,DO$43,DO$44,DO$45,DO$46,DO$47,DO$48,DO$49,DO$50)</f>
        <v/>
      </c>
      <c r="DP52" s="228">
        <f>SUM(DP$38,DP$39,DP$40,DP$41,DP$42,DP$43,DP$44,DP$45,DP$46,DP$47,DP$48,DP$49,DP$50)</f>
        <v/>
      </c>
      <c r="DQ52" s="228">
        <f>SUM(DQ$38,DQ$39,DQ$40,DQ$41,DQ$42,DQ$43,DQ$44,DQ$45,DQ$46,DQ$47,DQ$48,DQ$49,DQ$50)</f>
        <v/>
      </c>
      <c r="DR52" s="228">
        <f>SUM(DR$38,DR$39,DR$40,DR$41,DR$42,DR$43,DR$44,DR$45,DR$46,DR$47,DR$48,DR$49,DR$50)</f>
        <v/>
      </c>
      <c r="DS52" s="228">
        <f>SUM(DS$38,DS$39,DS$40,DS$41,DS$42,DS$43,DS$44,DS$45,DS$46,DS$47,DS$48,DS$49,DS$50)</f>
        <v/>
      </c>
      <c r="DT52" s="228">
        <f>SUM(DT$38,DT$39,DT$40,DT$41,DT$42,DT$43,DT$44,DT$45,DT$46,DT$47,DT$48,DT$49,DT$50)</f>
        <v/>
      </c>
    </row>
    <row r="53" ht="15" customHeight="1" s="148">
      <c r="A53" s="110" t="inlineStr">
        <is>
          <t>Non-Recoverable OpEx (Annual)</t>
        </is>
      </c>
      <c r="C53" s="228">
        <f>SUM(D53:DT53)</f>
        <v/>
      </c>
      <c r="D53" s="228">
        <f>IF(D$11=0,0,-ROUND(Assumptions!$P$26*(1+Assumptions!$P$38)^(D$9-1)/12,0))</f>
        <v/>
      </c>
      <c r="E53" s="228">
        <f>IF(E$11=0,0,-ROUND(Assumptions!$P$26*(1+Assumptions!$P$38)^(E$9-1)/12,0))</f>
        <v/>
      </c>
      <c r="F53" s="228">
        <f>IF(F$11=0,0,-ROUND(Assumptions!$P$26*(1+Assumptions!$P$38)^(F$9-1)/12,0))</f>
        <v/>
      </c>
      <c r="G53" s="228">
        <f>IF(G$11=0,0,-ROUND(Assumptions!$P$26*(1+Assumptions!$P$38)^(G$9-1)/12,0))</f>
        <v/>
      </c>
      <c r="H53" s="228">
        <f>IF(H$11=0,0,-ROUND(Assumptions!$P$26*(1+Assumptions!$P$38)^(H$9-1)/12,0))</f>
        <v/>
      </c>
      <c r="I53" s="228">
        <f>IF(I$11=0,0,-ROUND(Assumptions!$P$26*(1+Assumptions!$P$38)^(I$9-1)/12,0))</f>
        <v/>
      </c>
      <c r="J53" s="228">
        <f>IF(J$11=0,0,-ROUND(Assumptions!$P$26*(1+Assumptions!$P$38)^(J$9-1)/12,0))</f>
        <v/>
      </c>
      <c r="K53" s="228">
        <f>IF(K$11=0,0,-ROUND(Assumptions!$P$26*(1+Assumptions!$P$38)^(K$9-1)/12,0))</f>
        <v/>
      </c>
      <c r="L53" s="228">
        <f>IF(L$11=0,0,-ROUND(Assumptions!$P$26*(1+Assumptions!$P$38)^(L$9-1)/12,0))</f>
        <v/>
      </c>
      <c r="M53" s="228">
        <f>IF(M$11=0,0,-ROUND(Assumptions!$P$26*(1+Assumptions!$P$38)^(M$9-1)/12,0))</f>
        <v/>
      </c>
      <c r="N53" s="228">
        <f>IF(N$11=0,0,-ROUND(Assumptions!$P$26*(1+Assumptions!$P$38)^(N$9-1)/12,0))</f>
        <v/>
      </c>
      <c r="O53" s="228">
        <f>IF(O$11=0,0,-ROUND(Assumptions!$P$26*(1+Assumptions!$P$38)^(O$9-1)/12,0))</f>
        <v/>
      </c>
      <c r="P53" s="228">
        <f>IF(P$11=0,0,-ROUND(Assumptions!$P$26*(1+Assumptions!$P$38)^(P$9-1)/12,0))</f>
        <v/>
      </c>
      <c r="Q53" s="228">
        <f>IF(Q$11=0,0,-ROUND(Assumptions!$P$26*(1+Assumptions!$P$38)^(Q$9-1)/12,0))</f>
        <v/>
      </c>
      <c r="R53" s="228">
        <f>IF(R$11=0,0,-ROUND(Assumptions!$P$26*(1+Assumptions!$P$38)^(R$9-1)/12,0))</f>
        <v/>
      </c>
      <c r="S53" s="228">
        <f>IF(S$11=0,0,-ROUND(Assumptions!$P$26*(1+Assumptions!$P$38)^(S$9-1)/12,0))</f>
        <v/>
      </c>
      <c r="T53" s="228">
        <f>IF(T$11=0,0,-ROUND(Assumptions!$P$26*(1+Assumptions!$P$38)^(T$9-1)/12,0))</f>
        <v/>
      </c>
      <c r="U53" s="228">
        <f>IF(U$11=0,0,-ROUND(Assumptions!$P$26*(1+Assumptions!$P$38)^(U$9-1)/12,0))</f>
        <v/>
      </c>
      <c r="V53" s="228">
        <f>IF(V$11=0,0,-ROUND(Assumptions!$P$26*(1+Assumptions!$P$38)^(V$9-1)/12,0))</f>
        <v/>
      </c>
      <c r="W53" s="228">
        <f>IF(W$11=0,0,-ROUND(Assumptions!$P$26*(1+Assumptions!$P$38)^(W$9-1)/12,0))</f>
        <v/>
      </c>
      <c r="X53" s="228">
        <f>IF(X$11=0,0,-ROUND(Assumptions!$P$26*(1+Assumptions!$P$38)^(X$9-1)/12,0))</f>
        <v/>
      </c>
      <c r="Y53" s="228">
        <f>IF(Y$11=0,0,-ROUND(Assumptions!$P$26*(1+Assumptions!$P$38)^(Y$9-1)/12,0))</f>
        <v/>
      </c>
      <c r="Z53" s="228">
        <f>IF(Z$11=0,0,-ROUND(Assumptions!$P$26*(1+Assumptions!$P$38)^(Z$9-1)/12,0))</f>
        <v/>
      </c>
      <c r="AA53" s="228">
        <f>IF(AA$11=0,0,-ROUND(Assumptions!$P$26*(1+Assumptions!$P$38)^(AA$9-1)/12,0))</f>
        <v/>
      </c>
      <c r="AB53" s="228">
        <f>IF(AB$11=0,0,-ROUND(Assumptions!$P$26*(1+Assumptions!$P$38)^(AB$9-1)/12,0))</f>
        <v/>
      </c>
      <c r="AC53" s="228">
        <f>IF(AC$11=0,0,-ROUND(Assumptions!$P$26*(1+Assumptions!$P$38)^(AC$9-1)/12,0))</f>
        <v/>
      </c>
      <c r="AD53" s="228">
        <f>IF(AD$11=0,0,-ROUND(Assumptions!$P$26*(1+Assumptions!$P$38)^(AD$9-1)/12,0))</f>
        <v/>
      </c>
      <c r="AE53" s="228">
        <f>IF(AE$11=0,0,-ROUND(Assumptions!$P$26*(1+Assumptions!$P$38)^(AE$9-1)/12,0))</f>
        <v/>
      </c>
      <c r="AF53" s="228">
        <f>IF(AF$11=0,0,-ROUND(Assumptions!$P$26*(1+Assumptions!$P$38)^(AF$9-1)/12,0))</f>
        <v/>
      </c>
      <c r="AG53" s="228">
        <f>IF(AG$11=0,0,-ROUND(Assumptions!$P$26*(1+Assumptions!$P$38)^(AG$9-1)/12,0))</f>
        <v/>
      </c>
      <c r="AH53" s="228">
        <f>IF(AH$11=0,0,-ROUND(Assumptions!$P$26*(1+Assumptions!$P$38)^(AH$9-1)/12,0))</f>
        <v/>
      </c>
      <c r="AI53" s="228">
        <f>IF(AI$11=0,0,-ROUND(Assumptions!$P$26*(1+Assumptions!$P$38)^(AI$9-1)/12,0))</f>
        <v/>
      </c>
      <c r="AJ53" s="228">
        <f>IF(AJ$11=0,0,-ROUND(Assumptions!$P$26*(1+Assumptions!$P$38)^(AJ$9-1)/12,0))</f>
        <v/>
      </c>
      <c r="AK53" s="228">
        <f>IF(AK$11=0,0,-ROUND(Assumptions!$P$26*(1+Assumptions!$P$38)^(AK$9-1)/12,0))</f>
        <v/>
      </c>
      <c r="AL53" s="228">
        <f>IF(AL$11=0,0,-ROUND(Assumptions!$P$26*(1+Assumptions!$P$38)^(AL$9-1)/12,0))</f>
        <v/>
      </c>
      <c r="AM53" s="228">
        <f>IF(AM$11=0,0,-ROUND(Assumptions!$P$26*(1+Assumptions!$P$38)^(AM$9-1)/12,0))</f>
        <v/>
      </c>
      <c r="AN53" s="228">
        <f>IF(AN$11=0,0,-ROUND(Assumptions!$P$26*(1+Assumptions!$P$38)^(AN$9-1)/12,0))</f>
        <v/>
      </c>
      <c r="AO53" s="228">
        <f>IF(AO$11=0,0,-ROUND(Assumptions!$P$26*(1+Assumptions!$P$38)^(AO$9-1)/12,0))</f>
        <v/>
      </c>
      <c r="AP53" s="228">
        <f>IF(AP$11=0,0,-ROUND(Assumptions!$P$26*(1+Assumptions!$P$38)^(AP$9-1)/12,0))</f>
        <v/>
      </c>
      <c r="AQ53" s="228">
        <f>IF(AQ$11=0,0,-ROUND(Assumptions!$P$26*(1+Assumptions!$P$38)^(AQ$9-1)/12,0))</f>
        <v/>
      </c>
      <c r="AR53" s="228">
        <f>IF(AR$11=0,0,-ROUND(Assumptions!$P$26*(1+Assumptions!$P$38)^(AR$9-1)/12,0))</f>
        <v/>
      </c>
      <c r="AS53" s="228">
        <f>IF(AS$11=0,0,-ROUND(Assumptions!$P$26*(1+Assumptions!$P$38)^(AS$9-1)/12,0))</f>
        <v/>
      </c>
      <c r="AT53" s="228">
        <f>IF(AT$11=0,0,-ROUND(Assumptions!$P$26*(1+Assumptions!$P$38)^(AT$9-1)/12,0))</f>
        <v/>
      </c>
      <c r="AU53" s="228">
        <f>IF(AU$11=0,0,-ROUND(Assumptions!$P$26*(1+Assumptions!$P$38)^(AU$9-1)/12,0))</f>
        <v/>
      </c>
      <c r="AV53" s="228">
        <f>IF(AV$11=0,0,-ROUND(Assumptions!$P$26*(1+Assumptions!$P$38)^(AV$9-1)/12,0))</f>
        <v/>
      </c>
      <c r="AW53" s="228">
        <f>IF(AW$11=0,0,-ROUND(Assumptions!$P$26*(1+Assumptions!$P$38)^(AW$9-1)/12,0))</f>
        <v/>
      </c>
      <c r="AX53" s="228">
        <f>IF(AX$11=0,0,-ROUND(Assumptions!$P$26*(1+Assumptions!$P$38)^(AX$9-1)/12,0))</f>
        <v/>
      </c>
      <c r="AY53" s="228">
        <f>IF(AY$11=0,0,-ROUND(Assumptions!$P$26*(1+Assumptions!$P$38)^(AY$9-1)/12,0))</f>
        <v/>
      </c>
      <c r="AZ53" s="228">
        <f>IF(AZ$11=0,0,-ROUND(Assumptions!$P$26*(1+Assumptions!$P$38)^(AZ$9-1)/12,0))</f>
        <v/>
      </c>
      <c r="BA53" s="228">
        <f>IF(BA$11=0,0,-ROUND(Assumptions!$P$26*(1+Assumptions!$P$38)^(BA$9-1)/12,0))</f>
        <v/>
      </c>
      <c r="BB53" s="228">
        <f>IF(BB$11=0,0,-ROUND(Assumptions!$P$26*(1+Assumptions!$P$38)^(BB$9-1)/12,0))</f>
        <v/>
      </c>
      <c r="BC53" s="228">
        <f>IF(BC$11=0,0,-ROUND(Assumptions!$P$26*(1+Assumptions!$P$38)^(BC$9-1)/12,0))</f>
        <v/>
      </c>
      <c r="BD53" s="228">
        <f>IF(BD$11=0,0,-ROUND(Assumptions!$P$26*(1+Assumptions!$P$38)^(BD$9-1)/12,0))</f>
        <v/>
      </c>
      <c r="BE53" s="228">
        <f>IF(BE$11=0,0,-ROUND(Assumptions!$P$26*(1+Assumptions!$P$38)^(BE$9-1)/12,0))</f>
        <v/>
      </c>
      <c r="BF53" s="228">
        <f>IF(BF$11=0,0,-ROUND(Assumptions!$P$26*(1+Assumptions!$P$38)^(BF$9-1)/12,0))</f>
        <v/>
      </c>
      <c r="BG53" s="228">
        <f>IF(BG$11=0,0,-ROUND(Assumptions!$P$26*(1+Assumptions!$P$38)^(BG$9-1)/12,0))</f>
        <v/>
      </c>
      <c r="BH53" s="228">
        <f>IF(BH$11=0,0,-ROUND(Assumptions!$P$26*(1+Assumptions!$P$38)^(BH$9-1)/12,0))</f>
        <v/>
      </c>
      <c r="BI53" s="228">
        <f>IF(BI$11=0,0,-ROUND(Assumptions!$P$26*(1+Assumptions!$P$38)^(BI$9-1)/12,0))</f>
        <v/>
      </c>
      <c r="BJ53" s="228">
        <f>IF(BJ$11=0,0,-ROUND(Assumptions!$P$26*(1+Assumptions!$P$38)^(BJ$9-1)/12,0))</f>
        <v/>
      </c>
      <c r="BK53" s="228">
        <f>IF(BK$11=0,0,-ROUND(Assumptions!$P$26*(1+Assumptions!$P$38)^(BK$9-1)/12,0))</f>
        <v/>
      </c>
      <c r="BL53" s="228">
        <f>IF(BL$11=0,0,-ROUND(Assumptions!$P$26*(1+Assumptions!$P$38)^(BL$9-1)/12,0))</f>
        <v/>
      </c>
      <c r="BM53" s="228">
        <f>IF(BM$11=0,0,-ROUND(Assumptions!$P$26*(1+Assumptions!$P$38)^(BM$9-1)/12,0))</f>
        <v/>
      </c>
      <c r="BN53" s="228">
        <f>IF(BN$11=0,0,-ROUND(Assumptions!$P$26*(1+Assumptions!$P$38)^(BN$9-1)/12,0))</f>
        <v/>
      </c>
      <c r="BO53" s="228">
        <f>IF(BO$11=0,0,-ROUND(Assumptions!$P$26*(1+Assumptions!$P$38)^(BO$9-1)/12,0))</f>
        <v/>
      </c>
      <c r="BP53" s="228">
        <f>IF(BP$11=0,0,-ROUND(Assumptions!$P$26*(1+Assumptions!$P$38)^(BP$9-1)/12,0))</f>
        <v/>
      </c>
      <c r="BQ53" s="228">
        <f>IF(BQ$11=0,0,-ROUND(Assumptions!$P$26*(1+Assumptions!$P$38)^(BQ$9-1)/12,0))</f>
        <v/>
      </c>
      <c r="BR53" s="228">
        <f>IF(BR$11=0,0,-ROUND(Assumptions!$P$26*(1+Assumptions!$P$38)^(BR$9-1)/12,0))</f>
        <v/>
      </c>
      <c r="BS53" s="228">
        <f>IF(BS$11=0,0,-ROUND(Assumptions!$P$26*(1+Assumptions!$P$38)^(BS$9-1)/12,0))</f>
        <v/>
      </c>
      <c r="BT53" s="228">
        <f>IF(BT$11=0,0,-ROUND(Assumptions!$P$26*(1+Assumptions!$P$38)^(BT$9-1)/12,0))</f>
        <v/>
      </c>
      <c r="BU53" s="228">
        <f>IF(BU$11=0,0,-ROUND(Assumptions!$P$26*(1+Assumptions!$P$38)^(BU$9-1)/12,0))</f>
        <v/>
      </c>
      <c r="BV53" s="228">
        <f>IF(BV$11=0,0,-ROUND(Assumptions!$P$26*(1+Assumptions!$P$38)^(BV$9-1)/12,0))</f>
        <v/>
      </c>
      <c r="BW53" s="228">
        <f>IF(BW$11=0,0,-ROUND(Assumptions!$P$26*(1+Assumptions!$P$38)^(BW$9-1)/12,0))</f>
        <v/>
      </c>
      <c r="BX53" s="228">
        <f>IF(BX$11=0,0,-ROUND(Assumptions!$P$26*(1+Assumptions!$P$38)^(BX$9-1)/12,0))</f>
        <v/>
      </c>
      <c r="BY53" s="228">
        <f>IF(BY$11=0,0,-ROUND(Assumptions!$P$26*(1+Assumptions!$P$38)^(BY$9-1)/12,0))</f>
        <v/>
      </c>
      <c r="BZ53" s="228">
        <f>IF(BZ$11=0,0,-ROUND(Assumptions!$P$26*(1+Assumptions!$P$38)^(BZ$9-1)/12,0))</f>
        <v/>
      </c>
      <c r="CA53" s="228">
        <f>IF(CA$11=0,0,-ROUND(Assumptions!$P$26*(1+Assumptions!$P$38)^(CA$9-1)/12,0))</f>
        <v/>
      </c>
      <c r="CB53" s="228">
        <f>IF(CB$11=0,0,-ROUND(Assumptions!$P$26*(1+Assumptions!$P$38)^(CB$9-1)/12,0))</f>
        <v/>
      </c>
      <c r="CC53" s="228">
        <f>IF(CC$11=0,0,-ROUND(Assumptions!$P$26*(1+Assumptions!$P$38)^(CC$9-1)/12,0))</f>
        <v/>
      </c>
      <c r="CD53" s="228">
        <f>IF(CD$11=0,0,-ROUND(Assumptions!$P$26*(1+Assumptions!$P$38)^(CD$9-1)/12,0))</f>
        <v/>
      </c>
      <c r="CE53" s="228">
        <f>IF(CE$11=0,0,-ROUND(Assumptions!$P$26*(1+Assumptions!$P$38)^(CE$9-1)/12,0))</f>
        <v/>
      </c>
      <c r="CF53" s="228">
        <f>IF(CF$11=0,0,-ROUND(Assumptions!$P$26*(1+Assumptions!$P$38)^(CF$9-1)/12,0))</f>
        <v/>
      </c>
      <c r="CG53" s="228">
        <f>IF(CG$11=0,0,-ROUND(Assumptions!$P$26*(1+Assumptions!$P$38)^(CG$9-1)/12,0))</f>
        <v/>
      </c>
      <c r="CH53" s="228">
        <f>IF(CH$11=0,0,-ROUND(Assumptions!$P$26*(1+Assumptions!$P$38)^(CH$9-1)/12,0))</f>
        <v/>
      </c>
      <c r="CI53" s="228">
        <f>IF(CI$11=0,0,-ROUND(Assumptions!$P$26*(1+Assumptions!$P$38)^(CI$9-1)/12,0))</f>
        <v/>
      </c>
      <c r="CJ53" s="228">
        <f>IF(CJ$11=0,0,-ROUND(Assumptions!$P$26*(1+Assumptions!$P$38)^(CJ$9-1)/12,0))</f>
        <v/>
      </c>
      <c r="CK53" s="228">
        <f>IF(CK$11=0,0,-ROUND(Assumptions!$P$26*(1+Assumptions!$P$38)^(CK$9-1)/12,0))</f>
        <v/>
      </c>
      <c r="CL53" s="228">
        <f>IF(CL$11=0,0,-ROUND(Assumptions!$P$26*(1+Assumptions!$P$38)^(CL$9-1)/12,0))</f>
        <v/>
      </c>
      <c r="CM53" s="228">
        <f>IF(CM$11=0,0,-ROUND(Assumptions!$P$26*(1+Assumptions!$P$38)^(CM$9-1)/12,0))</f>
        <v/>
      </c>
      <c r="CN53" s="228">
        <f>IF(CN$11=0,0,-ROUND(Assumptions!$P$26*(1+Assumptions!$P$38)^(CN$9-1)/12,0))</f>
        <v/>
      </c>
      <c r="CO53" s="228">
        <f>IF(CO$11=0,0,-ROUND(Assumptions!$P$26*(1+Assumptions!$P$38)^(CO$9-1)/12,0))</f>
        <v/>
      </c>
      <c r="CP53" s="228">
        <f>IF(CP$11=0,0,-ROUND(Assumptions!$P$26*(1+Assumptions!$P$38)^(CP$9-1)/12,0))</f>
        <v/>
      </c>
      <c r="CQ53" s="228">
        <f>IF(CQ$11=0,0,-ROUND(Assumptions!$P$26*(1+Assumptions!$P$38)^(CQ$9-1)/12,0))</f>
        <v/>
      </c>
      <c r="CR53" s="228">
        <f>IF(CR$11=0,0,-ROUND(Assumptions!$P$26*(1+Assumptions!$P$38)^(CR$9-1)/12,0))</f>
        <v/>
      </c>
      <c r="CS53" s="228">
        <f>IF(CS$11=0,0,-ROUND(Assumptions!$P$26*(1+Assumptions!$P$38)^(CS$9-1)/12,0))</f>
        <v/>
      </c>
      <c r="CT53" s="228">
        <f>IF(CT$11=0,0,-ROUND(Assumptions!$P$26*(1+Assumptions!$P$38)^(CT$9-1)/12,0))</f>
        <v/>
      </c>
      <c r="CU53" s="228">
        <f>IF(CU$11=0,0,-ROUND(Assumptions!$P$26*(1+Assumptions!$P$38)^(CU$9-1)/12,0))</f>
        <v/>
      </c>
      <c r="CV53" s="228">
        <f>IF(CV$11=0,0,-ROUND(Assumptions!$P$26*(1+Assumptions!$P$38)^(CV$9-1)/12,0))</f>
        <v/>
      </c>
      <c r="CW53" s="228">
        <f>IF(CW$11=0,0,-ROUND(Assumptions!$P$26*(1+Assumptions!$P$38)^(CW$9-1)/12,0))</f>
        <v/>
      </c>
      <c r="CX53" s="228">
        <f>IF(CX$11=0,0,-ROUND(Assumptions!$P$26*(1+Assumptions!$P$38)^(CX$9-1)/12,0))</f>
        <v/>
      </c>
      <c r="CY53" s="228">
        <f>IF(CY$11=0,0,-ROUND(Assumptions!$P$26*(1+Assumptions!$P$38)^(CY$9-1)/12,0))</f>
        <v/>
      </c>
      <c r="CZ53" s="228">
        <f>IF(CZ$11=0,0,-ROUND(Assumptions!$P$26*(1+Assumptions!$P$38)^(CZ$9-1)/12,0))</f>
        <v/>
      </c>
      <c r="DA53" s="228">
        <f>IF(DA$11=0,0,-ROUND(Assumptions!$P$26*(1+Assumptions!$P$38)^(DA$9-1)/12,0))</f>
        <v/>
      </c>
      <c r="DB53" s="228">
        <f>IF(DB$11=0,0,-ROUND(Assumptions!$P$26*(1+Assumptions!$P$38)^(DB$9-1)/12,0))</f>
        <v/>
      </c>
      <c r="DC53" s="228">
        <f>IF(DC$11=0,0,-ROUND(Assumptions!$P$26*(1+Assumptions!$P$38)^(DC$9-1)/12,0))</f>
        <v/>
      </c>
      <c r="DD53" s="228">
        <f>IF(DD$11=0,0,-ROUND(Assumptions!$P$26*(1+Assumptions!$P$38)^(DD$9-1)/12,0))</f>
        <v/>
      </c>
      <c r="DE53" s="228">
        <f>IF(DE$11=0,0,-ROUND(Assumptions!$P$26*(1+Assumptions!$P$38)^(DE$9-1)/12,0))</f>
        <v/>
      </c>
      <c r="DF53" s="228">
        <f>IF(DF$11=0,0,-ROUND(Assumptions!$P$26*(1+Assumptions!$P$38)^(DF$9-1)/12,0))</f>
        <v/>
      </c>
      <c r="DG53" s="228">
        <f>IF(DG$11=0,0,-ROUND(Assumptions!$P$26*(1+Assumptions!$P$38)^(DG$9-1)/12,0))</f>
        <v/>
      </c>
      <c r="DH53" s="228">
        <f>IF(DH$11=0,0,-ROUND(Assumptions!$P$26*(1+Assumptions!$P$38)^(DH$9-1)/12,0))</f>
        <v/>
      </c>
      <c r="DI53" s="228">
        <f>IF(DI$11=0,0,-ROUND(Assumptions!$P$26*(1+Assumptions!$P$38)^(DI$9-1)/12,0))</f>
        <v/>
      </c>
      <c r="DJ53" s="228">
        <f>IF(DJ$11=0,0,-ROUND(Assumptions!$P$26*(1+Assumptions!$P$38)^(DJ$9-1)/12,0))</f>
        <v/>
      </c>
      <c r="DK53" s="228">
        <f>IF(DK$11=0,0,-ROUND(Assumptions!$P$26*(1+Assumptions!$P$38)^(DK$9-1)/12,0))</f>
        <v/>
      </c>
      <c r="DL53" s="228">
        <f>IF(DL$11=0,0,-ROUND(Assumptions!$P$26*(1+Assumptions!$P$38)^(DL$9-1)/12,0))</f>
        <v/>
      </c>
      <c r="DM53" s="228">
        <f>IF(DM$11=0,0,-ROUND(Assumptions!$P$26*(1+Assumptions!$P$38)^(DM$9-1)/12,0))</f>
        <v/>
      </c>
      <c r="DN53" s="228">
        <f>IF(DN$11=0,0,-ROUND(Assumptions!$P$26*(1+Assumptions!$P$38)^(DN$9-1)/12,0))</f>
        <v/>
      </c>
      <c r="DO53" s="228">
        <f>IF(DO$11=0,0,-ROUND(Assumptions!$P$26*(1+Assumptions!$P$38)^(DO$9-1)/12,0))</f>
        <v/>
      </c>
      <c r="DP53" s="228">
        <f>IF(DP$11=0,0,-ROUND(Assumptions!$P$26*(1+Assumptions!$P$38)^(DP$9-1)/12,0))</f>
        <v/>
      </c>
      <c r="DQ53" s="228">
        <f>IF(DQ$11=0,0,-ROUND(Assumptions!$P$26*(1+Assumptions!$P$38)^(DQ$9-1)/12,0))</f>
        <v/>
      </c>
      <c r="DR53" s="228">
        <f>IF(DR$11=0,0,-ROUND(Assumptions!$P$26*(1+Assumptions!$P$38)^(DR$9-1)/12,0))</f>
        <v/>
      </c>
      <c r="DS53" s="228">
        <f>IF(DS$11=0,0,-ROUND(Assumptions!$P$26*(1+Assumptions!$P$38)^(DS$9-1)/12,0))</f>
        <v/>
      </c>
      <c r="DT53" s="228">
        <f>IF(DT$11=0,0,-ROUND(Assumptions!$P$26*(1+Assumptions!$P$38)^(DT$9-1)/12,0))</f>
        <v/>
      </c>
    </row>
    <row r="54" ht="15" customHeight="1" s="148">
      <c r="A54" s="110" t="inlineStr">
        <is>
          <t>Total Operating Expenses</t>
        </is>
      </c>
      <c r="C54" s="228">
        <f>SUM(D54:DT54)</f>
        <v/>
      </c>
      <c r="D54" s="228">
        <f>D$52+D$53</f>
        <v/>
      </c>
      <c r="E54" s="228">
        <f>E$52+E$53</f>
        <v/>
      </c>
      <c r="F54" s="228">
        <f>F$52+F$53</f>
        <v/>
      </c>
      <c r="G54" s="228">
        <f>G$52+G$53</f>
        <v/>
      </c>
      <c r="H54" s="228">
        <f>H$52+H$53</f>
        <v/>
      </c>
      <c r="I54" s="228">
        <f>I$52+I$53</f>
        <v/>
      </c>
      <c r="J54" s="228">
        <f>J$52+J$53</f>
        <v/>
      </c>
      <c r="K54" s="228">
        <f>K$52+K$53</f>
        <v/>
      </c>
      <c r="L54" s="228">
        <f>L$52+L$53</f>
        <v/>
      </c>
      <c r="M54" s="228">
        <f>M$52+M$53</f>
        <v/>
      </c>
      <c r="N54" s="228">
        <f>N$52+N$53</f>
        <v/>
      </c>
      <c r="O54" s="228">
        <f>O$52+O$53</f>
        <v/>
      </c>
      <c r="P54" s="228">
        <f>P$52+P$53</f>
        <v/>
      </c>
      <c r="Q54" s="228">
        <f>Q$52+Q$53</f>
        <v/>
      </c>
      <c r="R54" s="228">
        <f>R$52+R$53</f>
        <v/>
      </c>
      <c r="S54" s="228">
        <f>S$52+S$53</f>
        <v/>
      </c>
      <c r="T54" s="228">
        <f>T$52+T$53</f>
        <v/>
      </c>
      <c r="U54" s="228">
        <f>U$52+U$53</f>
        <v/>
      </c>
      <c r="V54" s="228">
        <f>V$52+V$53</f>
        <v/>
      </c>
      <c r="W54" s="228">
        <f>W$52+W$53</f>
        <v/>
      </c>
      <c r="X54" s="228">
        <f>X$52+X$53</f>
        <v/>
      </c>
      <c r="Y54" s="228">
        <f>Y$52+Y$53</f>
        <v/>
      </c>
      <c r="Z54" s="228">
        <f>Z$52+Z$53</f>
        <v/>
      </c>
      <c r="AA54" s="228">
        <f>AA$52+AA$53</f>
        <v/>
      </c>
      <c r="AB54" s="228">
        <f>AB$52+AB$53</f>
        <v/>
      </c>
      <c r="AC54" s="228">
        <f>AC$52+AC$53</f>
        <v/>
      </c>
      <c r="AD54" s="228">
        <f>AD$52+AD$53</f>
        <v/>
      </c>
      <c r="AE54" s="228">
        <f>AE$52+AE$53</f>
        <v/>
      </c>
      <c r="AF54" s="228">
        <f>AF$52+AF$53</f>
        <v/>
      </c>
      <c r="AG54" s="228">
        <f>AG$52+AG$53</f>
        <v/>
      </c>
      <c r="AH54" s="228">
        <f>AH$52+AH$53</f>
        <v/>
      </c>
      <c r="AI54" s="228">
        <f>AI$52+AI$53</f>
        <v/>
      </c>
      <c r="AJ54" s="228">
        <f>AJ$52+AJ$53</f>
        <v/>
      </c>
      <c r="AK54" s="228">
        <f>AK$52+AK$53</f>
        <v/>
      </c>
      <c r="AL54" s="228">
        <f>AL$52+AL$53</f>
        <v/>
      </c>
      <c r="AM54" s="228">
        <f>AM$52+AM$53</f>
        <v/>
      </c>
      <c r="AN54" s="228">
        <f>AN$52+AN$53</f>
        <v/>
      </c>
      <c r="AO54" s="228">
        <f>AO$52+AO$53</f>
        <v/>
      </c>
      <c r="AP54" s="228">
        <f>AP$52+AP$53</f>
        <v/>
      </c>
      <c r="AQ54" s="228">
        <f>AQ$52+AQ$53</f>
        <v/>
      </c>
      <c r="AR54" s="228">
        <f>AR$52+AR$53</f>
        <v/>
      </c>
      <c r="AS54" s="228">
        <f>AS$52+AS$53</f>
        <v/>
      </c>
      <c r="AT54" s="228">
        <f>AT$52+AT$53</f>
        <v/>
      </c>
      <c r="AU54" s="228">
        <f>AU$52+AU$53</f>
        <v/>
      </c>
      <c r="AV54" s="228">
        <f>AV$52+AV$53</f>
        <v/>
      </c>
      <c r="AW54" s="228">
        <f>AW$52+AW$53</f>
        <v/>
      </c>
      <c r="AX54" s="228">
        <f>AX$52+AX$53</f>
        <v/>
      </c>
      <c r="AY54" s="228">
        <f>AY$52+AY$53</f>
        <v/>
      </c>
      <c r="AZ54" s="228">
        <f>AZ$52+AZ$53</f>
        <v/>
      </c>
      <c r="BA54" s="228">
        <f>BA$52+BA$53</f>
        <v/>
      </c>
      <c r="BB54" s="228">
        <f>BB$52+BB$53</f>
        <v/>
      </c>
      <c r="BC54" s="228">
        <f>BC$52+BC$53</f>
        <v/>
      </c>
      <c r="BD54" s="228">
        <f>BD$52+BD$53</f>
        <v/>
      </c>
      <c r="BE54" s="228">
        <f>BE$52+BE$53</f>
        <v/>
      </c>
      <c r="BF54" s="228">
        <f>BF$52+BF$53</f>
        <v/>
      </c>
      <c r="BG54" s="228">
        <f>BG$52+BG$53</f>
        <v/>
      </c>
      <c r="BH54" s="228">
        <f>BH$52+BH$53</f>
        <v/>
      </c>
      <c r="BI54" s="228">
        <f>BI$52+BI$53</f>
        <v/>
      </c>
      <c r="BJ54" s="228">
        <f>BJ$52+BJ$53</f>
        <v/>
      </c>
      <c r="BK54" s="228">
        <f>BK$52+BK$53</f>
        <v/>
      </c>
      <c r="BL54" s="228">
        <f>BL$52+BL$53</f>
        <v/>
      </c>
      <c r="BM54" s="228">
        <f>BM$52+BM$53</f>
        <v/>
      </c>
      <c r="BN54" s="228">
        <f>BN$52+BN$53</f>
        <v/>
      </c>
      <c r="BO54" s="228">
        <f>BO$52+BO$53</f>
        <v/>
      </c>
      <c r="BP54" s="228">
        <f>BP$52+BP$53</f>
        <v/>
      </c>
      <c r="BQ54" s="228">
        <f>BQ$52+BQ$53</f>
        <v/>
      </c>
      <c r="BR54" s="228">
        <f>BR$52+BR$53</f>
        <v/>
      </c>
      <c r="BS54" s="228">
        <f>BS$52+BS$53</f>
        <v/>
      </c>
      <c r="BT54" s="228">
        <f>BT$52+BT$53</f>
        <v/>
      </c>
      <c r="BU54" s="228">
        <f>BU$52+BU$53</f>
        <v/>
      </c>
      <c r="BV54" s="228">
        <f>BV$52+BV$53</f>
        <v/>
      </c>
      <c r="BW54" s="228">
        <f>BW$52+BW$53</f>
        <v/>
      </c>
      <c r="BX54" s="228">
        <f>BX$52+BX$53</f>
        <v/>
      </c>
      <c r="BY54" s="228">
        <f>BY$52+BY$53</f>
        <v/>
      </c>
      <c r="BZ54" s="228">
        <f>BZ$52+BZ$53</f>
        <v/>
      </c>
      <c r="CA54" s="228">
        <f>CA$52+CA$53</f>
        <v/>
      </c>
      <c r="CB54" s="228">
        <f>CB$52+CB$53</f>
        <v/>
      </c>
      <c r="CC54" s="228">
        <f>CC$52+CC$53</f>
        <v/>
      </c>
      <c r="CD54" s="228">
        <f>CD$52+CD$53</f>
        <v/>
      </c>
      <c r="CE54" s="228">
        <f>CE$52+CE$53</f>
        <v/>
      </c>
      <c r="CF54" s="228">
        <f>CF$52+CF$53</f>
        <v/>
      </c>
      <c r="CG54" s="228">
        <f>CG$52+CG$53</f>
        <v/>
      </c>
      <c r="CH54" s="228">
        <f>CH$52+CH$53</f>
        <v/>
      </c>
      <c r="CI54" s="228">
        <f>CI$52+CI$53</f>
        <v/>
      </c>
      <c r="CJ54" s="228">
        <f>CJ$52+CJ$53</f>
        <v/>
      </c>
      <c r="CK54" s="228">
        <f>CK$52+CK$53</f>
        <v/>
      </c>
      <c r="CL54" s="228">
        <f>CL$52+CL$53</f>
        <v/>
      </c>
      <c r="CM54" s="228">
        <f>CM$52+CM$53</f>
        <v/>
      </c>
      <c r="CN54" s="228">
        <f>CN$52+CN$53</f>
        <v/>
      </c>
      <c r="CO54" s="228">
        <f>CO$52+CO$53</f>
        <v/>
      </c>
      <c r="CP54" s="228">
        <f>CP$52+CP$53</f>
        <v/>
      </c>
      <c r="CQ54" s="228">
        <f>CQ$52+CQ$53</f>
        <v/>
      </c>
      <c r="CR54" s="228">
        <f>CR$52+CR$53</f>
        <v/>
      </c>
      <c r="CS54" s="228">
        <f>CS$52+CS$53</f>
        <v/>
      </c>
      <c r="CT54" s="228">
        <f>CT$52+CT$53</f>
        <v/>
      </c>
      <c r="CU54" s="228">
        <f>CU$52+CU$53</f>
        <v/>
      </c>
      <c r="CV54" s="228">
        <f>CV$52+CV$53</f>
        <v/>
      </c>
      <c r="CW54" s="228">
        <f>CW$52+CW$53</f>
        <v/>
      </c>
      <c r="CX54" s="228">
        <f>CX$52+CX$53</f>
        <v/>
      </c>
      <c r="CY54" s="228">
        <f>CY$52+CY$53</f>
        <v/>
      </c>
      <c r="CZ54" s="228">
        <f>CZ$52+CZ$53</f>
        <v/>
      </c>
      <c r="DA54" s="228">
        <f>DA$52+DA$53</f>
        <v/>
      </c>
      <c r="DB54" s="228">
        <f>DB$52+DB$53</f>
        <v/>
      </c>
      <c r="DC54" s="228">
        <f>DC$52+DC$53</f>
        <v/>
      </c>
      <c r="DD54" s="228">
        <f>DD$52+DD$53</f>
        <v/>
      </c>
      <c r="DE54" s="228">
        <f>DE$52+DE$53</f>
        <v/>
      </c>
      <c r="DF54" s="228">
        <f>DF$52+DF$53</f>
        <v/>
      </c>
      <c r="DG54" s="228">
        <f>DG$52+DG$53</f>
        <v/>
      </c>
      <c r="DH54" s="228">
        <f>DH$52+DH$53</f>
        <v/>
      </c>
      <c r="DI54" s="228">
        <f>DI$52+DI$53</f>
        <v/>
      </c>
      <c r="DJ54" s="228">
        <f>DJ$52+DJ$53</f>
        <v/>
      </c>
      <c r="DK54" s="228">
        <f>DK$52+DK$53</f>
        <v/>
      </c>
      <c r="DL54" s="228">
        <f>DL$52+DL$53</f>
        <v/>
      </c>
      <c r="DM54" s="228">
        <f>DM$52+DM$53</f>
        <v/>
      </c>
      <c r="DN54" s="228">
        <f>DN$52+DN$53</f>
        <v/>
      </c>
      <c r="DO54" s="228">
        <f>DO$52+DO$53</f>
        <v/>
      </c>
      <c r="DP54" s="228">
        <f>DP$52+DP$53</f>
        <v/>
      </c>
      <c r="DQ54" s="228">
        <f>DQ$52+DQ$53</f>
        <v/>
      </c>
      <c r="DR54" s="228">
        <f>DR$52+DR$53</f>
        <v/>
      </c>
      <c r="DS54" s="228">
        <f>DS$52+DS$53</f>
        <v/>
      </c>
      <c r="DT54" s="228">
        <f>DT$52+DT$53</f>
        <v/>
      </c>
    </row>
    <row r="56" ht="15" customHeight="1" s="148">
      <c r="A56" s="110" t="inlineStr">
        <is>
          <t>Net Operating Income</t>
        </is>
      </c>
      <c r="C56" s="228">
        <f>SUM(D56:DT56)</f>
        <v/>
      </c>
      <c r="D56" s="228">
        <f>D$35+D$54+D$61</f>
        <v/>
      </c>
      <c r="E56" s="228">
        <f>E$35+E$54+E$61</f>
        <v/>
      </c>
      <c r="F56" s="228">
        <f>F$35+F$54+F$61</f>
        <v/>
      </c>
      <c r="G56" s="228">
        <f>G$35+G$54+G$61</f>
        <v/>
      </c>
      <c r="H56" s="228">
        <f>H$35+H$54+H$61</f>
        <v/>
      </c>
      <c r="I56" s="228">
        <f>I$35+I$54+I$61</f>
        <v/>
      </c>
      <c r="J56" s="228">
        <f>J$35+J$54+J$61</f>
        <v/>
      </c>
      <c r="K56" s="228">
        <f>K$35+K$54+K$61</f>
        <v/>
      </c>
      <c r="L56" s="228">
        <f>L$35+L$54+L$61</f>
        <v/>
      </c>
      <c r="M56" s="228">
        <f>M$35+M$54+M$61</f>
        <v/>
      </c>
      <c r="N56" s="228">
        <f>N$35+N$54+N$61</f>
        <v/>
      </c>
      <c r="O56" s="228">
        <f>O$35+O$54+O$61</f>
        <v/>
      </c>
      <c r="P56" s="228">
        <f>P$35+P$54+P$61</f>
        <v/>
      </c>
      <c r="Q56" s="228">
        <f>Q$35+Q$54+Q$61</f>
        <v/>
      </c>
      <c r="R56" s="228">
        <f>R$35+R$54+R$61</f>
        <v/>
      </c>
      <c r="S56" s="228">
        <f>S$35+S$54+S$61</f>
        <v/>
      </c>
      <c r="T56" s="228">
        <f>T$35+T$54+T$61</f>
        <v/>
      </c>
      <c r="U56" s="228">
        <f>U$35+U$54+U$61</f>
        <v/>
      </c>
      <c r="V56" s="228">
        <f>V$35+V$54+V$61</f>
        <v/>
      </c>
      <c r="W56" s="228">
        <f>W$35+W$54+W$61</f>
        <v/>
      </c>
      <c r="X56" s="228">
        <f>X$35+X$54+X$61</f>
        <v/>
      </c>
      <c r="Y56" s="228">
        <f>Y$35+Y$54+Y$61</f>
        <v/>
      </c>
      <c r="Z56" s="228">
        <f>Z$35+Z$54+Z$61</f>
        <v/>
      </c>
      <c r="AA56" s="228">
        <f>AA$35+AA$54+AA$61</f>
        <v/>
      </c>
      <c r="AB56" s="228">
        <f>AB$35+AB$54+AB$61</f>
        <v/>
      </c>
      <c r="AC56" s="228">
        <f>AC$35+AC$54+AC$61</f>
        <v/>
      </c>
      <c r="AD56" s="228">
        <f>AD$35+AD$54+AD$61</f>
        <v/>
      </c>
      <c r="AE56" s="228">
        <f>AE$35+AE$54+AE$61</f>
        <v/>
      </c>
      <c r="AF56" s="228">
        <f>AF$35+AF$54+AF$61</f>
        <v/>
      </c>
      <c r="AG56" s="228">
        <f>AG$35+AG$54+AG$61</f>
        <v/>
      </c>
      <c r="AH56" s="228">
        <f>AH$35+AH$54+AH$61</f>
        <v/>
      </c>
      <c r="AI56" s="228">
        <f>AI$35+AI$54+AI$61</f>
        <v/>
      </c>
      <c r="AJ56" s="228">
        <f>AJ$35+AJ$54+AJ$61</f>
        <v/>
      </c>
      <c r="AK56" s="228">
        <f>AK$35+AK$54+AK$61</f>
        <v/>
      </c>
      <c r="AL56" s="228">
        <f>AL$35+AL$54+AL$61</f>
        <v/>
      </c>
      <c r="AM56" s="228">
        <f>AM$35+AM$54+AM$61</f>
        <v/>
      </c>
      <c r="AN56" s="228">
        <f>AN$35+AN$54+AN$61</f>
        <v/>
      </c>
      <c r="AO56" s="228">
        <f>AO$35+AO$54+AO$61</f>
        <v/>
      </c>
      <c r="AP56" s="228">
        <f>AP$35+AP$54+AP$61</f>
        <v/>
      </c>
      <c r="AQ56" s="228">
        <f>AQ$35+AQ$54+AQ$61</f>
        <v/>
      </c>
      <c r="AR56" s="228">
        <f>AR$35+AR$54+AR$61</f>
        <v/>
      </c>
      <c r="AS56" s="228">
        <f>AS$35+AS$54+AS$61</f>
        <v/>
      </c>
      <c r="AT56" s="228">
        <f>AT$35+AT$54+AT$61</f>
        <v/>
      </c>
      <c r="AU56" s="228">
        <f>AU$35+AU$54+AU$61</f>
        <v/>
      </c>
      <c r="AV56" s="228">
        <f>AV$35+AV$54+AV$61</f>
        <v/>
      </c>
      <c r="AW56" s="228">
        <f>AW$35+AW$54+AW$61</f>
        <v/>
      </c>
      <c r="AX56" s="228">
        <f>AX$35+AX$54+AX$61</f>
        <v/>
      </c>
      <c r="AY56" s="228">
        <f>AY$35+AY$54+AY$61</f>
        <v/>
      </c>
      <c r="AZ56" s="228">
        <f>AZ$35+AZ$54+AZ$61</f>
        <v/>
      </c>
      <c r="BA56" s="228">
        <f>BA$35+BA$54+BA$61</f>
        <v/>
      </c>
      <c r="BB56" s="228">
        <f>BB$35+BB$54+BB$61</f>
        <v/>
      </c>
      <c r="BC56" s="228">
        <f>BC$35+BC$54+BC$61</f>
        <v/>
      </c>
      <c r="BD56" s="228">
        <f>BD$35+BD$54+BD$61</f>
        <v/>
      </c>
      <c r="BE56" s="228">
        <f>BE$35+BE$54+BE$61</f>
        <v/>
      </c>
      <c r="BF56" s="228">
        <f>BF$35+BF$54+BF$61</f>
        <v/>
      </c>
      <c r="BG56" s="228">
        <f>BG$35+BG$54+BG$61</f>
        <v/>
      </c>
      <c r="BH56" s="228">
        <f>BH$35+BH$54+BH$61</f>
        <v/>
      </c>
      <c r="BI56" s="228">
        <f>BI$35+BI$54+BI$61</f>
        <v/>
      </c>
      <c r="BJ56" s="228">
        <f>BJ$35+BJ$54+BJ$61</f>
        <v/>
      </c>
      <c r="BK56" s="228">
        <f>BK$35+BK$54+BK$61</f>
        <v/>
      </c>
      <c r="BL56" s="228">
        <f>BL$35+BL$54+BL$61</f>
        <v/>
      </c>
      <c r="BM56" s="228">
        <f>BM$35+BM$54+BM$61</f>
        <v/>
      </c>
      <c r="BN56" s="228">
        <f>BN$35+BN$54+BN$61</f>
        <v/>
      </c>
      <c r="BO56" s="228">
        <f>BO$35+BO$54+BO$61</f>
        <v/>
      </c>
      <c r="BP56" s="228">
        <f>BP$35+BP$54+BP$61</f>
        <v/>
      </c>
      <c r="BQ56" s="228">
        <f>BQ$35+BQ$54+BQ$61</f>
        <v/>
      </c>
      <c r="BR56" s="228">
        <f>BR$35+BR$54+BR$61</f>
        <v/>
      </c>
      <c r="BS56" s="228">
        <f>BS$35+BS$54+BS$61</f>
        <v/>
      </c>
      <c r="BT56" s="228">
        <f>BT$35+BT$54+BT$61</f>
        <v/>
      </c>
      <c r="BU56" s="228">
        <f>BU$35+BU$54+BU$61</f>
        <v/>
      </c>
      <c r="BV56" s="228">
        <f>BV$35+BV$54+BV$61</f>
        <v/>
      </c>
      <c r="BW56" s="228">
        <f>BW$35+BW$54+BW$61</f>
        <v/>
      </c>
      <c r="BX56" s="228">
        <f>BX$35+BX$54+BX$61</f>
        <v/>
      </c>
      <c r="BY56" s="228">
        <f>BY$35+BY$54+BY$61</f>
        <v/>
      </c>
      <c r="BZ56" s="228">
        <f>BZ$35+BZ$54+BZ$61</f>
        <v/>
      </c>
      <c r="CA56" s="228">
        <f>CA$35+CA$54+CA$61</f>
        <v/>
      </c>
      <c r="CB56" s="228">
        <f>CB$35+CB$54+CB$61</f>
        <v/>
      </c>
      <c r="CC56" s="228">
        <f>CC$35+CC$54+CC$61</f>
        <v/>
      </c>
      <c r="CD56" s="228">
        <f>CD$35+CD$54+CD$61</f>
        <v/>
      </c>
      <c r="CE56" s="228">
        <f>CE$35+CE$54+CE$61</f>
        <v/>
      </c>
      <c r="CF56" s="228">
        <f>CF$35+CF$54+CF$61</f>
        <v/>
      </c>
      <c r="CG56" s="228">
        <f>CG$35+CG$54+CG$61</f>
        <v/>
      </c>
      <c r="CH56" s="228">
        <f>CH$35+CH$54+CH$61</f>
        <v/>
      </c>
      <c r="CI56" s="228">
        <f>CI$35+CI$54+CI$61</f>
        <v/>
      </c>
      <c r="CJ56" s="228">
        <f>CJ$35+CJ$54+CJ$61</f>
        <v/>
      </c>
      <c r="CK56" s="228">
        <f>CK$35+CK$54+CK$61</f>
        <v/>
      </c>
      <c r="CL56" s="228">
        <f>CL$35+CL$54+CL$61</f>
        <v/>
      </c>
      <c r="CM56" s="228">
        <f>CM$35+CM$54+CM$61</f>
        <v/>
      </c>
      <c r="CN56" s="228">
        <f>CN$35+CN$54+CN$61</f>
        <v/>
      </c>
      <c r="CO56" s="228">
        <f>CO$35+CO$54+CO$61</f>
        <v/>
      </c>
      <c r="CP56" s="228">
        <f>CP$35+CP$54+CP$61</f>
        <v/>
      </c>
      <c r="CQ56" s="228">
        <f>CQ$35+CQ$54+CQ$61</f>
        <v/>
      </c>
      <c r="CR56" s="228">
        <f>CR$35+CR$54+CR$61</f>
        <v/>
      </c>
      <c r="CS56" s="228">
        <f>CS$35+CS$54+CS$61</f>
        <v/>
      </c>
      <c r="CT56" s="228">
        <f>CT$35+CT$54+CT$61</f>
        <v/>
      </c>
      <c r="CU56" s="228">
        <f>CU$35+CU$54+CU$61</f>
        <v/>
      </c>
      <c r="CV56" s="228">
        <f>CV$35+CV$54+CV$61</f>
        <v/>
      </c>
      <c r="CW56" s="228">
        <f>CW$35+CW$54+CW$61</f>
        <v/>
      </c>
      <c r="CX56" s="228">
        <f>CX$35+CX$54+CX$61</f>
        <v/>
      </c>
      <c r="CY56" s="228">
        <f>CY$35+CY$54+CY$61</f>
        <v/>
      </c>
      <c r="CZ56" s="228">
        <f>CZ$35+CZ$54+CZ$61</f>
        <v/>
      </c>
      <c r="DA56" s="228">
        <f>DA$35+DA$54+DA$61</f>
        <v/>
      </c>
      <c r="DB56" s="228">
        <f>DB$35+DB$54+DB$61</f>
        <v/>
      </c>
      <c r="DC56" s="228">
        <f>DC$35+DC$54+DC$61</f>
        <v/>
      </c>
      <c r="DD56" s="228">
        <f>DD$35+DD$54+DD$61</f>
        <v/>
      </c>
      <c r="DE56" s="228">
        <f>DE$35+DE$54+DE$61</f>
        <v/>
      </c>
      <c r="DF56" s="228">
        <f>DF$35+DF$54+DF$61</f>
        <v/>
      </c>
      <c r="DG56" s="228">
        <f>DG$35+DG$54+DG$61</f>
        <v/>
      </c>
      <c r="DH56" s="228">
        <f>DH$35+DH$54+DH$61</f>
        <v/>
      </c>
      <c r="DI56" s="228">
        <f>DI$35+DI$54+DI$61</f>
        <v/>
      </c>
      <c r="DJ56" s="228">
        <f>DJ$35+DJ$54+DJ$61</f>
        <v/>
      </c>
      <c r="DK56" s="228">
        <f>DK$35+DK$54+DK$61</f>
        <v/>
      </c>
      <c r="DL56" s="228">
        <f>DL$35+DL$54+DL$61</f>
        <v/>
      </c>
      <c r="DM56" s="228">
        <f>DM$35+DM$54+DM$61</f>
        <v/>
      </c>
      <c r="DN56" s="228">
        <f>DN$35+DN$54+DN$61</f>
        <v/>
      </c>
      <c r="DO56" s="228">
        <f>DO$35+DO$54+DO$61</f>
        <v/>
      </c>
      <c r="DP56" s="228">
        <f>DP$35+DP$54+DP$61</f>
        <v/>
      </c>
      <c r="DQ56" s="228">
        <f>DQ$35+DQ$54+DQ$61</f>
        <v/>
      </c>
      <c r="DR56" s="228">
        <f>DR$35+DR$54+DR$61</f>
        <v/>
      </c>
      <c r="DS56" s="228">
        <f>DS$35+DS$54+DS$61</f>
        <v/>
      </c>
      <c r="DT56" s="228">
        <f>DT$35+DT$54+DT$61</f>
        <v/>
      </c>
    </row>
    <row r="57" ht="15" customHeight="1" s="148">
      <c r="A57" s="115" t="inlineStr">
        <is>
          <t>DSCR</t>
        </is>
      </c>
      <c r="C57" s="116" t="n"/>
      <c r="D57" s="229">
        <f>IF(IF(D$11=0,0,IF(D$11&lt;=36,-D$183,-D$191))=0,"N/A",D$56/IF(D$11=0,0,IF(D$11&lt;=36,-D$183,-D$191)))</f>
        <v/>
      </c>
      <c r="E57" s="229">
        <f>IF(IF(E$11=0,0,IF(E$11&lt;=36,-E$183,-E$191))=0,"N/A",E$56/IF(E$11=0,0,IF(E$11&lt;=36,-E$183,-E$191)))</f>
        <v/>
      </c>
      <c r="F57" s="229">
        <f>IF(IF(F$11=0,0,IF(F$11&lt;=36,-F$183,-F$191))=0,"N/A",F$56/IF(F$11=0,0,IF(F$11&lt;=36,-F$183,-F$191)))</f>
        <v/>
      </c>
      <c r="G57" s="229">
        <f>IF(IF(G$11=0,0,IF(G$11&lt;=36,-G$183,-G$191))=0,"N/A",G$56/IF(G$11=0,0,IF(G$11&lt;=36,-G$183,-G$191)))</f>
        <v/>
      </c>
      <c r="H57" s="229">
        <f>IF(IF(H$11=0,0,IF(H$11&lt;=36,-H$183,-H$191))=0,"N/A",H$56/IF(H$11=0,0,IF(H$11&lt;=36,-H$183,-H$191)))</f>
        <v/>
      </c>
      <c r="I57" s="229">
        <f>IF(IF(I$11=0,0,IF(I$11&lt;=36,-I$183,-I$191))=0,"N/A",I$56/IF(I$11=0,0,IF(I$11&lt;=36,-I$183,-I$191)))</f>
        <v/>
      </c>
      <c r="J57" s="229">
        <f>IF(IF(J$11=0,0,IF(J$11&lt;=36,-J$183,-J$191))=0,"N/A",J$56/IF(J$11=0,0,IF(J$11&lt;=36,-J$183,-J$191)))</f>
        <v/>
      </c>
      <c r="K57" s="229">
        <f>IF(IF(K$11=0,0,IF(K$11&lt;=36,-K$183,-K$191))=0,"N/A",K$56/IF(K$11=0,0,IF(K$11&lt;=36,-K$183,-K$191)))</f>
        <v/>
      </c>
      <c r="L57" s="229">
        <f>IF(IF(L$11=0,0,IF(L$11&lt;=36,-L$183,-L$191))=0,"N/A",L$56/IF(L$11=0,0,IF(L$11&lt;=36,-L$183,-L$191)))</f>
        <v/>
      </c>
      <c r="M57" s="229">
        <f>IF(IF(M$11=0,0,IF(M$11&lt;=36,-M$183,-M$191))=0,"N/A",M$56/IF(M$11=0,0,IF(M$11&lt;=36,-M$183,-M$191)))</f>
        <v/>
      </c>
      <c r="N57" s="229">
        <f>IF(IF(N$11=0,0,IF(N$11&lt;=36,-N$183,-N$191))=0,"N/A",N$56/IF(N$11=0,0,IF(N$11&lt;=36,-N$183,-N$191)))</f>
        <v/>
      </c>
      <c r="O57" s="229">
        <f>IF(IF(O$11=0,0,IF(O$11&lt;=36,-O$183,-O$191))=0,"N/A",O$56/IF(O$11=0,0,IF(O$11&lt;=36,-O$183,-O$191)))</f>
        <v/>
      </c>
      <c r="P57" s="229">
        <f>IF(IF(P$11=0,0,IF(P$11&lt;=36,-P$183,-P$191))=0,"N/A",P$56/IF(P$11=0,0,IF(P$11&lt;=36,-P$183,-P$191)))</f>
        <v/>
      </c>
      <c r="Q57" s="229">
        <f>IF(IF(Q$11=0,0,IF(Q$11&lt;=36,-Q$183,-Q$191))=0,"N/A",Q$56/IF(Q$11=0,0,IF(Q$11&lt;=36,-Q$183,-Q$191)))</f>
        <v/>
      </c>
      <c r="R57" s="229">
        <f>IF(IF(R$11=0,0,IF(R$11&lt;=36,-R$183,-R$191))=0,"N/A",R$56/IF(R$11=0,0,IF(R$11&lt;=36,-R$183,-R$191)))</f>
        <v/>
      </c>
      <c r="S57" s="229">
        <f>IF(IF(S$11=0,0,IF(S$11&lt;=36,-S$183,-S$191))=0,"N/A",S$56/IF(S$11=0,0,IF(S$11&lt;=36,-S$183,-S$191)))</f>
        <v/>
      </c>
      <c r="T57" s="229">
        <f>IF(IF(T$11=0,0,IF(T$11&lt;=36,-T$183,-T$191))=0,"N/A",T$56/IF(T$11=0,0,IF(T$11&lt;=36,-T$183,-T$191)))</f>
        <v/>
      </c>
      <c r="U57" s="229">
        <f>IF(IF(U$11=0,0,IF(U$11&lt;=36,-U$183,-U$191))=0,"N/A",U$56/IF(U$11=0,0,IF(U$11&lt;=36,-U$183,-U$191)))</f>
        <v/>
      </c>
      <c r="V57" s="229">
        <f>IF(IF(V$11=0,0,IF(V$11&lt;=36,-V$183,-V$191))=0,"N/A",V$56/IF(V$11=0,0,IF(V$11&lt;=36,-V$183,-V$191)))</f>
        <v/>
      </c>
      <c r="W57" s="229">
        <f>IF(IF(W$11=0,0,IF(W$11&lt;=36,-W$183,-W$191))=0,"N/A",W$56/IF(W$11=0,0,IF(W$11&lt;=36,-W$183,-W$191)))</f>
        <v/>
      </c>
      <c r="X57" s="229">
        <f>IF(IF(X$11=0,0,IF(X$11&lt;=36,-X$183,-X$191))=0,"N/A",X$56/IF(X$11=0,0,IF(X$11&lt;=36,-X$183,-X$191)))</f>
        <v/>
      </c>
      <c r="Y57" s="229">
        <f>IF(IF(Y$11=0,0,IF(Y$11&lt;=36,-Y$183,-Y$191))=0,"N/A",Y$56/IF(Y$11=0,0,IF(Y$11&lt;=36,-Y$183,-Y$191)))</f>
        <v/>
      </c>
      <c r="Z57" s="229">
        <f>IF(IF(Z$11=0,0,IF(Z$11&lt;=36,-Z$183,-Z$191))=0,"N/A",Z$56/IF(Z$11=0,0,IF(Z$11&lt;=36,-Z$183,-Z$191)))</f>
        <v/>
      </c>
      <c r="AA57" s="229">
        <f>IF(IF(AA$11=0,0,IF(AA$11&lt;=36,-AA$183,-AA$191))=0,"N/A",AA$56/IF(AA$11=0,0,IF(AA$11&lt;=36,-AA$183,-AA$191)))</f>
        <v/>
      </c>
      <c r="AB57" s="229">
        <f>IF(IF(AB$11=0,0,IF(AB$11&lt;=36,-AB$183,-AB$191))=0,"N/A",AB$56/IF(AB$11=0,0,IF(AB$11&lt;=36,-AB$183,-AB$191)))</f>
        <v/>
      </c>
      <c r="AC57" s="229">
        <f>IF(IF(AC$11=0,0,IF(AC$11&lt;=36,-AC$183,-AC$191))=0,"N/A",AC$56/IF(AC$11=0,0,IF(AC$11&lt;=36,-AC$183,-AC$191)))</f>
        <v/>
      </c>
      <c r="AD57" s="229">
        <f>IF(IF(AD$11=0,0,IF(AD$11&lt;=36,-AD$183,-AD$191))=0,"N/A",AD$56/IF(AD$11=0,0,IF(AD$11&lt;=36,-AD$183,-AD$191)))</f>
        <v/>
      </c>
      <c r="AE57" s="229">
        <f>IF(IF(AE$11=0,0,IF(AE$11&lt;=36,-AE$183,-AE$191))=0,"N/A",AE$56/IF(AE$11=0,0,IF(AE$11&lt;=36,-AE$183,-AE$191)))</f>
        <v/>
      </c>
      <c r="AF57" s="229">
        <f>IF(IF(AF$11=0,0,IF(AF$11&lt;=36,-AF$183,-AF$191))=0,"N/A",AF$56/IF(AF$11=0,0,IF(AF$11&lt;=36,-AF$183,-AF$191)))</f>
        <v/>
      </c>
      <c r="AG57" s="229">
        <f>IF(IF(AG$11=0,0,IF(AG$11&lt;=36,-AG$183,-AG$191))=0,"N/A",AG$56/IF(AG$11=0,0,IF(AG$11&lt;=36,-AG$183,-AG$191)))</f>
        <v/>
      </c>
      <c r="AH57" s="229">
        <f>IF(IF(AH$11=0,0,IF(AH$11&lt;=36,-AH$183,-AH$191))=0,"N/A",AH$56/IF(AH$11=0,0,IF(AH$11&lt;=36,-AH$183,-AH$191)))</f>
        <v/>
      </c>
      <c r="AI57" s="229">
        <f>IF(IF(AI$11=0,0,IF(AI$11&lt;=36,-AI$183,-AI$191))=0,"N/A",AI$56/IF(AI$11=0,0,IF(AI$11&lt;=36,-AI$183,-AI$191)))</f>
        <v/>
      </c>
      <c r="AJ57" s="229">
        <f>IF(IF(AJ$11=0,0,IF(AJ$11&lt;=36,-AJ$183,-AJ$191))=0,"N/A",AJ$56/IF(AJ$11=0,0,IF(AJ$11&lt;=36,-AJ$183,-AJ$191)))</f>
        <v/>
      </c>
      <c r="AK57" s="229">
        <f>IF(IF(AK$11=0,0,IF(AK$11&lt;=36,-AK$183,-AK$191))=0,"N/A",AK$56/IF(AK$11=0,0,IF(AK$11&lt;=36,-AK$183,-AK$191)))</f>
        <v/>
      </c>
      <c r="AL57" s="229">
        <f>IF(IF(AL$11=0,0,IF(AL$11&lt;=36,-AL$183,-AL$191))=0,"N/A",AL$56/IF(AL$11=0,0,IF(AL$11&lt;=36,-AL$183,-AL$191)))</f>
        <v/>
      </c>
      <c r="AM57" s="229">
        <f>IF(IF(AM$11=0,0,IF(AM$11&lt;=36,-AM$183,-AM$191))=0,"N/A",AM$56/IF(AM$11=0,0,IF(AM$11&lt;=36,-AM$183,-AM$191)))</f>
        <v/>
      </c>
      <c r="AN57" s="229">
        <f>IF(IF(AN$11=0,0,IF(AN$11&lt;=36,-AN$183,-AN$191))=0,"N/A",AN$56/IF(AN$11=0,0,IF(AN$11&lt;=36,-AN$183,-AN$191)))</f>
        <v/>
      </c>
      <c r="AO57" s="229">
        <f>IF(IF(AO$11=0,0,IF(AO$11&lt;=36,-AO$183,-AO$191))=0,"N/A",AO$56/IF(AO$11=0,0,IF(AO$11&lt;=36,-AO$183,-AO$191)))</f>
        <v/>
      </c>
      <c r="AP57" s="229">
        <f>IF(IF(AP$11=0,0,IF(AP$11&lt;=36,-AP$183,-AP$191))=0,"N/A",AP$56/IF(AP$11=0,0,IF(AP$11&lt;=36,-AP$183,-AP$191)))</f>
        <v/>
      </c>
      <c r="AQ57" s="229">
        <f>IF(IF(AQ$11=0,0,IF(AQ$11&lt;=36,-AQ$183,-AQ$191))=0,"N/A",AQ$56/IF(AQ$11=0,0,IF(AQ$11&lt;=36,-AQ$183,-AQ$191)))</f>
        <v/>
      </c>
      <c r="AR57" s="229">
        <f>IF(IF(AR$11=0,0,IF(AR$11&lt;=36,-AR$183,-AR$191))=0,"N/A",AR$56/IF(AR$11=0,0,IF(AR$11&lt;=36,-AR$183,-AR$191)))</f>
        <v/>
      </c>
      <c r="AS57" s="229">
        <f>IF(IF(AS$11=0,0,IF(AS$11&lt;=36,-AS$183,-AS$191))=0,"N/A",AS$56/IF(AS$11=0,0,IF(AS$11&lt;=36,-AS$183,-AS$191)))</f>
        <v/>
      </c>
      <c r="AT57" s="229">
        <f>IF(IF(AT$11=0,0,IF(AT$11&lt;=36,-AT$183,-AT$191))=0,"N/A",AT$56/IF(AT$11=0,0,IF(AT$11&lt;=36,-AT$183,-AT$191)))</f>
        <v/>
      </c>
      <c r="AU57" s="229">
        <f>IF(IF(AU$11=0,0,IF(AU$11&lt;=36,-AU$183,-AU$191))=0,"N/A",AU$56/IF(AU$11=0,0,IF(AU$11&lt;=36,-AU$183,-AU$191)))</f>
        <v/>
      </c>
      <c r="AV57" s="229">
        <f>IF(IF(AV$11=0,0,IF(AV$11&lt;=36,-AV$183,-AV$191))=0,"N/A",AV$56/IF(AV$11=0,0,IF(AV$11&lt;=36,-AV$183,-AV$191)))</f>
        <v/>
      </c>
      <c r="AW57" s="229">
        <f>IF(IF(AW$11=0,0,IF(AW$11&lt;=36,-AW$183,-AW$191))=0,"N/A",AW$56/IF(AW$11=0,0,IF(AW$11&lt;=36,-AW$183,-AW$191)))</f>
        <v/>
      </c>
      <c r="AX57" s="229">
        <f>IF(IF(AX$11=0,0,IF(AX$11&lt;=36,-AX$183,-AX$191))=0,"N/A",AX$56/IF(AX$11=0,0,IF(AX$11&lt;=36,-AX$183,-AX$191)))</f>
        <v/>
      </c>
      <c r="AY57" s="229">
        <f>IF(IF(AY$11=0,0,IF(AY$11&lt;=36,-AY$183,-AY$191))=0,"N/A",AY$56/IF(AY$11=0,0,IF(AY$11&lt;=36,-AY$183,-AY$191)))</f>
        <v/>
      </c>
      <c r="AZ57" s="229">
        <f>IF(IF(AZ$11=0,0,IF(AZ$11&lt;=36,-AZ$183,-AZ$191))=0,"N/A",AZ$56/IF(AZ$11=0,0,IF(AZ$11&lt;=36,-AZ$183,-AZ$191)))</f>
        <v/>
      </c>
      <c r="BA57" s="229">
        <f>IF(IF(BA$11=0,0,IF(BA$11&lt;=36,-BA$183,-BA$191))=0,"N/A",BA$56/IF(BA$11=0,0,IF(BA$11&lt;=36,-BA$183,-BA$191)))</f>
        <v/>
      </c>
      <c r="BB57" s="229">
        <f>IF(IF(BB$11=0,0,IF(BB$11&lt;=36,-BB$183,-BB$191))=0,"N/A",BB$56/IF(BB$11=0,0,IF(BB$11&lt;=36,-BB$183,-BB$191)))</f>
        <v/>
      </c>
      <c r="BC57" s="229">
        <f>IF(IF(BC$11=0,0,IF(BC$11&lt;=36,-BC$183,-BC$191))=0,"N/A",BC$56/IF(BC$11=0,0,IF(BC$11&lt;=36,-BC$183,-BC$191)))</f>
        <v/>
      </c>
      <c r="BD57" s="229">
        <f>IF(IF(BD$11=0,0,IF(BD$11&lt;=36,-BD$183,-BD$191))=0,"N/A",BD$56/IF(BD$11=0,0,IF(BD$11&lt;=36,-BD$183,-BD$191)))</f>
        <v/>
      </c>
      <c r="BE57" s="229">
        <f>IF(IF(BE$11=0,0,IF(BE$11&lt;=36,-BE$183,-BE$191))=0,"N/A",BE$56/IF(BE$11=0,0,IF(BE$11&lt;=36,-BE$183,-BE$191)))</f>
        <v/>
      </c>
      <c r="BF57" s="229">
        <f>IF(IF(BF$11=0,0,IF(BF$11&lt;=36,-BF$183,-BF$191))=0,"N/A",BF$56/IF(BF$11=0,0,IF(BF$11&lt;=36,-BF$183,-BF$191)))</f>
        <v/>
      </c>
      <c r="BG57" s="229">
        <f>IF(IF(BG$11=0,0,IF(BG$11&lt;=36,-BG$183,-BG$191))=0,"N/A",BG$56/IF(BG$11=0,0,IF(BG$11&lt;=36,-BG$183,-BG$191)))</f>
        <v/>
      </c>
      <c r="BH57" s="229">
        <f>IF(IF(BH$11=0,0,IF(BH$11&lt;=36,-BH$183,-BH$191))=0,"N/A",BH$56/IF(BH$11=0,0,IF(BH$11&lt;=36,-BH$183,-BH$191)))</f>
        <v/>
      </c>
      <c r="BI57" s="229">
        <f>IF(IF(BI$11=0,0,IF(BI$11&lt;=36,-BI$183,-BI$191))=0,"N/A",BI$56/IF(BI$11=0,0,IF(BI$11&lt;=36,-BI$183,-BI$191)))</f>
        <v/>
      </c>
      <c r="BJ57" s="229">
        <f>IF(IF(BJ$11=0,0,IF(BJ$11&lt;=36,-BJ$183,-BJ$191))=0,"N/A",BJ$56/IF(BJ$11=0,0,IF(BJ$11&lt;=36,-BJ$183,-BJ$191)))</f>
        <v/>
      </c>
      <c r="BK57" s="229">
        <f>IF(IF(BK$11=0,0,IF(BK$11&lt;=36,-BK$183,-BK$191))=0,"N/A",BK$56/IF(BK$11=0,0,IF(BK$11&lt;=36,-BK$183,-BK$191)))</f>
        <v/>
      </c>
      <c r="BL57" s="229">
        <f>IF(IF(BL$11=0,0,IF(BL$11&lt;=36,-BL$183,-BL$191))=0,"N/A",BL$56/IF(BL$11=0,0,IF(BL$11&lt;=36,-BL$183,-BL$191)))</f>
        <v/>
      </c>
      <c r="BM57" s="229">
        <f>IF(IF(BM$11=0,0,IF(BM$11&lt;=36,-BM$183,-BM$191))=0,"N/A",BM$56/IF(BM$11=0,0,IF(BM$11&lt;=36,-BM$183,-BM$191)))</f>
        <v/>
      </c>
      <c r="BN57" s="229">
        <f>IF(IF(BN$11=0,0,IF(BN$11&lt;=36,-BN$183,-BN$191))=0,"N/A",BN$56/IF(BN$11=0,0,IF(BN$11&lt;=36,-BN$183,-BN$191)))</f>
        <v/>
      </c>
      <c r="BO57" s="229">
        <f>IF(IF(BO$11=0,0,IF(BO$11&lt;=36,-BO$183,-BO$191))=0,"N/A",BO$56/IF(BO$11=0,0,IF(BO$11&lt;=36,-BO$183,-BO$191)))</f>
        <v/>
      </c>
      <c r="BP57" s="229">
        <f>IF(IF(BP$11=0,0,IF(BP$11&lt;=36,-BP$183,-BP$191))=0,"N/A",BP$56/IF(BP$11=0,0,IF(BP$11&lt;=36,-BP$183,-BP$191)))</f>
        <v/>
      </c>
      <c r="BQ57" s="229">
        <f>IF(IF(BQ$11=0,0,IF(BQ$11&lt;=36,-BQ$183,-BQ$191))=0,"N/A",BQ$56/IF(BQ$11=0,0,IF(BQ$11&lt;=36,-BQ$183,-BQ$191)))</f>
        <v/>
      </c>
      <c r="BR57" s="229">
        <f>IF(IF(BR$11=0,0,IF(BR$11&lt;=36,-BR$183,-BR$191))=0,"N/A",BR$56/IF(BR$11=0,0,IF(BR$11&lt;=36,-BR$183,-BR$191)))</f>
        <v/>
      </c>
      <c r="BS57" s="229">
        <f>IF(IF(BS$11=0,0,IF(BS$11&lt;=36,-BS$183,-BS$191))=0,"N/A",BS$56/IF(BS$11=0,0,IF(BS$11&lt;=36,-BS$183,-BS$191)))</f>
        <v/>
      </c>
      <c r="BT57" s="229">
        <f>IF(IF(BT$11=0,0,IF(BT$11&lt;=36,-BT$183,-BT$191))=0,"N/A",BT$56/IF(BT$11=0,0,IF(BT$11&lt;=36,-BT$183,-BT$191)))</f>
        <v/>
      </c>
      <c r="BU57" s="229">
        <f>IF(IF(BU$11=0,0,IF(BU$11&lt;=36,-BU$183,-BU$191))=0,"N/A",BU$56/IF(BU$11=0,0,IF(BU$11&lt;=36,-BU$183,-BU$191)))</f>
        <v/>
      </c>
      <c r="BV57" s="229">
        <f>IF(IF(BV$11=0,0,IF(BV$11&lt;=36,-BV$183,-BV$191))=0,"N/A",BV$56/IF(BV$11=0,0,IF(BV$11&lt;=36,-BV$183,-BV$191)))</f>
        <v/>
      </c>
      <c r="BW57" s="229">
        <f>IF(IF(BW$11=0,0,IF(BW$11&lt;=36,-BW$183,-BW$191))=0,"N/A",BW$56/IF(BW$11=0,0,IF(BW$11&lt;=36,-BW$183,-BW$191)))</f>
        <v/>
      </c>
      <c r="BX57" s="229">
        <f>IF(IF(BX$11=0,0,IF(BX$11&lt;=36,-BX$183,-BX$191))=0,"N/A",BX$56/IF(BX$11=0,0,IF(BX$11&lt;=36,-BX$183,-BX$191)))</f>
        <v/>
      </c>
      <c r="BY57" s="229">
        <f>IF(IF(BY$11=0,0,IF(BY$11&lt;=36,-BY$183,-BY$191))=0,"N/A",BY$56/IF(BY$11=0,0,IF(BY$11&lt;=36,-BY$183,-BY$191)))</f>
        <v/>
      </c>
      <c r="BZ57" s="229">
        <f>IF(IF(BZ$11=0,0,IF(BZ$11&lt;=36,-BZ$183,-BZ$191))=0,"N/A",BZ$56/IF(BZ$11=0,0,IF(BZ$11&lt;=36,-BZ$183,-BZ$191)))</f>
        <v/>
      </c>
      <c r="CA57" s="229">
        <f>IF(IF(CA$11=0,0,IF(CA$11&lt;=36,-CA$183,-CA$191))=0,"N/A",CA$56/IF(CA$11=0,0,IF(CA$11&lt;=36,-CA$183,-CA$191)))</f>
        <v/>
      </c>
      <c r="CB57" s="229">
        <f>IF(IF(CB$11=0,0,IF(CB$11&lt;=36,-CB$183,-CB$191))=0,"N/A",CB$56/IF(CB$11=0,0,IF(CB$11&lt;=36,-CB$183,-CB$191)))</f>
        <v/>
      </c>
      <c r="CC57" s="229">
        <f>IF(IF(CC$11=0,0,IF(CC$11&lt;=36,-CC$183,-CC$191))=0,"N/A",CC$56/IF(CC$11=0,0,IF(CC$11&lt;=36,-CC$183,-CC$191)))</f>
        <v/>
      </c>
      <c r="CD57" s="229">
        <f>IF(IF(CD$11=0,0,IF(CD$11&lt;=36,-CD$183,-CD$191))=0,"N/A",CD$56/IF(CD$11=0,0,IF(CD$11&lt;=36,-CD$183,-CD$191)))</f>
        <v/>
      </c>
      <c r="CE57" s="229">
        <f>IF(IF(CE$11=0,0,IF(CE$11&lt;=36,-CE$183,-CE$191))=0,"N/A",CE$56/IF(CE$11=0,0,IF(CE$11&lt;=36,-CE$183,-CE$191)))</f>
        <v/>
      </c>
      <c r="CF57" s="229">
        <f>IF(IF(CF$11=0,0,IF(CF$11&lt;=36,-CF$183,-CF$191))=0,"N/A",CF$56/IF(CF$11=0,0,IF(CF$11&lt;=36,-CF$183,-CF$191)))</f>
        <v/>
      </c>
      <c r="CG57" s="229">
        <f>IF(IF(CG$11=0,0,IF(CG$11&lt;=36,-CG$183,-CG$191))=0,"N/A",CG$56/IF(CG$11=0,0,IF(CG$11&lt;=36,-CG$183,-CG$191)))</f>
        <v/>
      </c>
      <c r="CH57" s="229">
        <f>IF(IF(CH$11=0,0,IF(CH$11&lt;=36,-CH$183,-CH$191))=0,"N/A",CH$56/IF(CH$11=0,0,IF(CH$11&lt;=36,-CH$183,-CH$191)))</f>
        <v/>
      </c>
      <c r="CI57" s="229">
        <f>IF(IF(CI$11=0,0,IF(CI$11&lt;=36,-CI$183,-CI$191))=0,"N/A",CI$56/IF(CI$11=0,0,IF(CI$11&lt;=36,-CI$183,-CI$191)))</f>
        <v/>
      </c>
      <c r="CJ57" s="229">
        <f>IF(IF(CJ$11=0,0,IF(CJ$11&lt;=36,-CJ$183,-CJ$191))=0,"N/A",CJ$56/IF(CJ$11=0,0,IF(CJ$11&lt;=36,-CJ$183,-CJ$191)))</f>
        <v/>
      </c>
      <c r="CK57" s="229">
        <f>IF(IF(CK$11=0,0,IF(CK$11&lt;=36,-CK$183,-CK$191))=0,"N/A",CK$56/IF(CK$11=0,0,IF(CK$11&lt;=36,-CK$183,-CK$191)))</f>
        <v/>
      </c>
      <c r="CL57" s="229">
        <f>IF(IF(CL$11=0,0,IF(CL$11&lt;=36,-CL$183,-CL$191))=0,"N/A",CL$56/IF(CL$11=0,0,IF(CL$11&lt;=36,-CL$183,-CL$191)))</f>
        <v/>
      </c>
      <c r="CM57" s="229">
        <f>IF(IF(CM$11=0,0,IF(CM$11&lt;=36,-CM$183,-CM$191))=0,"N/A",CM$56/IF(CM$11=0,0,IF(CM$11&lt;=36,-CM$183,-CM$191)))</f>
        <v/>
      </c>
      <c r="CN57" s="229">
        <f>IF(IF(CN$11=0,0,IF(CN$11&lt;=36,-CN$183,-CN$191))=0,"N/A",CN$56/IF(CN$11=0,0,IF(CN$11&lt;=36,-CN$183,-CN$191)))</f>
        <v/>
      </c>
      <c r="CO57" s="229">
        <f>IF(IF(CO$11=0,0,IF(CO$11&lt;=36,-CO$183,-CO$191))=0,"N/A",CO$56/IF(CO$11=0,0,IF(CO$11&lt;=36,-CO$183,-CO$191)))</f>
        <v/>
      </c>
      <c r="CP57" s="229">
        <f>IF(IF(CP$11=0,0,IF(CP$11&lt;=36,-CP$183,-CP$191))=0,"N/A",CP$56/IF(CP$11=0,0,IF(CP$11&lt;=36,-CP$183,-CP$191)))</f>
        <v/>
      </c>
      <c r="CQ57" s="229">
        <f>IF(IF(CQ$11=0,0,IF(CQ$11&lt;=36,-CQ$183,-CQ$191))=0,"N/A",CQ$56/IF(CQ$11=0,0,IF(CQ$11&lt;=36,-CQ$183,-CQ$191)))</f>
        <v/>
      </c>
      <c r="CR57" s="229">
        <f>IF(IF(CR$11=0,0,IF(CR$11&lt;=36,-CR$183,-CR$191))=0,"N/A",CR$56/IF(CR$11=0,0,IF(CR$11&lt;=36,-CR$183,-CR$191)))</f>
        <v/>
      </c>
      <c r="CS57" s="229">
        <f>IF(IF(CS$11=0,0,IF(CS$11&lt;=36,-CS$183,-CS$191))=0,"N/A",CS$56/IF(CS$11=0,0,IF(CS$11&lt;=36,-CS$183,-CS$191)))</f>
        <v/>
      </c>
      <c r="CT57" s="229">
        <f>IF(IF(CT$11=0,0,IF(CT$11&lt;=36,-CT$183,-CT$191))=0,"N/A",CT$56/IF(CT$11=0,0,IF(CT$11&lt;=36,-CT$183,-CT$191)))</f>
        <v/>
      </c>
      <c r="CU57" s="229">
        <f>IF(IF(CU$11=0,0,IF(CU$11&lt;=36,-CU$183,-CU$191))=0,"N/A",CU$56/IF(CU$11=0,0,IF(CU$11&lt;=36,-CU$183,-CU$191)))</f>
        <v/>
      </c>
      <c r="CV57" s="229">
        <f>IF(IF(CV$11=0,0,IF(CV$11&lt;=36,-CV$183,-CV$191))=0,"N/A",CV$56/IF(CV$11=0,0,IF(CV$11&lt;=36,-CV$183,-CV$191)))</f>
        <v/>
      </c>
      <c r="CW57" s="229">
        <f>IF(IF(CW$11=0,0,IF(CW$11&lt;=36,-CW$183,-CW$191))=0,"N/A",CW$56/IF(CW$11=0,0,IF(CW$11&lt;=36,-CW$183,-CW$191)))</f>
        <v/>
      </c>
      <c r="CX57" s="229">
        <f>IF(IF(CX$11=0,0,IF(CX$11&lt;=36,-CX$183,-CX$191))=0,"N/A",CX$56/IF(CX$11=0,0,IF(CX$11&lt;=36,-CX$183,-CX$191)))</f>
        <v/>
      </c>
      <c r="CY57" s="229">
        <f>IF(IF(CY$11=0,0,IF(CY$11&lt;=36,-CY$183,-CY$191))=0,"N/A",CY$56/IF(CY$11=0,0,IF(CY$11&lt;=36,-CY$183,-CY$191)))</f>
        <v/>
      </c>
      <c r="CZ57" s="229">
        <f>IF(IF(CZ$11=0,0,IF(CZ$11&lt;=36,-CZ$183,-CZ$191))=0,"N/A",CZ$56/IF(CZ$11=0,0,IF(CZ$11&lt;=36,-CZ$183,-CZ$191)))</f>
        <v/>
      </c>
      <c r="DA57" s="229">
        <f>IF(IF(DA$11=0,0,IF(DA$11&lt;=36,-DA$183,-DA$191))=0,"N/A",DA$56/IF(DA$11=0,0,IF(DA$11&lt;=36,-DA$183,-DA$191)))</f>
        <v/>
      </c>
      <c r="DB57" s="229">
        <f>IF(IF(DB$11=0,0,IF(DB$11&lt;=36,-DB$183,-DB$191))=0,"N/A",DB$56/IF(DB$11=0,0,IF(DB$11&lt;=36,-DB$183,-DB$191)))</f>
        <v/>
      </c>
      <c r="DC57" s="229">
        <f>IF(IF(DC$11=0,0,IF(DC$11&lt;=36,-DC$183,-DC$191))=0,"N/A",DC$56/IF(DC$11=0,0,IF(DC$11&lt;=36,-DC$183,-DC$191)))</f>
        <v/>
      </c>
      <c r="DD57" s="229">
        <f>IF(IF(DD$11=0,0,IF(DD$11&lt;=36,-DD$183,-DD$191))=0,"N/A",DD$56/IF(DD$11=0,0,IF(DD$11&lt;=36,-DD$183,-DD$191)))</f>
        <v/>
      </c>
      <c r="DE57" s="229">
        <f>IF(IF(DE$11=0,0,IF(DE$11&lt;=36,-DE$183,-DE$191))=0,"N/A",DE$56/IF(DE$11=0,0,IF(DE$11&lt;=36,-DE$183,-DE$191)))</f>
        <v/>
      </c>
      <c r="DF57" s="229">
        <f>IF(IF(DF$11=0,0,IF(DF$11&lt;=36,-DF$183,-DF$191))=0,"N/A",DF$56/IF(DF$11=0,0,IF(DF$11&lt;=36,-DF$183,-DF$191)))</f>
        <v/>
      </c>
      <c r="DG57" s="229">
        <f>IF(IF(DG$11=0,0,IF(DG$11&lt;=36,-DG$183,-DG$191))=0,"N/A",DG$56/IF(DG$11=0,0,IF(DG$11&lt;=36,-DG$183,-DG$191)))</f>
        <v/>
      </c>
      <c r="DH57" s="229">
        <f>IF(IF(DH$11=0,0,IF(DH$11&lt;=36,-DH$183,-DH$191))=0,"N/A",DH$56/IF(DH$11=0,0,IF(DH$11&lt;=36,-DH$183,-DH$191)))</f>
        <v/>
      </c>
      <c r="DI57" s="229">
        <f>IF(IF(DI$11=0,0,IF(DI$11&lt;=36,-DI$183,-DI$191))=0,"N/A",DI$56/IF(DI$11=0,0,IF(DI$11&lt;=36,-DI$183,-DI$191)))</f>
        <v/>
      </c>
      <c r="DJ57" s="229">
        <f>IF(IF(DJ$11=0,0,IF(DJ$11&lt;=36,-DJ$183,-DJ$191))=0,"N/A",DJ$56/IF(DJ$11=0,0,IF(DJ$11&lt;=36,-DJ$183,-DJ$191)))</f>
        <v/>
      </c>
      <c r="DK57" s="229">
        <f>IF(IF(DK$11=0,0,IF(DK$11&lt;=36,-DK$183,-DK$191))=0,"N/A",DK$56/IF(DK$11=0,0,IF(DK$11&lt;=36,-DK$183,-DK$191)))</f>
        <v/>
      </c>
      <c r="DL57" s="229">
        <f>IF(IF(DL$11=0,0,IF(DL$11&lt;=36,-DL$183,-DL$191))=0,"N/A",DL$56/IF(DL$11=0,0,IF(DL$11&lt;=36,-DL$183,-DL$191)))</f>
        <v/>
      </c>
      <c r="DM57" s="229">
        <f>IF(IF(DM$11=0,0,IF(DM$11&lt;=36,-DM$183,-DM$191))=0,"N/A",DM$56/IF(DM$11=0,0,IF(DM$11&lt;=36,-DM$183,-DM$191)))</f>
        <v/>
      </c>
      <c r="DN57" s="229">
        <f>IF(IF(DN$11=0,0,IF(DN$11&lt;=36,-DN$183,-DN$191))=0,"N/A",DN$56/IF(DN$11=0,0,IF(DN$11&lt;=36,-DN$183,-DN$191)))</f>
        <v/>
      </c>
      <c r="DO57" s="229">
        <f>IF(IF(DO$11=0,0,IF(DO$11&lt;=36,-DO$183,-DO$191))=0,"N/A",DO$56/IF(DO$11=0,0,IF(DO$11&lt;=36,-DO$183,-DO$191)))</f>
        <v/>
      </c>
      <c r="DP57" s="229">
        <f>IF(IF(DP$11=0,0,IF(DP$11&lt;=36,-DP$183,-DP$191))=0,"N/A",DP$56/IF(DP$11=0,0,IF(DP$11&lt;=36,-DP$183,-DP$191)))</f>
        <v/>
      </c>
      <c r="DQ57" s="229">
        <f>IF(IF(DQ$11=0,0,IF(DQ$11&lt;=36,-DQ$183,-DQ$191))=0,"N/A",DQ$56/IF(DQ$11=0,0,IF(DQ$11&lt;=36,-DQ$183,-DQ$191)))</f>
        <v/>
      </c>
      <c r="DR57" s="229">
        <f>IF(IF(DR$11=0,0,IF(DR$11&lt;=36,-DR$183,-DR$191))=0,"N/A",DR$56/IF(DR$11=0,0,IF(DR$11&lt;=36,-DR$183,-DR$191)))</f>
        <v/>
      </c>
      <c r="DS57" s="229">
        <f>IF(IF(DS$11=0,0,IF(DS$11&lt;=36,-DS$183,-DS$191))=0,"N/A",DS$56/IF(DS$11=0,0,IF(DS$11&lt;=36,-DS$183,-DS$191)))</f>
        <v/>
      </c>
      <c r="DT57" s="229">
        <f>IF(IF(DT$11=0,0,IF(DT$11&lt;=36,-DT$183,-DT$191))=0,"N/A",DT$56/IF(DT$11=0,0,IF(DT$11&lt;=36,-DT$183,-DT$191)))</f>
        <v/>
      </c>
    </row>
    <row r="59" ht="15" customHeight="1" s="148">
      <c r="A59" s="110" t="inlineStr">
        <is>
          <t>Non-Operating Expenses</t>
        </is>
      </c>
      <c r="C59" s="228">
        <f>SUM(D59:DT59)</f>
        <v/>
      </c>
      <c r="D59" s="228" t="n"/>
      <c r="E59" s="228" t="n"/>
      <c r="F59" s="228" t="n"/>
      <c r="G59" s="228" t="n"/>
      <c r="H59" s="228" t="n"/>
      <c r="I59" s="228" t="n"/>
      <c r="J59" s="228" t="n"/>
      <c r="K59" s="228" t="n"/>
      <c r="L59" s="228" t="n"/>
      <c r="M59" s="228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8" t="n"/>
      <c r="Z59" s="228" t="n"/>
      <c r="AA59" s="228" t="n"/>
      <c r="AB59" s="228" t="n"/>
      <c r="AC59" s="228" t="n"/>
      <c r="AD59" s="228" t="n"/>
      <c r="AE59" s="228" t="n"/>
      <c r="AF59" s="228" t="n"/>
      <c r="AG59" s="228" t="n"/>
      <c r="AH59" s="228" t="n"/>
      <c r="AI59" s="228" t="n"/>
      <c r="AJ59" s="228" t="n"/>
      <c r="AK59" s="228" t="n"/>
      <c r="AL59" s="228" t="n"/>
      <c r="AM59" s="228" t="n"/>
      <c r="AN59" s="228" t="n"/>
      <c r="AO59" s="228" t="n"/>
      <c r="AP59" s="228" t="n"/>
      <c r="AQ59" s="228" t="n"/>
      <c r="AR59" s="228" t="n"/>
      <c r="AS59" s="228" t="n"/>
      <c r="AT59" s="228" t="n"/>
      <c r="AU59" s="228" t="n"/>
      <c r="AV59" s="228" t="n"/>
      <c r="AW59" s="228" t="n"/>
      <c r="AX59" s="228" t="n"/>
      <c r="AY59" s="228" t="n"/>
      <c r="AZ59" s="228" t="n"/>
      <c r="BA59" s="228" t="n"/>
      <c r="BB59" s="228" t="n"/>
      <c r="BC59" s="228" t="n"/>
      <c r="BD59" s="228" t="n"/>
      <c r="BE59" s="228" t="n"/>
      <c r="BF59" s="228" t="n"/>
      <c r="BG59" s="228" t="n"/>
      <c r="BH59" s="228" t="n"/>
      <c r="BI59" s="228" t="n"/>
      <c r="BJ59" s="228" t="n"/>
      <c r="BK59" s="228" t="n"/>
      <c r="BL59" s="228" t="n"/>
      <c r="BM59" s="228" t="n"/>
      <c r="BN59" s="228" t="n"/>
      <c r="BO59" s="228" t="n"/>
      <c r="BP59" s="228" t="n"/>
      <c r="BQ59" s="228" t="n"/>
      <c r="BR59" s="228" t="n"/>
      <c r="BS59" s="228" t="n"/>
      <c r="BT59" s="228" t="n"/>
      <c r="BU59" s="228" t="n"/>
      <c r="BV59" s="228" t="n"/>
      <c r="BW59" s="228" t="n"/>
      <c r="BX59" s="228" t="n"/>
      <c r="BY59" s="228" t="n"/>
      <c r="BZ59" s="228" t="n"/>
      <c r="CA59" s="228" t="n"/>
      <c r="CB59" s="228" t="n"/>
      <c r="CC59" s="228" t="n"/>
      <c r="CD59" s="228" t="n"/>
      <c r="CE59" s="228" t="n"/>
      <c r="CF59" s="228" t="n"/>
      <c r="CG59" s="228" t="n"/>
      <c r="CH59" s="228" t="n"/>
      <c r="CI59" s="228" t="n"/>
      <c r="CJ59" s="228" t="n"/>
      <c r="CK59" s="228" t="n"/>
      <c r="CL59" s="228" t="n"/>
      <c r="CM59" s="228" t="n"/>
      <c r="CN59" s="228" t="n"/>
      <c r="CO59" s="228" t="n"/>
      <c r="CP59" s="228" t="n"/>
      <c r="CQ59" s="228" t="n"/>
      <c r="CR59" s="228" t="n"/>
      <c r="CS59" s="228" t="n"/>
      <c r="CT59" s="228" t="n"/>
      <c r="CU59" s="228" t="n"/>
      <c r="CV59" s="228" t="n"/>
      <c r="CW59" s="228" t="n"/>
      <c r="CX59" s="228" t="n"/>
      <c r="CY59" s="228" t="n"/>
      <c r="CZ59" s="228" t="n"/>
      <c r="DA59" s="228" t="n"/>
      <c r="DB59" s="228" t="n"/>
      <c r="DC59" s="228" t="n"/>
      <c r="DD59" s="228" t="n"/>
      <c r="DE59" s="228" t="n"/>
      <c r="DF59" s="228" t="n"/>
      <c r="DG59" s="228" t="n"/>
      <c r="DH59" s="228" t="n"/>
      <c r="DI59" s="228" t="n"/>
      <c r="DJ59" s="228" t="n"/>
      <c r="DK59" s="228" t="n"/>
      <c r="DL59" s="228" t="n"/>
      <c r="DM59" s="228" t="n"/>
      <c r="DN59" s="228" t="n"/>
      <c r="DO59" s="228" t="n"/>
      <c r="DP59" s="228" t="n"/>
      <c r="DQ59" s="228" t="n"/>
      <c r="DR59" s="228" t="n"/>
      <c r="DS59" s="228" t="n"/>
      <c r="DT59" s="228" t="n"/>
    </row>
    <row r="60" ht="15" customHeight="1" s="148">
      <c r="A60" s="112" t="inlineStr">
        <is>
          <t>Non-Operating Expenses</t>
        </is>
      </c>
      <c r="C60" s="228">
        <f>SUM(D60:DT60)</f>
        <v/>
      </c>
      <c r="D60" s="228">
        <f>IF(D$11=0,0,-ROUND(Assumptions!$F$13*Assumptions!$P$33*(1+Assumptions!$P$38)^(D$9-1)/12,0))</f>
        <v/>
      </c>
      <c r="E60" s="228">
        <f>IF(E$11=0,0,-ROUND(Assumptions!$F$13*Assumptions!$P$33*(1+Assumptions!$P$38)^(E$9-1)/12,0))</f>
        <v/>
      </c>
      <c r="F60" s="228">
        <f>IF(F$11=0,0,-ROUND(Assumptions!$F$13*Assumptions!$P$33*(1+Assumptions!$P$38)^(F$9-1)/12,0))</f>
        <v/>
      </c>
      <c r="G60" s="228">
        <f>IF(G$11=0,0,-ROUND(Assumptions!$F$13*Assumptions!$P$33*(1+Assumptions!$P$38)^(G$9-1)/12,0))</f>
        <v/>
      </c>
      <c r="H60" s="228">
        <f>IF(H$11=0,0,-ROUND(Assumptions!$F$13*Assumptions!$P$33*(1+Assumptions!$P$38)^(H$9-1)/12,0))</f>
        <v/>
      </c>
      <c r="I60" s="228">
        <f>IF(I$11=0,0,-ROUND(Assumptions!$F$13*Assumptions!$P$33*(1+Assumptions!$P$38)^(I$9-1)/12,0))</f>
        <v/>
      </c>
      <c r="J60" s="228">
        <f>IF(J$11=0,0,-ROUND(Assumptions!$F$13*Assumptions!$P$33*(1+Assumptions!$P$38)^(J$9-1)/12,0))</f>
        <v/>
      </c>
      <c r="K60" s="228">
        <f>IF(K$11=0,0,-ROUND(Assumptions!$F$13*Assumptions!$P$33*(1+Assumptions!$P$38)^(K$9-1)/12,0))</f>
        <v/>
      </c>
      <c r="L60" s="228">
        <f>IF(L$11=0,0,-ROUND(Assumptions!$F$13*Assumptions!$P$33*(1+Assumptions!$P$38)^(L$9-1)/12,0))</f>
        <v/>
      </c>
      <c r="M60" s="228">
        <f>IF(M$11=0,0,-ROUND(Assumptions!$F$13*Assumptions!$P$33*(1+Assumptions!$P$38)^(M$9-1)/12,0))</f>
        <v/>
      </c>
      <c r="N60" s="228">
        <f>IF(N$11=0,0,-ROUND(Assumptions!$F$13*Assumptions!$P$33*(1+Assumptions!$P$38)^(N$9-1)/12,0))</f>
        <v/>
      </c>
      <c r="O60" s="228">
        <f>IF(O$11=0,0,-ROUND(Assumptions!$F$13*Assumptions!$P$33*(1+Assumptions!$P$38)^(O$9-1)/12,0))</f>
        <v/>
      </c>
      <c r="P60" s="228">
        <f>IF(P$11=0,0,-ROUND(Assumptions!$F$13*Assumptions!$P$33*(1+Assumptions!$P$38)^(P$9-1)/12,0))</f>
        <v/>
      </c>
      <c r="Q60" s="228">
        <f>IF(Q$11=0,0,-ROUND(Assumptions!$F$13*Assumptions!$P$33*(1+Assumptions!$P$38)^(Q$9-1)/12,0))</f>
        <v/>
      </c>
      <c r="R60" s="228">
        <f>IF(R$11=0,0,-ROUND(Assumptions!$F$13*Assumptions!$P$33*(1+Assumptions!$P$38)^(R$9-1)/12,0))</f>
        <v/>
      </c>
      <c r="S60" s="228">
        <f>IF(S$11=0,0,-ROUND(Assumptions!$F$13*Assumptions!$P$33*(1+Assumptions!$P$38)^(S$9-1)/12,0))</f>
        <v/>
      </c>
      <c r="T60" s="228">
        <f>IF(T$11=0,0,-ROUND(Assumptions!$F$13*Assumptions!$P$33*(1+Assumptions!$P$38)^(T$9-1)/12,0))</f>
        <v/>
      </c>
      <c r="U60" s="228">
        <f>IF(U$11=0,0,-ROUND(Assumptions!$F$13*Assumptions!$P$33*(1+Assumptions!$P$38)^(U$9-1)/12,0))</f>
        <v/>
      </c>
      <c r="V60" s="228">
        <f>IF(V$11=0,0,-ROUND(Assumptions!$F$13*Assumptions!$P$33*(1+Assumptions!$P$38)^(V$9-1)/12,0))</f>
        <v/>
      </c>
      <c r="W60" s="228">
        <f>IF(W$11=0,0,-ROUND(Assumptions!$F$13*Assumptions!$P$33*(1+Assumptions!$P$38)^(W$9-1)/12,0))</f>
        <v/>
      </c>
      <c r="X60" s="228">
        <f>IF(X$11=0,0,-ROUND(Assumptions!$F$13*Assumptions!$P$33*(1+Assumptions!$P$38)^(X$9-1)/12,0))</f>
        <v/>
      </c>
      <c r="Y60" s="228">
        <f>IF(Y$11=0,0,-ROUND(Assumptions!$F$13*Assumptions!$P$33*(1+Assumptions!$P$38)^(Y$9-1)/12,0))</f>
        <v/>
      </c>
      <c r="Z60" s="228">
        <f>IF(Z$11=0,0,-ROUND(Assumptions!$F$13*Assumptions!$P$33*(1+Assumptions!$P$38)^(Z$9-1)/12,0))</f>
        <v/>
      </c>
      <c r="AA60" s="228">
        <f>IF(AA$11=0,0,-ROUND(Assumptions!$F$13*Assumptions!$P$33*(1+Assumptions!$P$38)^(AA$9-1)/12,0))</f>
        <v/>
      </c>
      <c r="AB60" s="228">
        <f>IF(AB$11=0,0,-ROUND(Assumptions!$F$13*Assumptions!$P$33*(1+Assumptions!$P$38)^(AB$9-1)/12,0))</f>
        <v/>
      </c>
      <c r="AC60" s="228">
        <f>IF(AC$11=0,0,-ROUND(Assumptions!$F$13*Assumptions!$P$33*(1+Assumptions!$P$38)^(AC$9-1)/12,0))</f>
        <v/>
      </c>
      <c r="AD60" s="228">
        <f>IF(AD$11=0,0,-ROUND(Assumptions!$F$13*Assumptions!$P$33*(1+Assumptions!$P$38)^(AD$9-1)/12,0))</f>
        <v/>
      </c>
      <c r="AE60" s="228">
        <f>IF(AE$11=0,0,-ROUND(Assumptions!$F$13*Assumptions!$P$33*(1+Assumptions!$P$38)^(AE$9-1)/12,0))</f>
        <v/>
      </c>
      <c r="AF60" s="228">
        <f>IF(AF$11=0,0,-ROUND(Assumptions!$F$13*Assumptions!$P$33*(1+Assumptions!$P$38)^(AF$9-1)/12,0))</f>
        <v/>
      </c>
      <c r="AG60" s="228">
        <f>IF(AG$11=0,0,-ROUND(Assumptions!$F$13*Assumptions!$P$33*(1+Assumptions!$P$38)^(AG$9-1)/12,0))</f>
        <v/>
      </c>
      <c r="AH60" s="228">
        <f>IF(AH$11=0,0,-ROUND(Assumptions!$F$13*Assumptions!$P$33*(1+Assumptions!$P$38)^(AH$9-1)/12,0))</f>
        <v/>
      </c>
      <c r="AI60" s="228">
        <f>IF(AI$11=0,0,-ROUND(Assumptions!$F$13*Assumptions!$P$33*(1+Assumptions!$P$38)^(AI$9-1)/12,0))</f>
        <v/>
      </c>
      <c r="AJ60" s="228">
        <f>IF(AJ$11=0,0,-ROUND(Assumptions!$F$13*Assumptions!$P$33*(1+Assumptions!$P$38)^(AJ$9-1)/12,0))</f>
        <v/>
      </c>
      <c r="AK60" s="228">
        <f>IF(AK$11=0,0,-ROUND(Assumptions!$F$13*Assumptions!$P$33*(1+Assumptions!$P$38)^(AK$9-1)/12,0))</f>
        <v/>
      </c>
      <c r="AL60" s="228">
        <f>IF(AL$11=0,0,-ROUND(Assumptions!$F$13*Assumptions!$P$33*(1+Assumptions!$P$38)^(AL$9-1)/12,0))</f>
        <v/>
      </c>
      <c r="AM60" s="228">
        <f>IF(AM$11=0,0,-ROUND(Assumptions!$F$13*Assumptions!$P$33*(1+Assumptions!$P$38)^(AM$9-1)/12,0))</f>
        <v/>
      </c>
      <c r="AN60" s="228">
        <f>IF(AN$11=0,0,-ROUND(Assumptions!$F$13*Assumptions!$P$33*(1+Assumptions!$P$38)^(AN$9-1)/12,0))</f>
        <v/>
      </c>
      <c r="AO60" s="228">
        <f>IF(AO$11=0,0,-ROUND(Assumptions!$F$13*Assumptions!$P$33*(1+Assumptions!$P$38)^(AO$9-1)/12,0))</f>
        <v/>
      </c>
      <c r="AP60" s="228">
        <f>IF(AP$11=0,0,-ROUND(Assumptions!$F$13*Assumptions!$P$33*(1+Assumptions!$P$38)^(AP$9-1)/12,0))</f>
        <v/>
      </c>
      <c r="AQ60" s="228">
        <f>IF(AQ$11=0,0,-ROUND(Assumptions!$F$13*Assumptions!$P$33*(1+Assumptions!$P$38)^(AQ$9-1)/12,0))</f>
        <v/>
      </c>
      <c r="AR60" s="228">
        <f>IF(AR$11=0,0,-ROUND(Assumptions!$F$13*Assumptions!$P$33*(1+Assumptions!$P$38)^(AR$9-1)/12,0))</f>
        <v/>
      </c>
      <c r="AS60" s="228">
        <f>IF(AS$11=0,0,-ROUND(Assumptions!$F$13*Assumptions!$P$33*(1+Assumptions!$P$38)^(AS$9-1)/12,0))</f>
        <v/>
      </c>
      <c r="AT60" s="228">
        <f>IF(AT$11=0,0,-ROUND(Assumptions!$F$13*Assumptions!$P$33*(1+Assumptions!$P$38)^(AT$9-1)/12,0))</f>
        <v/>
      </c>
      <c r="AU60" s="228">
        <f>IF(AU$11=0,0,-ROUND(Assumptions!$F$13*Assumptions!$P$33*(1+Assumptions!$P$38)^(AU$9-1)/12,0))</f>
        <v/>
      </c>
      <c r="AV60" s="228">
        <f>IF(AV$11=0,0,-ROUND(Assumptions!$F$13*Assumptions!$P$33*(1+Assumptions!$P$38)^(AV$9-1)/12,0))</f>
        <v/>
      </c>
      <c r="AW60" s="228">
        <f>IF(AW$11=0,0,-ROUND(Assumptions!$F$13*Assumptions!$P$33*(1+Assumptions!$P$38)^(AW$9-1)/12,0))</f>
        <v/>
      </c>
      <c r="AX60" s="228">
        <f>IF(AX$11=0,0,-ROUND(Assumptions!$F$13*Assumptions!$P$33*(1+Assumptions!$P$38)^(AX$9-1)/12,0))</f>
        <v/>
      </c>
      <c r="AY60" s="228">
        <f>IF(AY$11=0,0,-ROUND(Assumptions!$F$13*Assumptions!$P$33*(1+Assumptions!$P$38)^(AY$9-1)/12,0))</f>
        <v/>
      </c>
      <c r="AZ60" s="228">
        <f>IF(AZ$11=0,0,-ROUND(Assumptions!$F$13*Assumptions!$P$33*(1+Assumptions!$P$38)^(AZ$9-1)/12,0))</f>
        <v/>
      </c>
      <c r="BA60" s="228">
        <f>IF(BA$11=0,0,-ROUND(Assumptions!$F$13*Assumptions!$P$33*(1+Assumptions!$P$38)^(BA$9-1)/12,0))</f>
        <v/>
      </c>
      <c r="BB60" s="228">
        <f>IF(BB$11=0,0,-ROUND(Assumptions!$F$13*Assumptions!$P$33*(1+Assumptions!$P$38)^(BB$9-1)/12,0))</f>
        <v/>
      </c>
      <c r="BC60" s="228">
        <f>IF(BC$11=0,0,-ROUND(Assumptions!$F$13*Assumptions!$P$33*(1+Assumptions!$P$38)^(BC$9-1)/12,0))</f>
        <v/>
      </c>
      <c r="BD60" s="228">
        <f>IF(BD$11=0,0,-ROUND(Assumptions!$F$13*Assumptions!$P$33*(1+Assumptions!$P$38)^(BD$9-1)/12,0))</f>
        <v/>
      </c>
      <c r="BE60" s="228">
        <f>IF(BE$11=0,0,-ROUND(Assumptions!$F$13*Assumptions!$P$33*(1+Assumptions!$P$38)^(BE$9-1)/12,0))</f>
        <v/>
      </c>
      <c r="BF60" s="228">
        <f>IF(BF$11=0,0,-ROUND(Assumptions!$F$13*Assumptions!$P$33*(1+Assumptions!$P$38)^(BF$9-1)/12,0))</f>
        <v/>
      </c>
      <c r="BG60" s="228">
        <f>IF(BG$11=0,0,-ROUND(Assumptions!$F$13*Assumptions!$P$33*(1+Assumptions!$P$38)^(BG$9-1)/12,0))</f>
        <v/>
      </c>
      <c r="BH60" s="228">
        <f>IF(BH$11=0,0,-ROUND(Assumptions!$F$13*Assumptions!$P$33*(1+Assumptions!$P$38)^(BH$9-1)/12,0))</f>
        <v/>
      </c>
      <c r="BI60" s="228">
        <f>IF(BI$11=0,0,-ROUND(Assumptions!$F$13*Assumptions!$P$33*(1+Assumptions!$P$38)^(BI$9-1)/12,0))</f>
        <v/>
      </c>
      <c r="BJ60" s="228">
        <f>IF(BJ$11=0,0,-ROUND(Assumptions!$F$13*Assumptions!$P$33*(1+Assumptions!$P$38)^(BJ$9-1)/12,0))</f>
        <v/>
      </c>
      <c r="BK60" s="228">
        <f>IF(BK$11=0,0,-ROUND(Assumptions!$F$13*Assumptions!$P$33*(1+Assumptions!$P$38)^(BK$9-1)/12,0))</f>
        <v/>
      </c>
      <c r="BL60" s="228">
        <f>IF(BL$11=0,0,-ROUND(Assumptions!$F$13*Assumptions!$P$33*(1+Assumptions!$P$38)^(BL$9-1)/12,0))</f>
        <v/>
      </c>
      <c r="BM60" s="228">
        <f>IF(BM$11=0,0,-ROUND(Assumptions!$F$13*Assumptions!$P$33*(1+Assumptions!$P$38)^(BM$9-1)/12,0))</f>
        <v/>
      </c>
      <c r="BN60" s="228">
        <f>IF(BN$11=0,0,-ROUND(Assumptions!$F$13*Assumptions!$P$33*(1+Assumptions!$P$38)^(BN$9-1)/12,0))</f>
        <v/>
      </c>
      <c r="BO60" s="228">
        <f>IF(BO$11=0,0,-ROUND(Assumptions!$F$13*Assumptions!$P$33*(1+Assumptions!$P$38)^(BO$9-1)/12,0))</f>
        <v/>
      </c>
      <c r="BP60" s="228">
        <f>IF(BP$11=0,0,-ROUND(Assumptions!$F$13*Assumptions!$P$33*(1+Assumptions!$P$38)^(BP$9-1)/12,0))</f>
        <v/>
      </c>
      <c r="BQ60" s="228">
        <f>IF(BQ$11=0,0,-ROUND(Assumptions!$F$13*Assumptions!$P$33*(1+Assumptions!$P$38)^(BQ$9-1)/12,0))</f>
        <v/>
      </c>
      <c r="BR60" s="228">
        <f>IF(BR$11=0,0,-ROUND(Assumptions!$F$13*Assumptions!$P$33*(1+Assumptions!$P$38)^(BR$9-1)/12,0))</f>
        <v/>
      </c>
      <c r="BS60" s="228">
        <f>IF(BS$11=0,0,-ROUND(Assumptions!$F$13*Assumptions!$P$33*(1+Assumptions!$P$38)^(BS$9-1)/12,0))</f>
        <v/>
      </c>
      <c r="BT60" s="228">
        <f>IF(BT$11=0,0,-ROUND(Assumptions!$F$13*Assumptions!$P$33*(1+Assumptions!$P$38)^(BT$9-1)/12,0))</f>
        <v/>
      </c>
      <c r="BU60" s="228">
        <f>IF(BU$11=0,0,-ROUND(Assumptions!$F$13*Assumptions!$P$33*(1+Assumptions!$P$38)^(BU$9-1)/12,0))</f>
        <v/>
      </c>
      <c r="BV60" s="228">
        <f>IF(BV$11=0,0,-ROUND(Assumptions!$F$13*Assumptions!$P$33*(1+Assumptions!$P$38)^(BV$9-1)/12,0))</f>
        <v/>
      </c>
      <c r="BW60" s="228">
        <f>IF(BW$11=0,0,-ROUND(Assumptions!$F$13*Assumptions!$P$33*(1+Assumptions!$P$38)^(BW$9-1)/12,0))</f>
        <v/>
      </c>
      <c r="BX60" s="228">
        <f>IF(BX$11=0,0,-ROUND(Assumptions!$F$13*Assumptions!$P$33*(1+Assumptions!$P$38)^(BX$9-1)/12,0))</f>
        <v/>
      </c>
      <c r="BY60" s="228">
        <f>IF(BY$11=0,0,-ROUND(Assumptions!$F$13*Assumptions!$P$33*(1+Assumptions!$P$38)^(BY$9-1)/12,0))</f>
        <v/>
      </c>
      <c r="BZ60" s="228">
        <f>IF(BZ$11=0,0,-ROUND(Assumptions!$F$13*Assumptions!$P$33*(1+Assumptions!$P$38)^(BZ$9-1)/12,0))</f>
        <v/>
      </c>
      <c r="CA60" s="228">
        <f>IF(CA$11=0,0,-ROUND(Assumptions!$F$13*Assumptions!$P$33*(1+Assumptions!$P$38)^(CA$9-1)/12,0))</f>
        <v/>
      </c>
      <c r="CB60" s="228">
        <f>IF(CB$11=0,0,-ROUND(Assumptions!$F$13*Assumptions!$P$33*(1+Assumptions!$P$38)^(CB$9-1)/12,0))</f>
        <v/>
      </c>
      <c r="CC60" s="228">
        <f>IF(CC$11=0,0,-ROUND(Assumptions!$F$13*Assumptions!$P$33*(1+Assumptions!$P$38)^(CC$9-1)/12,0))</f>
        <v/>
      </c>
      <c r="CD60" s="228">
        <f>IF(CD$11=0,0,-ROUND(Assumptions!$F$13*Assumptions!$P$33*(1+Assumptions!$P$38)^(CD$9-1)/12,0))</f>
        <v/>
      </c>
      <c r="CE60" s="228">
        <f>IF(CE$11=0,0,-ROUND(Assumptions!$F$13*Assumptions!$P$33*(1+Assumptions!$P$38)^(CE$9-1)/12,0))</f>
        <v/>
      </c>
      <c r="CF60" s="228">
        <f>IF(CF$11=0,0,-ROUND(Assumptions!$F$13*Assumptions!$P$33*(1+Assumptions!$P$38)^(CF$9-1)/12,0))</f>
        <v/>
      </c>
      <c r="CG60" s="228">
        <f>IF(CG$11=0,0,-ROUND(Assumptions!$F$13*Assumptions!$P$33*(1+Assumptions!$P$38)^(CG$9-1)/12,0))</f>
        <v/>
      </c>
      <c r="CH60" s="228">
        <f>IF(CH$11=0,0,-ROUND(Assumptions!$F$13*Assumptions!$P$33*(1+Assumptions!$P$38)^(CH$9-1)/12,0))</f>
        <v/>
      </c>
      <c r="CI60" s="228">
        <f>IF(CI$11=0,0,-ROUND(Assumptions!$F$13*Assumptions!$P$33*(1+Assumptions!$P$38)^(CI$9-1)/12,0))</f>
        <v/>
      </c>
      <c r="CJ60" s="228">
        <f>IF(CJ$11=0,0,-ROUND(Assumptions!$F$13*Assumptions!$P$33*(1+Assumptions!$P$38)^(CJ$9-1)/12,0))</f>
        <v/>
      </c>
      <c r="CK60" s="228">
        <f>IF(CK$11=0,0,-ROUND(Assumptions!$F$13*Assumptions!$P$33*(1+Assumptions!$P$38)^(CK$9-1)/12,0))</f>
        <v/>
      </c>
      <c r="CL60" s="228">
        <f>IF(CL$11=0,0,-ROUND(Assumptions!$F$13*Assumptions!$P$33*(1+Assumptions!$P$38)^(CL$9-1)/12,0))</f>
        <v/>
      </c>
      <c r="CM60" s="228">
        <f>IF(CM$11=0,0,-ROUND(Assumptions!$F$13*Assumptions!$P$33*(1+Assumptions!$P$38)^(CM$9-1)/12,0))</f>
        <v/>
      </c>
      <c r="CN60" s="228">
        <f>IF(CN$11=0,0,-ROUND(Assumptions!$F$13*Assumptions!$P$33*(1+Assumptions!$P$38)^(CN$9-1)/12,0))</f>
        <v/>
      </c>
      <c r="CO60" s="228">
        <f>IF(CO$11=0,0,-ROUND(Assumptions!$F$13*Assumptions!$P$33*(1+Assumptions!$P$38)^(CO$9-1)/12,0))</f>
        <v/>
      </c>
      <c r="CP60" s="228">
        <f>IF(CP$11=0,0,-ROUND(Assumptions!$F$13*Assumptions!$P$33*(1+Assumptions!$P$38)^(CP$9-1)/12,0))</f>
        <v/>
      </c>
      <c r="CQ60" s="228">
        <f>IF(CQ$11=0,0,-ROUND(Assumptions!$F$13*Assumptions!$P$33*(1+Assumptions!$P$38)^(CQ$9-1)/12,0))</f>
        <v/>
      </c>
      <c r="CR60" s="228">
        <f>IF(CR$11=0,0,-ROUND(Assumptions!$F$13*Assumptions!$P$33*(1+Assumptions!$P$38)^(CR$9-1)/12,0))</f>
        <v/>
      </c>
      <c r="CS60" s="228">
        <f>IF(CS$11=0,0,-ROUND(Assumptions!$F$13*Assumptions!$P$33*(1+Assumptions!$P$38)^(CS$9-1)/12,0))</f>
        <v/>
      </c>
      <c r="CT60" s="228">
        <f>IF(CT$11=0,0,-ROUND(Assumptions!$F$13*Assumptions!$P$33*(1+Assumptions!$P$38)^(CT$9-1)/12,0))</f>
        <v/>
      </c>
      <c r="CU60" s="228">
        <f>IF(CU$11=0,0,-ROUND(Assumptions!$F$13*Assumptions!$P$33*(1+Assumptions!$P$38)^(CU$9-1)/12,0))</f>
        <v/>
      </c>
      <c r="CV60" s="228">
        <f>IF(CV$11=0,0,-ROUND(Assumptions!$F$13*Assumptions!$P$33*(1+Assumptions!$P$38)^(CV$9-1)/12,0))</f>
        <v/>
      </c>
      <c r="CW60" s="228">
        <f>IF(CW$11=0,0,-ROUND(Assumptions!$F$13*Assumptions!$P$33*(1+Assumptions!$P$38)^(CW$9-1)/12,0))</f>
        <v/>
      </c>
      <c r="CX60" s="228">
        <f>IF(CX$11=0,0,-ROUND(Assumptions!$F$13*Assumptions!$P$33*(1+Assumptions!$P$38)^(CX$9-1)/12,0))</f>
        <v/>
      </c>
      <c r="CY60" s="228">
        <f>IF(CY$11=0,0,-ROUND(Assumptions!$F$13*Assumptions!$P$33*(1+Assumptions!$P$38)^(CY$9-1)/12,0))</f>
        <v/>
      </c>
      <c r="CZ60" s="228">
        <f>IF(CZ$11=0,0,-ROUND(Assumptions!$F$13*Assumptions!$P$33*(1+Assumptions!$P$38)^(CZ$9-1)/12,0))</f>
        <v/>
      </c>
      <c r="DA60" s="228">
        <f>IF(DA$11=0,0,-ROUND(Assumptions!$F$13*Assumptions!$P$33*(1+Assumptions!$P$38)^(DA$9-1)/12,0))</f>
        <v/>
      </c>
      <c r="DB60" s="228">
        <f>IF(DB$11=0,0,-ROUND(Assumptions!$F$13*Assumptions!$P$33*(1+Assumptions!$P$38)^(DB$9-1)/12,0))</f>
        <v/>
      </c>
      <c r="DC60" s="228">
        <f>IF(DC$11=0,0,-ROUND(Assumptions!$F$13*Assumptions!$P$33*(1+Assumptions!$P$38)^(DC$9-1)/12,0))</f>
        <v/>
      </c>
      <c r="DD60" s="228">
        <f>IF(DD$11=0,0,-ROUND(Assumptions!$F$13*Assumptions!$P$33*(1+Assumptions!$P$38)^(DD$9-1)/12,0))</f>
        <v/>
      </c>
      <c r="DE60" s="228">
        <f>IF(DE$11=0,0,-ROUND(Assumptions!$F$13*Assumptions!$P$33*(1+Assumptions!$P$38)^(DE$9-1)/12,0))</f>
        <v/>
      </c>
      <c r="DF60" s="228">
        <f>IF(DF$11=0,0,-ROUND(Assumptions!$F$13*Assumptions!$P$33*(1+Assumptions!$P$38)^(DF$9-1)/12,0))</f>
        <v/>
      </c>
      <c r="DG60" s="228">
        <f>IF(DG$11=0,0,-ROUND(Assumptions!$F$13*Assumptions!$P$33*(1+Assumptions!$P$38)^(DG$9-1)/12,0))</f>
        <v/>
      </c>
      <c r="DH60" s="228">
        <f>IF(DH$11=0,0,-ROUND(Assumptions!$F$13*Assumptions!$P$33*(1+Assumptions!$P$38)^(DH$9-1)/12,0))</f>
        <v/>
      </c>
      <c r="DI60" s="228">
        <f>IF(DI$11=0,0,-ROUND(Assumptions!$F$13*Assumptions!$P$33*(1+Assumptions!$P$38)^(DI$9-1)/12,0))</f>
        <v/>
      </c>
      <c r="DJ60" s="228">
        <f>IF(DJ$11=0,0,-ROUND(Assumptions!$F$13*Assumptions!$P$33*(1+Assumptions!$P$38)^(DJ$9-1)/12,0))</f>
        <v/>
      </c>
      <c r="DK60" s="228">
        <f>IF(DK$11=0,0,-ROUND(Assumptions!$F$13*Assumptions!$P$33*(1+Assumptions!$P$38)^(DK$9-1)/12,0))</f>
        <v/>
      </c>
      <c r="DL60" s="228">
        <f>IF(DL$11=0,0,-ROUND(Assumptions!$F$13*Assumptions!$P$33*(1+Assumptions!$P$38)^(DL$9-1)/12,0))</f>
        <v/>
      </c>
      <c r="DM60" s="228">
        <f>IF(DM$11=0,0,-ROUND(Assumptions!$F$13*Assumptions!$P$33*(1+Assumptions!$P$38)^(DM$9-1)/12,0))</f>
        <v/>
      </c>
      <c r="DN60" s="228">
        <f>IF(DN$11=0,0,-ROUND(Assumptions!$F$13*Assumptions!$P$33*(1+Assumptions!$P$38)^(DN$9-1)/12,0))</f>
        <v/>
      </c>
      <c r="DO60" s="228">
        <f>IF(DO$11=0,0,-ROUND(Assumptions!$F$13*Assumptions!$P$33*(1+Assumptions!$P$38)^(DO$9-1)/12,0))</f>
        <v/>
      </c>
      <c r="DP60" s="228">
        <f>IF(DP$11=0,0,-ROUND(Assumptions!$F$13*Assumptions!$P$33*(1+Assumptions!$P$38)^(DP$9-1)/12,0))</f>
        <v/>
      </c>
      <c r="DQ60" s="228">
        <f>IF(DQ$11=0,0,-ROUND(Assumptions!$F$13*Assumptions!$P$33*(1+Assumptions!$P$38)^(DQ$9-1)/12,0))</f>
        <v/>
      </c>
      <c r="DR60" s="228">
        <f>IF(DR$11=0,0,-ROUND(Assumptions!$F$13*Assumptions!$P$33*(1+Assumptions!$P$38)^(DR$9-1)/12,0))</f>
        <v/>
      </c>
      <c r="DS60" s="228">
        <f>IF(DS$11=0,0,-ROUND(Assumptions!$F$13*Assumptions!$P$33*(1+Assumptions!$P$38)^(DS$9-1)/12,0))</f>
        <v/>
      </c>
      <c r="DT60" s="228">
        <f>IF(DT$11=0,0,-ROUND(Assumptions!$F$13*Assumptions!$P$33*(1+Assumptions!$P$38)^(DT$9-1)/12,0))</f>
        <v/>
      </c>
    </row>
    <row r="61" ht="15" customHeight="1" s="148">
      <c r="A61" s="110" t="inlineStr">
        <is>
          <t>Total Non-Operating Expenses</t>
        </is>
      </c>
      <c r="C61" s="228">
        <f>SUM(D61:DT61)</f>
        <v/>
      </c>
      <c r="D61" s="228">
        <f>D$60</f>
        <v/>
      </c>
      <c r="E61" s="228">
        <f>E$60</f>
        <v/>
      </c>
      <c r="F61" s="228">
        <f>F$60</f>
        <v/>
      </c>
      <c r="G61" s="228">
        <f>G$60</f>
        <v/>
      </c>
      <c r="H61" s="228">
        <f>H$60</f>
        <v/>
      </c>
      <c r="I61" s="228">
        <f>I$60</f>
        <v/>
      </c>
      <c r="J61" s="228">
        <f>J$60</f>
        <v/>
      </c>
      <c r="K61" s="228">
        <f>K$60</f>
        <v/>
      </c>
      <c r="L61" s="228">
        <f>L$60</f>
        <v/>
      </c>
      <c r="M61" s="228">
        <f>M$60</f>
        <v/>
      </c>
      <c r="N61" s="228">
        <f>N$60</f>
        <v/>
      </c>
      <c r="O61" s="228">
        <f>O$60</f>
        <v/>
      </c>
      <c r="P61" s="228">
        <f>P$60</f>
        <v/>
      </c>
      <c r="Q61" s="228">
        <f>Q$60</f>
        <v/>
      </c>
      <c r="R61" s="228">
        <f>R$60</f>
        <v/>
      </c>
      <c r="S61" s="228">
        <f>S$60</f>
        <v/>
      </c>
      <c r="T61" s="228">
        <f>T$60</f>
        <v/>
      </c>
      <c r="U61" s="228">
        <f>U$60</f>
        <v/>
      </c>
      <c r="V61" s="228">
        <f>V$60</f>
        <v/>
      </c>
      <c r="W61" s="228">
        <f>W$60</f>
        <v/>
      </c>
      <c r="X61" s="228">
        <f>X$60</f>
        <v/>
      </c>
      <c r="Y61" s="228">
        <f>Y$60</f>
        <v/>
      </c>
      <c r="Z61" s="228">
        <f>Z$60</f>
        <v/>
      </c>
      <c r="AA61" s="228">
        <f>AA$60</f>
        <v/>
      </c>
      <c r="AB61" s="228">
        <f>AB$60</f>
        <v/>
      </c>
      <c r="AC61" s="228">
        <f>AC$60</f>
        <v/>
      </c>
      <c r="AD61" s="228">
        <f>AD$60</f>
        <v/>
      </c>
      <c r="AE61" s="228">
        <f>AE$60</f>
        <v/>
      </c>
      <c r="AF61" s="228">
        <f>AF$60</f>
        <v/>
      </c>
      <c r="AG61" s="228">
        <f>AG$60</f>
        <v/>
      </c>
      <c r="AH61" s="228">
        <f>AH$60</f>
        <v/>
      </c>
      <c r="AI61" s="228">
        <f>AI$60</f>
        <v/>
      </c>
      <c r="AJ61" s="228">
        <f>AJ$60</f>
        <v/>
      </c>
      <c r="AK61" s="228">
        <f>AK$60</f>
        <v/>
      </c>
      <c r="AL61" s="228">
        <f>AL$60</f>
        <v/>
      </c>
      <c r="AM61" s="228">
        <f>AM$60</f>
        <v/>
      </c>
      <c r="AN61" s="228">
        <f>AN$60</f>
        <v/>
      </c>
      <c r="AO61" s="228">
        <f>AO$60</f>
        <v/>
      </c>
      <c r="AP61" s="228">
        <f>AP$60</f>
        <v/>
      </c>
      <c r="AQ61" s="228">
        <f>AQ$60</f>
        <v/>
      </c>
      <c r="AR61" s="228">
        <f>AR$60</f>
        <v/>
      </c>
      <c r="AS61" s="228">
        <f>AS$60</f>
        <v/>
      </c>
      <c r="AT61" s="228">
        <f>AT$60</f>
        <v/>
      </c>
      <c r="AU61" s="228">
        <f>AU$60</f>
        <v/>
      </c>
      <c r="AV61" s="228">
        <f>AV$60</f>
        <v/>
      </c>
      <c r="AW61" s="228">
        <f>AW$60</f>
        <v/>
      </c>
      <c r="AX61" s="228">
        <f>AX$60</f>
        <v/>
      </c>
      <c r="AY61" s="228">
        <f>AY$60</f>
        <v/>
      </c>
      <c r="AZ61" s="228">
        <f>AZ$60</f>
        <v/>
      </c>
      <c r="BA61" s="228">
        <f>BA$60</f>
        <v/>
      </c>
      <c r="BB61" s="228">
        <f>BB$60</f>
        <v/>
      </c>
      <c r="BC61" s="228">
        <f>BC$60</f>
        <v/>
      </c>
      <c r="BD61" s="228">
        <f>BD$60</f>
        <v/>
      </c>
      <c r="BE61" s="228">
        <f>BE$60</f>
        <v/>
      </c>
      <c r="BF61" s="228">
        <f>BF$60</f>
        <v/>
      </c>
      <c r="BG61" s="228">
        <f>BG$60</f>
        <v/>
      </c>
      <c r="BH61" s="228">
        <f>BH$60</f>
        <v/>
      </c>
      <c r="BI61" s="228">
        <f>BI$60</f>
        <v/>
      </c>
      <c r="BJ61" s="228">
        <f>BJ$60</f>
        <v/>
      </c>
      <c r="BK61" s="228">
        <f>BK$60</f>
        <v/>
      </c>
      <c r="BL61" s="228">
        <f>BL$60</f>
        <v/>
      </c>
      <c r="BM61" s="228">
        <f>BM$60</f>
        <v/>
      </c>
      <c r="BN61" s="228">
        <f>BN$60</f>
        <v/>
      </c>
      <c r="BO61" s="228">
        <f>BO$60</f>
        <v/>
      </c>
      <c r="BP61" s="228">
        <f>BP$60</f>
        <v/>
      </c>
      <c r="BQ61" s="228">
        <f>BQ$60</f>
        <v/>
      </c>
      <c r="BR61" s="228">
        <f>BR$60</f>
        <v/>
      </c>
      <c r="BS61" s="228">
        <f>BS$60</f>
        <v/>
      </c>
      <c r="BT61" s="228">
        <f>BT$60</f>
        <v/>
      </c>
      <c r="BU61" s="228">
        <f>BU$60</f>
        <v/>
      </c>
      <c r="BV61" s="228">
        <f>BV$60</f>
        <v/>
      </c>
      <c r="BW61" s="228">
        <f>BW$60</f>
        <v/>
      </c>
      <c r="BX61" s="228">
        <f>BX$60</f>
        <v/>
      </c>
      <c r="BY61" s="228">
        <f>BY$60</f>
        <v/>
      </c>
      <c r="BZ61" s="228">
        <f>BZ$60</f>
        <v/>
      </c>
      <c r="CA61" s="228">
        <f>CA$60</f>
        <v/>
      </c>
      <c r="CB61" s="228">
        <f>CB$60</f>
        <v/>
      </c>
      <c r="CC61" s="228">
        <f>CC$60</f>
        <v/>
      </c>
      <c r="CD61" s="228">
        <f>CD$60</f>
        <v/>
      </c>
      <c r="CE61" s="228">
        <f>CE$60</f>
        <v/>
      </c>
      <c r="CF61" s="228">
        <f>CF$60</f>
        <v/>
      </c>
      <c r="CG61" s="228">
        <f>CG$60</f>
        <v/>
      </c>
      <c r="CH61" s="228">
        <f>CH$60</f>
        <v/>
      </c>
      <c r="CI61" s="228">
        <f>CI$60</f>
        <v/>
      </c>
      <c r="CJ61" s="228">
        <f>CJ$60</f>
        <v/>
      </c>
      <c r="CK61" s="228">
        <f>CK$60</f>
        <v/>
      </c>
      <c r="CL61" s="228">
        <f>CL$60</f>
        <v/>
      </c>
      <c r="CM61" s="228">
        <f>CM$60</f>
        <v/>
      </c>
      <c r="CN61" s="228">
        <f>CN$60</f>
        <v/>
      </c>
      <c r="CO61" s="228">
        <f>CO$60</f>
        <v/>
      </c>
      <c r="CP61" s="228">
        <f>CP$60</f>
        <v/>
      </c>
      <c r="CQ61" s="228">
        <f>CQ$60</f>
        <v/>
      </c>
      <c r="CR61" s="228">
        <f>CR$60</f>
        <v/>
      </c>
      <c r="CS61" s="228">
        <f>CS$60</f>
        <v/>
      </c>
      <c r="CT61" s="228">
        <f>CT$60</f>
        <v/>
      </c>
      <c r="CU61" s="228">
        <f>CU$60</f>
        <v/>
      </c>
      <c r="CV61" s="228">
        <f>CV$60</f>
        <v/>
      </c>
      <c r="CW61" s="228">
        <f>CW$60</f>
        <v/>
      </c>
      <c r="CX61" s="228">
        <f>CX$60</f>
        <v/>
      </c>
      <c r="CY61" s="228">
        <f>CY$60</f>
        <v/>
      </c>
      <c r="CZ61" s="228">
        <f>CZ$60</f>
        <v/>
      </c>
      <c r="DA61" s="228">
        <f>DA$60</f>
        <v/>
      </c>
      <c r="DB61" s="228">
        <f>DB$60</f>
        <v/>
      </c>
      <c r="DC61" s="228">
        <f>DC$60</f>
        <v/>
      </c>
      <c r="DD61" s="228">
        <f>DD$60</f>
        <v/>
      </c>
      <c r="DE61" s="228">
        <f>DE$60</f>
        <v/>
      </c>
      <c r="DF61" s="228">
        <f>DF$60</f>
        <v/>
      </c>
      <c r="DG61" s="228">
        <f>DG$60</f>
        <v/>
      </c>
      <c r="DH61" s="228">
        <f>DH$60</f>
        <v/>
      </c>
      <c r="DI61" s="228">
        <f>DI$60</f>
        <v/>
      </c>
      <c r="DJ61" s="228">
        <f>DJ$60</f>
        <v/>
      </c>
      <c r="DK61" s="228">
        <f>DK$60</f>
        <v/>
      </c>
      <c r="DL61" s="228">
        <f>DL$60</f>
        <v/>
      </c>
      <c r="DM61" s="228">
        <f>DM$60</f>
        <v/>
      </c>
      <c r="DN61" s="228">
        <f>DN$60</f>
        <v/>
      </c>
      <c r="DO61" s="228">
        <f>DO$60</f>
        <v/>
      </c>
      <c r="DP61" s="228">
        <f>DP$60</f>
        <v/>
      </c>
      <c r="DQ61" s="228">
        <f>DQ$60</f>
        <v/>
      </c>
      <c r="DR61" s="228">
        <f>DR$60</f>
        <v/>
      </c>
      <c r="DS61" s="228">
        <f>DS$60</f>
        <v/>
      </c>
      <c r="DT61" s="228">
        <f>DT$60</f>
        <v/>
      </c>
    </row>
    <row r="63" ht="15" customHeight="1" s="148">
      <c r="A63" s="110" t="inlineStr">
        <is>
          <t>Capital Expenditures</t>
        </is>
      </c>
      <c r="C63" s="228">
        <f>SUM(D63:DT63)</f>
        <v/>
      </c>
      <c r="D63" s="228" t="n"/>
      <c r="E63" s="228" t="n"/>
      <c r="F63" s="228" t="n"/>
      <c r="G63" s="228" t="n"/>
      <c r="H63" s="228" t="n"/>
      <c r="I63" s="228" t="n"/>
      <c r="J63" s="228" t="n"/>
      <c r="K63" s="228" t="n"/>
      <c r="L63" s="228" t="n"/>
      <c r="M63" s="228" t="n"/>
      <c r="N63" s="228" t="n"/>
      <c r="O63" s="228" t="n"/>
      <c r="P63" s="228" t="n"/>
      <c r="Q63" s="228" t="n"/>
      <c r="R63" s="228" t="n"/>
      <c r="S63" s="228" t="n"/>
      <c r="T63" s="228" t="n"/>
      <c r="U63" s="228" t="n"/>
      <c r="V63" s="228" t="n"/>
      <c r="W63" s="228" t="n"/>
      <c r="X63" s="228" t="n"/>
      <c r="Y63" s="228" t="n"/>
      <c r="Z63" s="228" t="n"/>
      <c r="AA63" s="228" t="n"/>
      <c r="AB63" s="228" t="n"/>
      <c r="AC63" s="228" t="n"/>
      <c r="AD63" s="228" t="n"/>
      <c r="AE63" s="228" t="n"/>
      <c r="AF63" s="228" t="n"/>
      <c r="AG63" s="228" t="n"/>
      <c r="AH63" s="228" t="n"/>
      <c r="AI63" s="228" t="n"/>
      <c r="AJ63" s="228" t="n"/>
      <c r="AK63" s="228" t="n"/>
      <c r="AL63" s="228" t="n"/>
      <c r="AM63" s="228" t="n"/>
      <c r="AN63" s="228" t="n"/>
      <c r="AO63" s="228" t="n"/>
      <c r="AP63" s="228" t="n"/>
      <c r="AQ63" s="228" t="n"/>
      <c r="AR63" s="228" t="n"/>
      <c r="AS63" s="228" t="n"/>
      <c r="AT63" s="228" t="n"/>
      <c r="AU63" s="228" t="n"/>
      <c r="AV63" s="228" t="n"/>
      <c r="AW63" s="228" t="n"/>
      <c r="AX63" s="228" t="n"/>
      <c r="AY63" s="228" t="n"/>
      <c r="AZ63" s="228" t="n"/>
      <c r="BA63" s="228" t="n"/>
      <c r="BB63" s="228" t="n"/>
      <c r="BC63" s="228" t="n"/>
      <c r="BD63" s="228" t="n"/>
      <c r="BE63" s="228" t="n"/>
      <c r="BF63" s="228" t="n"/>
      <c r="BG63" s="228" t="n"/>
      <c r="BH63" s="228" t="n"/>
      <c r="BI63" s="228" t="n"/>
      <c r="BJ63" s="228" t="n"/>
      <c r="BK63" s="228" t="n"/>
      <c r="BL63" s="228" t="n"/>
      <c r="BM63" s="228" t="n"/>
      <c r="BN63" s="228" t="n"/>
      <c r="BO63" s="228" t="n"/>
      <c r="BP63" s="228" t="n"/>
      <c r="BQ63" s="228" t="n"/>
      <c r="BR63" s="228" t="n"/>
      <c r="BS63" s="228" t="n"/>
      <c r="BT63" s="228" t="n"/>
      <c r="BU63" s="228" t="n"/>
      <c r="BV63" s="228" t="n"/>
      <c r="BW63" s="228" t="n"/>
      <c r="BX63" s="228" t="n"/>
      <c r="BY63" s="228" t="n"/>
      <c r="BZ63" s="228" t="n"/>
      <c r="CA63" s="228" t="n"/>
      <c r="CB63" s="228" t="n"/>
      <c r="CC63" s="228" t="n"/>
      <c r="CD63" s="228" t="n"/>
      <c r="CE63" s="228" t="n"/>
      <c r="CF63" s="228" t="n"/>
      <c r="CG63" s="228" t="n"/>
      <c r="CH63" s="228" t="n"/>
      <c r="CI63" s="228" t="n"/>
      <c r="CJ63" s="228" t="n"/>
      <c r="CK63" s="228" t="n"/>
      <c r="CL63" s="228" t="n"/>
      <c r="CM63" s="228" t="n"/>
      <c r="CN63" s="228" t="n"/>
      <c r="CO63" s="228" t="n"/>
      <c r="CP63" s="228" t="n"/>
      <c r="CQ63" s="228" t="n"/>
      <c r="CR63" s="228" t="n"/>
      <c r="CS63" s="228" t="n"/>
      <c r="CT63" s="228" t="n"/>
      <c r="CU63" s="228" t="n"/>
      <c r="CV63" s="228" t="n"/>
      <c r="CW63" s="228" t="n"/>
      <c r="CX63" s="228" t="n"/>
      <c r="CY63" s="228" t="n"/>
      <c r="CZ63" s="228" t="n"/>
      <c r="DA63" s="228" t="n"/>
      <c r="DB63" s="228" t="n"/>
      <c r="DC63" s="228" t="n"/>
      <c r="DD63" s="228" t="n"/>
      <c r="DE63" s="228" t="n"/>
      <c r="DF63" s="228" t="n"/>
      <c r="DG63" s="228" t="n"/>
      <c r="DH63" s="228" t="n"/>
      <c r="DI63" s="228" t="n"/>
      <c r="DJ63" s="228" t="n"/>
      <c r="DK63" s="228" t="n"/>
      <c r="DL63" s="228" t="n"/>
      <c r="DM63" s="228" t="n"/>
      <c r="DN63" s="228" t="n"/>
      <c r="DO63" s="228" t="n"/>
      <c r="DP63" s="228" t="n"/>
      <c r="DQ63" s="228" t="n"/>
      <c r="DR63" s="228" t="n"/>
      <c r="DS63" s="228" t="n"/>
      <c r="DT63" s="228" t="n"/>
    </row>
    <row r="64" ht="15" customHeight="1" s="148">
      <c r="A64" s="112" t="inlineStr">
        <is>
          <t>Base Tenant Improvements</t>
        </is>
      </c>
      <c r="C64" s="228">
        <f>SUM(D64:DT64)</f>
        <v/>
      </c>
      <c r="D64" s="228">
        <f>IF(D$11=FB141,-'Rent Roll'!$B$9*'Rent Roll'!$L$9,0)+IF(D$11=FB142,-'Rent Roll'!$B$10*'Rent Roll'!$L$10,0)+IF(D$11=FB143,-'Rent Roll'!$B$11*'Rent Roll'!$L$11,0)+IF(D$11=FB144,-'Rent Roll'!$B$12*'Rent Roll'!$L$12,0)+IF(D$11=FB145,-'Rent Roll'!$B$13*'Rent Roll'!$L$13,0)</f>
        <v/>
      </c>
      <c r="E64" s="228">
        <f>IF(E$11=FB141,-'Rent Roll'!$B$9*'Rent Roll'!$L$9,0)+IF(E$11=FB142,-'Rent Roll'!$B$10*'Rent Roll'!$L$10,0)+IF(E$11=FB143,-'Rent Roll'!$B$11*'Rent Roll'!$L$11,0)+IF(E$11=FB144,-'Rent Roll'!$B$12*'Rent Roll'!$L$12,0)+IF(E$11=FB145,-'Rent Roll'!$B$13*'Rent Roll'!$L$13,0)</f>
        <v/>
      </c>
      <c r="F64" s="228">
        <f>IF(F$11=FB141,-'Rent Roll'!$B$9*'Rent Roll'!$L$9,0)+IF(F$11=FB142,-'Rent Roll'!$B$10*'Rent Roll'!$L$10,0)+IF(F$11=FB143,-'Rent Roll'!$B$11*'Rent Roll'!$L$11,0)+IF(F$11=FB144,-'Rent Roll'!$B$12*'Rent Roll'!$L$12,0)+IF(F$11=FB145,-'Rent Roll'!$B$13*'Rent Roll'!$L$13,0)</f>
        <v/>
      </c>
      <c r="G64" s="228">
        <f>IF(G$11=FB141,-'Rent Roll'!$B$9*'Rent Roll'!$L$9,0)+IF(G$11=FB142,-'Rent Roll'!$B$10*'Rent Roll'!$L$10,0)+IF(G$11=FB143,-'Rent Roll'!$B$11*'Rent Roll'!$L$11,0)+IF(G$11=FB144,-'Rent Roll'!$B$12*'Rent Roll'!$L$12,0)+IF(G$11=FB145,-'Rent Roll'!$B$13*'Rent Roll'!$L$13,0)</f>
        <v/>
      </c>
      <c r="H64" s="228">
        <f>IF(H$11=FB141,-'Rent Roll'!$B$9*'Rent Roll'!$L$9,0)+IF(H$11=FB142,-'Rent Roll'!$B$10*'Rent Roll'!$L$10,0)+IF(H$11=FB143,-'Rent Roll'!$B$11*'Rent Roll'!$L$11,0)+IF(H$11=FB144,-'Rent Roll'!$B$12*'Rent Roll'!$L$12,0)+IF(H$11=FB145,-'Rent Roll'!$B$13*'Rent Roll'!$L$13,0)</f>
        <v/>
      </c>
      <c r="I64" s="228">
        <f>IF(I$11=FB141,-'Rent Roll'!$B$9*'Rent Roll'!$L$9,0)+IF(I$11=FB142,-'Rent Roll'!$B$10*'Rent Roll'!$L$10,0)+IF(I$11=FB143,-'Rent Roll'!$B$11*'Rent Roll'!$L$11,0)+IF(I$11=FB144,-'Rent Roll'!$B$12*'Rent Roll'!$L$12,0)+IF(I$11=FB145,-'Rent Roll'!$B$13*'Rent Roll'!$L$13,0)</f>
        <v/>
      </c>
      <c r="J64" s="228">
        <f>IF(J$11=FB141,-'Rent Roll'!$B$9*'Rent Roll'!$L$9,0)+IF(J$11=FB142,-'Rent Roll'!$B$10*'Rent Roll'!$L$10,0)+IF(J$11=FB143,-'Rent Roll'!$B$11*'Rent Roll'!$L$11,0)+IF(J$11=FB144,-'Rent Roll'!$B$12*'Rent Roll'!$L$12,0)+IF(J$11=FB145,-'Rent Roll'!$B$13*'Rent Roll'!$L$13,0)</f>
        <v/>
      </c>
      <c r="K64" s="228">
        <f>IF(K$11=FB141,-'Rent Roll'!$B$9*'Rent Roll'!$L$9,0)+IF(K$11=FB142,-'Rent Roll'!$B$10*'Rent Roll'!$L$10,0)+IF(K$11=FB143,-'Rent Roll'!$B$11*'Rent Roll'!$L$11,0)+IF(K$11=FB144,-'Rent Roll'!$B$12*'Rent Roll'!$L$12,0)+IF(K$11=FB145,-'Rent Roll'!$B$13*'Rent Roll'!$L$13,0)</f>
        <v/>
      </c>
      <c r="L64" s="228">
        <f>IF(L$11=FB141,-'Rent Roll'!$B$9*'Rent Roll'!$L$9,0)+IF(L$11=FB142,-'Rent Roll'!$B$10*'Rent Roll'!$L$10,0)+IF(L$11=FB143,-'Rent Roll'!$B$11*'Rent Roll'!$L$11,0)+IF(L$11=FB144,-'Rent Roll'!$B$12*'Rent Roll'!$L$12,0)+IF(L$11=FB145,-'Rent Roll'!$B$13*'Rent Roll'!$L$13,0)</f>
        <v/>
      </c>
      <c r="M64" s="228">
        <f>IF(M$11=FB141,-'Rent Roll'!$B$9*'Rent Roll'!$L$9,0)+IF(M$11=FB142,-'Rent Roll'!$B$10*'Rent Roll'!$L$10,0)+IF(M$11=FB143,-'Rent Roll'!$B$11*'Rent Roll'!$L$11,0)+IF(M$11=FB144,-'Rent Roll'!$B$12*'Rent Roll'!$L$12,0)+IF(M$11=FB145,-'Rent Roll'!$B$13*'Rent Roll'!$L$13,0)</f>
        <v/>
      </c>
      <c r="N64" s="228">
        <f>IF(N$11=FB141,-'Rent Roll'!$B$9*'Rent Roll'!$L$9,0)+IF(N$11=FB142,-'Rent Roll'!$B$10*'Rent Roll'!$L$10,0)+IF(N$11=FB143,-'Rent Roll'!$B$11*'Rent Roll'!$L$11,0)+IF(N$11=FB144,-'Rent Roll'!$B$12*'Rent Roll'!$L$12,0)+IF(N$11=FB145,-'Rent Roll'!$B$13*'Rent Roll'!$L$13,0)</f>
        <v/>
      </c>
      <c r="O64" s="228">
        <f>IF(O$11=FB141,-'Rent Roll'!$B$9*'Rent Roll'!$L$9,0)+IF(O$11=FB142,-'Rent Roll'!$B$10*'Rent Roll'!$L$10,0)+IF(O$11=FB143,-'Rent Roll'!$B$11*'Rent Roll'!$L$11,0)+IF(O$11=FB144,-'Rent Roll'!$B$12*'Rent Roll'!$L$12,0)+IF(O$11=FB145,-'Rent Roll'!$B$13*'Rent Roll'!$L$13,0)</f>
        <v/>
      </c>
      <c r="P64" s="228">
        <f>IF(P$11=FB141,-'Rent Roll'!$B$9*'Rent Roll'!$L$9,0)+IF(P$11=FB142,-'Rent Roll'!$B$10*'Rent Roll'!$L$10,0)+IF(P$11=FB143,-'Rent Roll'!$B$11*'Rent Roll'!$L$11,0)+IF(P$11=FB144,-'Rent Roll'!$B$12*'Rent Roll'!$L$12,0)+IF(P$11=FB145,-'Rent Roll'!$B$13*'Rent Roll'!$L$13,0)</f>
        <v/>
      </c>
      <c r="Q64" s="228">
        <f>IF(Q$11=FB141,-'Rent Roll'!$B$9*'Rent Roll'!$L$9,0)+IF(Q$11=FB142,-'Rent Roll'!$B$10*'Rent Roll'!$L$10,0)+IF(Q$11=FB143,-'Rent Roll'!$B$11*'Rent Roll'!$L$11,0)+IF(Q$11=FB144,-'Rent Roll'!$B$12*'Rent Roll'!$L$12,0)+IF(Q$11=FB145,-'Rent Roll'!$B$13*'Rent Roll'!$L$13,0)</f>
        <v/>
      </c>
      <c r="R64" s="228">
        <f>IF(R$11=FB141,-'Rent Roll'!$B$9*'Rent Roll'!$L$9,0)+IF(R$11=FB142,-'Rent Roll'!$B$10*'Rent Roll'!$L$10,0)+IF(R$11=FB143,-'Rent Roll'!$B$11*'Rent Roll'!$L$11,0)+IF(R$11=FB144,-'Rent Roll'!$B$12*'Rent Roll'!$L$12,0)+IF(R$11=FB145,-'Rent Roll'!$B$13*'Rent Roll'!$L$13,0)</f>
        <v/>
      </c>
      <c r="S64" s="228">
        <f>IF(S$11=FB141,-'Rent Roll'!$B$9*'Rent Roll'!$L$9,0)+IF(S$11=FB142,-'Rent Roll'!$B$10*'Rent Roll'!$L$10,0)+IF(S$11=FB143,-'Rent Roll'!$B$11*'Rent Roll'!$L$11,0)+IF(S$11=FB144,-'Rent Roll'!$B$12*'Rent Roll'!$L$12,0)+IF(S$11=FB145,-'Rent Roll'!$B$13*'Rent Roll'!$L$13,0)</f>
        <v/>
      </c>
      <c r="T64" s="228">
        <f>IF(T$11=FB141,-'Rent Roll'!$B$9*'Rent Roll'!$L$9,0)+IF(T$11=FB142,-'Rent Roll'!$B$10*'Rent Roll'!$L$10,0)+IF(T$11=FB143,-'Rent Roll'!$B$11*'Rent Roll'!$L$11,0)+IF(T$11=FB144,-'Rent Roll'!$B$12*'Rent Roll'!$L$12,0)+IF(T$11=FB145,-'Rent Roll'!$B$13*'Rent Roll'!$L$13,0)</f>
        <v/>
      </c>
      <c r="U64" s="228">
        <f>IF(U$11=FB141,-'Rent Roll'!$B$9*'Rent Roll'!$L$9,0)+IF(U$11=FB142,-'Rent Roll'!$B$10*'Rent Roll'!$L$10,0)+IF(U$11=FB143,-'Rent Roll'!$B$11*'Rent Roll'!$L$11,0)+IF(U$11=FB144,-'Rent Roll'!$B$12*'Rent Roll'!$L$12,0)+IF(U$11=FB145,-'Rent Roll'!$B$13*'Rent Roll'!$L$13,0)</f>
        <v/>
      </c>
      <c r="V64" s="228">
        <f>IF(V$11=FB141,-'Rent Roll'!$B$9*'Rent Roll'!$L$9,0)+IF(V$11=FB142,-'Rent Roll'!$B$10*'Rent Roll'!$L$10,0)+IF(V$11=FB143,-'Rent Roll'!$B$11*'Rent Roll'!$L$11,0)+IF(V$11=FB144,-'Rent Roll'!$B$12*'Rent Roll'!$L$12,0)+IF(V$11=FB145,-'Rent Roll'!$B$13*'Rent Roll'!$L$13,0)</f>
        <v/>
      </c>
      <c r="W64" s="228">
        <f>IF(W$11=FB141,-'Rent Roll'!$B$9*'Rent Roll'!$L$9,0)+IF(W$11=FB142,-'Rent Roll'!$B$10*'Rent Roll'!$L$10,0)+IF(W$11=FB143,-'Rent Roll'!$B$11*'Rent Roll'!$L$11,0)+IF(W$11=FB144,-'Rent Roll'!$B$12*'Rent Roll'!$L$12,0)+IF(W$11=FB145,-'Rent Roll'!$B$13*'Rent Roll'!$L$13,0)</f>
        <v/>
      </c>
      <c r="X64" s="228">
        <f>IF(X$11=FB141,-'Rent Roll'!$B$9*'Rent Roll'!$L$9,0)+IF(X$11=FB142,-'Rent Roll'!$B$10*'Rent Roll'!$L$10,0)+IF(X$11=FB143,-'Rent Roll'!$B$11*'Rent Roll'!$L$11,0)+IF(X$11=FB144,-'Rent Roll'!$B$12*'Rent Roll'!$L$12,0)+IF(X$11=FB145,-'Rent Roll'!$B$13*'Rent Roll'!$L$13,0)</f>
        <v/>
      </c>
      <c r="Y64" s="228">
        <f>IF(Y$11=FB141,-'Rent Roll'!$B$9*'Rent Roll'!$L$9,0)+IF(Y$11=FB142,-'Rent Roll'!$B$10*'Rent Roll'!$L$10,0)+IF(Y$11=FB143,-'Rent Roll'!$B$11*'Rent Roll'!$L$11,0)+IF(Y$11=FB144,-'Rent Roll'!$B$12*'Rent Roll'!$L$12,0)+IF(Y$11=FB145,-'Rent Roll'!$B$13*'Rent Roll'!$L$13,0)</f>
        <v/>
      </c>
      <c r="Z64" s="228">
        <f>IF(Z$11=FB141,-'Rent Roll'!$B$9*'Rent Roll'!$L$9,0)+IF(Z$11=FB142,-'Rent Roll'!$B$10*'Rent Roll'!$L$10,0)+IF(Z$11=FB143,-'Rent Roll'!$B$11*'Rent Roll'!$L$11,0)+IF(Z$11=FB144,-'Rent Roll'!$B$12*'Rent Roll'!$L$12,0)+IF(Z$11=FB145,-'Rent Roll'!$B$13*'Rent Roll'!$L$13,0)</f>
        <v/>
      </c>
      <c r="AA64" s="228">
        <f>IF(AA$11=FB141,-'Rent Roll'!$B$9*'Rent Roll'!$L$9,0)+IF(AA$11=FB142,-'Rent Roll'!$B$10*'Rent Roll'!$L$10,0)+IF(AA$11=FB143,-'Rent Roll'!$B$11*'Rent Roll'!$L$11,0)+IF(AA$11=FB144,-'Rent Roll'!$B$12*'Rent Roll'!$L$12,0)+IF(AA$11=FB145,-'Rent Roll'!$B$13*'Rent Roll'!$L$13,0)</f>
        <v/>
      </c>
      <c r="AB64" s="228">
        <f>IF(AB$11=FB141,-'Rent Roll'!$B$9*'Rent Roll'!$L$9,0)+IF(AB$11=FB142,-'Rent Roll'!$B$10*'Rent Roll'!$L$10,0)+IF(AB$11=FB143,-'Rent Roll'!$B$11*'Rent Roll'!$L$11,0)+IF(AB$11=FB144,-'Rent Roll'!$B$12*'Rent Roll'!$L$12,0)+IF(AB$11=FB145,-'Rent Roll'!$B$13*'Rent Roll'!$L$13,0)</f>
        <v/>
      </c>
      <c r="AC64" s="228">
        <f>IF(AC$11=FB141,-'Rent Roll'!$B$9*'Rent Roll'!$L$9,0)+IF(AC$11=FB142,-'Rent Roll'!$B$10*'Rent Roll'!$L$10,0)+IF(AC$11=FB143,-'Rent Roll'!$B$11*'Rent Roll'!$L$11,0)+IF(AC$11=FB144,-'Rent Roll'!$B$12*'Rent Roll'!$L$12,0)+IF(AC$11=FB145,-'Rent Roll'!$B$13*'Rent Roll'!$L$13,0)</f>
        <v/>
      </c>
      <c r="AD64" s="228">
        <f>IF(AD$11=FB141,-'Rent Roll'!$B$9*'Rent Roll'!$L$9,0)+IF(AD$11=FB142,-'Rent Roll'!$B$10*'Rent Roll'!$L$10,0)+IF(AD$11=FB143,-'Rent Roll'!$B$11*'Rent Roll'!$L$11,0)+IF(AD$11=FB144,-'Rent Roll'!$B$12*'Rent Roll'!$L$12,0)+IF(AD$11=FB145,-'Rent Roll'!$B$13*'Rent Roll'!$L$13,0)</f>
        <v/>
      </c>
      <c r="AE64" s="228">
        <f>IF(AE$11=FB141,-'Rent Roll'!$B$9*'Rent Roll'!$L$9,0)+IF(AE$11=FB142,-'Rent Roll'!$B$10*'Rent Roll'!$L$10,0)+IF(AE$11=FB143,-'Rent Roll'!$B$11*'Rent Roll'!$L$11,0)+IF(AE$11=FB144,-'Rent Roll'!$B$12*'Rent Roll'!$L$12,0)+IF(AE$11=FB145,-'Rent Roll'!$B$13*'Rent Roll'!$L$13,0)</f>
        <v/>
      </c>
      <c r="AF64" s="228">
        <f>IF(AF$11=FB141,-'Rent Roll'!$B$9*'Rent Roll'!$L$9,0)+IF(AF$11=FB142,-'Rent Roll'!$B$10*'Rent Roll'!$L$10,0)+IF(AF$11=FB143,-'Rent Roll'!$B$11*'Rent Roll'!$L$11,0)+IF(AF$11=FB144,-'Rent Roll'!$B$12*'Rent Roll'!$L$12,0)+IF(AF$11=FB145,-'Rent Roll'!$B$13*'Rent Roll'!$L$13,0)</f>
        <v/>
      </c>
      <c r="AG64" s="228">
        <f>IF(AG$11=FB141,-'Rent Roll'!$B$9*'Rent Roll'!$L$9,0)+IF(AG$11=FB142,-'Rent Roll'!$B$10*'Rent Roll'!$L$10,0)+IF(AG$11=FB143,-'Rent Roll'!$B$11*'Rent Roll'!$L$11,0)+IF(AG$11=FB144,-'Rent Roll'!$B$12*'Rent Roll'!$L$12,0)+IF(AG$11=FB145,-'Rent Roll'!$B$13*'Rent Roll'!$L$13,0)</f>
        <v/>
      </c>
      <c r="AH64" s="228">
        <f>IF(AH$11=FB141,-'Rent Roll'!$B$9*'Rent Roll'!$L$9,0)+IF(AH$11=FB142,-'Rent Roll'!$B$10*'Rent Roll'!$L$10,0)+IF(AH$11=FB143,-'Rent Roll'!$B$11*'Rent Roll'!$L$11,0)+IF(AH$11=FB144,-'Rent Roll'!$B$12*'Rent Roll'!$L$12,0)+IF(AH$11=FB145,-'Rent Roll'!$B$13*'Rent Roll'!$L$13,0)</f>
        <v/>
      </c>
      <c r="AI64" s="228">
        <f>IF(AI$11=FB141,-'Rent Roll'!$B$9*'Rent Roll'!$L$9,0)+IF(AI$11=FB142,-'Rent Roll'!$B$10*'Rent Roll'!$L$10,0)+IF(AI$11=FB143,-'Rent Roll'!$B$11*'Rent Roll'!$L$11,0)+IF(AI$11=FB144,-'Rent Roll'!$B$12*'Rent Roll'!$L$12,0)+IF(AI$11=FB145,-'Rent Roll'!$B$13*'Rent Roll'!$L$13,0)</f>
        <v/>
      </c>
      <c r="AJ64" s="228">
        <f>IF(AJ$11=FB141,-'Rent Roll'!$B$9*'Rent Roll'!$L$9,0)+IF(AJ$11=FB142,-'Rent Roll'!$B$10*'Rent Roll'!$L$10,0)+IF(AJ$11=FB143,-'Rent Roll'!$B$11*'Rent Roll'!$L$11,0)+IF(AJ$11=FB144,-'Rent Roll'!$B$12*'Rent Roll'!$L$12,0)+IF(AJ$11=FB145,-'Rent Roll'!$B$13*'Rent Roll'!$L$13,0)</f>
        <v/>
      </c>
      <c r="AK64" s="228">
        <f>IF(AK$11=FB141,-'Rent Roll'!$B$9*'Rent Roll'!$L$9,0)+IF(AK$11=FB142,-'Rent Roll'!$B$10*'Rent Roll'!$L$10,0)+IF(AK$11=FB143,-'Rent Roll'!$B$11*'Rent Roll'!$L$11,0)+IF(AK$11=FB144,-'Rent Roll'!$B$12*'Rent Roll'!$L$12,0)+IF(AK$11=FB145,-'Rent Roll'!$B$13*'Rent Roll'!$L$13,0)</f>
        <v/>
      </c>
      <c r="AL64" s="228">
        <f>IF(AL$11=FB141,-'Rent Roll'!$B$9*'Rent Roll'!$L$9,0)+IF(AL$11=FB142,-'Rent Roll'!$B$10*'Rent Roll'!$L$10,0)+IF(AL$11=FB143,-'Rent Roll'!$B$11*'Rent Roll'!$L$11,0)+IF(AL$11=FB144,-'Rent Roll'!$B$12*'Rent Roll'!$L$12,0)+IF(AL$11=FB145,-'Rent Roll'!$B$13*'Rent Roll'!$L$13,0)</f>
        <v/>
      </c>
      <c r="AM64" s="228">
        <f>IF(AM$11=FB141,-'Rent Roll'!$B$9*'Rent Roll'!$L$9,0)+IF(AM$11=FB142,-'Rent Roll'!$B$10*'Rent Roll'!$L$10,0)+IF(AM$11=FB143,-'Rent Roll'!$B$11*'Rent Roll'!$L$11,0)+IF(AM$11=FB144,-'Rent Roll'!$B$12*'Rent Roll'!$L$12,0)+IF(AM$11=FB145,-'Rent Roll'!$B$13*'Rent Roll'!$L$13,0)</f>
        <v/>
      </c>
      <c r="AN64" s="228">
        <f>IF(AN$11=FB141,-'Rent Roll'!$B$9*'Rent Roll'!$L$9,0)+IF(AN$11=FB142,-'Rent Roll'!$B$10*'Rent Roll'!$L$10,0)+IF(AN$11=FB143,-'Rent Roll'!$B$11*'Rent Roll'!$L$11,0)+IF(AN$11=FB144,-'Rent Roll'!$B$12*'Rent Roll'!$L$12,0)+IF(AN$11=FB145,-'Rent Roll'!$B$13*'Rent Roll'!$L$13,0)</f>
        <v/>
      </c>
      <c r="AO64" s="228">
        <f>IF(AO$11=FB141,-'Rent Roll'!$B$9*'Rent Roll'!$L$9,0)+IF(AO$11=FB142,-'Rent Roll'!$B$10*'Rent Roll'!$L$10,0)+IF(AO$11=FB143,-'Rent Roll'!$B$11*'Rent Roll'!$L$11,0)+IF(AO$11=FB144,-'Rent Roll'!$B$12*'Rent Roll'!$L$12,0)+IF(AO$11=FB145,-'Rent Roll'!$B$13*'Rent Roll'!$L$13,0)</f>
        <v/>
      </c>
      <c r="AP64" s="228">
        <f>IF(AP$11=FB141,-'Rent Roll'!$B$9*'Rent Roll'!$L$9,0)+IF(AP$11=FB142,-'Rent Roll'!$B$10*'Rent Roll'!$L$10,0)+IF(AP$11=FB143,-'Rent Roll'!$B$11*'Rent Roll'!$L$11,0)+IF(AP$11=FB144,-'Rent Roll'!$B$12*'Rent Roll'!$L$12,0)+IF(AP$11=FB145,-'Rent Roll'!$B$13*'Rent Roll'!$L$13,0)</f>
        <v/>
      </c>
      <c r="AQ64" s="228">
        <f>IF(AQ$11=FB141,-'Rent Roll'!$B$9*'Rent Roll'!$L$9,0)+IF(AQ$11=FB142,-'Rent Roll'!$B$10*'Rent Roll'!$L$10,0)+IF(AQ$11=FB143,-'Rent Roll'!$B$11*'Rent Roll'!$L$11,0)+IF(AQ$11=FB144,-'Rent Roll'!$B$12*'Rent Roll'!$L$12,0)+IF(AQ$11=FB145,-'Rent Roll'!$B$13*'Rent Roll'!$L$13,0)</f>
        <v/>
      </c>
      <c r="AR64" s="228">
        <f>IF(AR$11=FB141,-'Rent Roll'!$B$9*'Rent Roll'!$L$9,0)+IF(AR$11=FB142,-'Rent Roll'!$B$10*'Rent Roll'!$L$10,0)+IF(AR$11=FB143,-'Rent Roll'!$B$11*'Rent Roll'!$L$11,0)+IF(AR$11=FB144,-'Rent Roll'!$B$12*'Rent Roll'!$L$12,0)+IF(AR$11=FB145,-'Rent Roll'!$B$13*'Rent Roll'!$L$13,0)</f>
        <v/>
      </c>
      <c r="AS64" s="228">
        <f>IF(AS$11=FB141,-'Rent Roll'!$B$9*'Rent Roll'!$L$9,0)+IF(AS$11=FB142,-'Rent Roll'!$B$10*'Rent Roll'!$L$10,0)+IF(AS$11=FB143,-'Rent Roll'!$B$11*'Rent Roll'!$L$11,0)+IF(AS$11=FB144,-'Rent Roll'!$B$12*'Rent Roll'!$L$12,0)+IF(AS$11=FB145,-'Rent Roll'!$B$13*'Rent Roll'!$L$13,0)</f>
        <v/>
      </c>
      <c r="AT64" s="228">
        <f>IF(AT$11=FB141,-'Rent Roll'!$B$9*'Rent Roll'!$L$9,0)+IF(AT$11=FB142,-'Rent Roll'!$B$10*'Rent Roll'!$L$10,0)+IF(AT$11=FB143,-'Rent Roll'!$B$11*'Rent Roll'!$L$11,0)+IF(AT$11=FB144,-'Rent Roll'!$B$12*'Rent Roll'!$L$12,0)+IF(AT$11=FB145,-'Rent Roll'!$B$13*'Rent Roll'!$L$13,0)</f>
        <v/>
      </c>
      <c r="AU64" s="228">
        <f>IF(AU$11=FB141,-'Rent Roll'!$B$9*'Rent Roll'!$L$9,0)+IF(AU$11=FB142,-'Rent Roll'!$B$10*'Rent Roll'!$L$10,0)+IF(AU$11=FB143,-'Rent Roll'!$B$11*'Rent Roll'!$L$11,0)+IF(AU$11=FB144,-'Rent Roll'!$B$12*'Rent Roll'!$L$12,0)+IF(AU$11=FB145,-'Rent Roll'!$B$13*'Rent Roll'!$L$13,0)</f>
        <v/>
      </c>
      <c r="AV64" s="228">
        <f>IF(AV$11=FB141,-'Rent Roll'!$B$9*'Rent Roll'!$L$9,0)+IF(AV$11=FB142,-'Rent Roll'!$B$10*'Rent Roll'!$L$10,0)+IF(AV$11=FB143,-'Rent Roll'!$B$11*'Rent Roll'!$L$11,0)+IF(AV$11=FB144,-'Rent Roll'!$B$12*'Rent Roll'!$L$12,0)+IF(AV$11=FB145,-'Rent Roll'!$B$13*'Rent Roll'!$L$13,0)</f>
        <v/>
      </c>
      <c r="AW64" s="228">
        <f>IF(AW$11=FB141,-'Rent Roll'!$B$9*'Rent Roll'!$L$9,0)+IF(AW$11=FB142,-'Rent Roll'!$B$10*'Rent Roll'!$L$10,0)+IF(AW$11=FB143,-'Rent Roll'!$B$11*'Rent Roll'!$L$11,0)+IF(AW$11=FB144,-'Rent Roll'!$B$12*'Rent Roll'!$L$12,0)+IF(AW$11=FB145,-'Rent Roll'!$B$13*'Rent Roll'!$L$13,0)</f>
        <v/>
      </c>
      <c r="AX64" s="228">
        <f>IF(AX$11=FB141,-'Rent Roll'!$B$9*'Rent Roll'!$L$9,0)+IF(AX$11=FB142,-'Rent Roll'!$B$10*'Rent Roll'!$L$10,0)+IF(AX$11=FB143,-'Rent Roll'!$B$11*'Rent Roll'!$L$11,0)+IF(AX$11=FB144,-'Rent Roll'!$B$12*'Rent Roll'!$L$12,0)+IF(AX$11=FB145,-'Rent Roll'!$B$13*'Rent Roll'!$L$13,0)</f>
        <v/>
      </c>
      <c r="AY64" s="228">
        <f>IF(AY$11=FB141,-'Rent Roll'!$B$9*'Rent Roll'!$L$9,0)+IF(AY$11=FB142,-'Rent Roll'!$B$10*'Rent Roll'!$L$10,0)+IF(AY$11=FB143,-'Rent Roll'!$B$11*'Rent Roll'!$L$11,0)+IF(AY$11=FB144,-'Rent Roll'!$B$12*'Rent Roll'!$L$12,0)+IF(AY$11=FB145,-'Rent Roll'!$B$13*'Rent Roll'!$L$13,0)</f>
        <v/>
      </c>
      <c r="AZ64" s="228">
        <f>IF(AZ$11=FB141,-'Rent Roll'!$B$9*'Rent Roll'!$L$9,0)+IF(AZ$11=FB142,-'Rent Roll'!$B$10*'Rent Roll'!$L$10,0)+IF(AZ$11=FB143,-'Rent Roll'!$B$11*'Rent Roll'!$L$11,0)+IF(AZ$11=FB144,-'Rent Roll'!$B$12*'Rent Roll'!$L$12,0)+IF(AZ$11=FB145,-'Rent Roll'!$B$13*'Rent Roll'!$L$13,0)</f>
        <v/>
      </c>
      <c r="BA64" s="228">
        <f>IF(BA$11=FB141,-'Rent Roll'!$B$9*'Rent Roll'!$L$9,0)+IF(BA$11=FB142,-'Rent Roll'!$B$10*'Rent Roll'!$L$10,0)+IF(BA$11=FB143,-'Rent Roll'!$B$11*'Rent Roll'!$L$11,0)+IF(BA$11=FB144,-'Rent Roll'!$B$12*'Rent Roll'!$L$12,0)+IF(BA$11=FB145,-'Rent Roll'!$B$13*'Rent Roll'!$L$13,0)</f>
        <v/>
      </c>
      <c r="BB64" s="228">
        <f>IF(BB$11=FB141,-'Rent Roll'!$B$9*'Rent Roll'!$L$9,0)+IF(BB$11=FB142,-'Rent Roll'!$B$10*'Rent Roll'!$L$10,0)+IF(BB$11=FB143,-'Rent Roll'!$B$11*'Rent Roll'!$L$11,0)+IF(BB$11=FB144,-'Rent Roll'!$B$12*'Rent Roll'!$L$12,0)+IF(BB$11=FB145,-'Rent Roll'!$B$13*'Rent Roll'!$L$13,0)</f>
        <v/>
      </c>
      <c r="BC64" s="228">
        <f>IF(BC$11=FB141,-'Rent Roll'!$B$9*'Rent Roll'!$L$9,0)+IF(BC$11=FB142,-'Rent Roll'!$B$10*'Rent Roll'!$L$10,0)+IF(BC$11=FB143,-'Rent Roll'!$B$11*'Rent Roll'!$L$11,0)+IF(BC$11=FB144,-'Rent Roll'!$B$12*'Rent Roll'!$L$12,0)+IF(BC$11=FB145,-'Rent Roll'!$B$13*'Rent Roll'!$L$13,0)</f>
        <v/>
      </c>
      <c r="BD64" s="228">
        <f>IF(BD$11=FB141,-'Rent Roll'!$B$9*'Rent Roll'!$L$9,0)+IF(BD$11=FB142,-'Rent Roll'!$B$10*'Rent Roll'!$L$10,0)+IF(BD$11=FB143,-'Rent Roll'!$B$11*'Rent Roll'!$L$11,0)+IF(BD$11=FB144,-'Rent Roll'!$B$12*'Rent Roll'!$L$12,0)+IF(BD$11=FB145,-'Rent Roll'!$B$13*'Rent Roll'!$L$13,0)</f>
        <v/>
      </c>
      <c r="BE64" s="228">
        <f>IF(BE$11=FB141,-'Rent Roll'!$B$9*'Rent Roll'!$L$9,0)+IF(BE$11=FB142,-'Rent Roll'!$B$10*'Rent Roll'!$L$10,0)+IF(BE$11=FB143,-'Rent Roll'!$B$11*'Rent Roll'!$L$11,0)+IF(BE$11=FB144,-'Rent Roll'!$B$12*'Rent Roll'!$L$12,0)+IF(BE$11=FB145,-'Rent Roll'!$B$13*'Rent Roll'!$L$13,0)</f>
        <v/>
      </c>
      <c r="BF64" s="228">
        <f>IF(BF$11=FB141,-'Rent Roll'!$B$9*'Rent Roll'!$L$9,0)+IF(BF$11=FB142,-'Rent Roll'!$B$10*'Rent Roll'!$L$10,0)+IF(BF$11=FB143,-'Rent Roll'!$B$11*'Rent Roll'!$L$11,0)+IF(BF$11=FB144,-'Rent Roll'!$B$12*'Rent Roll'!$L$12,0)+IF(BF$11=FB145,-'Rent Roll'!$B$13*'Rent Roll'!$L$13,0)</f>
        <v/>
      </c>
      <c r="BG64" s="228">
        <f>IF(BG$11=FB141,-'Rent Roll'!$B$9*'Rent Roll'!$L$9,0)+IF(BG$11=FB142,-'Rent Roll'!$B$10*'Rent Roll'!$L$10,0)+IF(BG$11=FB143,-'Rent Roll'!$B$11*'Rent Roll'!$L$11,0)+IF(BG$11=FB144,-'Rent Roll'!$B$12*'Rent Roll'!$L$12,0)+IF(BG$11=FB145,-'Rent Roll'!$B$13*'Rent Roll'!$L$13,0)</f>
        <v/>
      </c>
      <c r="BH64" s="228">
        <f>IF(BH$11=FB141,-'Rent Roll'!$B$9*'Rent Roll'!$L$9,0)+IF(BH$11=FB142,-'Rent Roll'!$B$10*'Rent Roll'!$L$10,0)+IF(BH$11=FB143,-'Rent Roll'!$B$11*'Rent Roll'!$L$11,0)+IF(BH$11=FB144,-'Rent Roll'!$B$12*'Rent Roll'!$L$12,0)+IF(BH$11=FB145,-'Rent Roll'!$B$13*'Rent Roll'!$L$13,0)</f>
        <v/>
      </c>
      <c r="BI64" s="228">
        <f>IF(BI$11=FB141,-'Rent Roll'!$B$9*'Rent Roll'!$L$9,0)+IF(BI$11=FB142,-'Rent Roll'!$B$10*'Rent Roll'!$L$10,0)+IF(BI$11=FB143,-'Rent Roll'!$B$11*'Rent Roll'!$L$11,0)+IF(BI$11=FB144,-'Rent Roll'!$B$12*'Rent Roll'!$L$12,0)+IF(BI$11=FB145,-'Rent Roll'!$B$13*'Rent Roll'!$L$13,0)</f>
        <v/>
      </c>
      <c r="BJ64" s="228">
        <f>IF(BJ$11=FB141,-'Rent Roll'!$B$9*'Rent Roll'!$L$9,0)+IF(BJ$11=FB142,-'Rent Roll'!$B$10*'Rent Roll'!$L$10,0)+IF(BJ$11=FB143,-'Rent Roll'!$B$11*'Rent Roll'!$L$11,0)+IF(BJ$11=FB144,-'Rent Roll'!$B$12*'Rent Roll'!$L$12,0)+IF(BJ$11=FB145,-'Rent Roll'!$B$13*'Rent Roll'!$L$13,0)</f>
        <v/>
      </c>
      <c r="BK64" s="228">
        <f>IF(BK$11=FB141,-'Rent Roll'!$B$9*'Rent Roll'!$L$9,0)+IF(BK$11=FB142,-'Rent Roll'!$B$10*'Rent Roll'!$L$10,0)+IF(BK$11=FB143,-'Rent Roll'!$B$11*'Rent Roll'!$L$11,0)+IF(BK$11=FB144,-'Rent Roll'!$B$12*'Rent Roll'!$L$12,0)+IF(BK$11=FB145,-'Rent Roll'!$B$13*'Rent Roll'!$L$13,0)</f>
        <v/>
      </c>
      <c r="BL64" s="228">
        <f>IF(BL$11=FB141,-'Rent Roll'!$B$9*'Rent Roll'!$L$9,0)+IF(BL$11=FB142,-'Rent Roll'!$B$10*'Rent Roll'!$L$10,0)+IF(BL$11=FB143,-'Rent Roll'!$B$11*'Rent Roll'!$L$11,0)+IF(BL$11=FB144,-'Rent Roll'!$B$12*'Rent Roll'!$L$12,0)+IF(BL$11=FB145,-'Rent Roll'!$B$13*'Rent Roll'!$L$13,0)</f>
        <v/>
      </c>
      <c r="BM64" s="228">
        <f>IF(BM$11=FC141,-'Rent Roll'!$B$9*'Rent Roll'!$L$9,0)+IF(BM$11=FC142,-'Rent Roll'!$B$10*'Rent Roll'!$L$10,0)+IF(BM$11=FC143,-'Rent Roll'!$B$11*'Rent Roll'!$L$11,0)+IF(BM$11=FC144,-'Rent Roll'!$B$12*'Rent Roll'!$L$12,0)+IF(BM$11=FC145,-'Rent Roll'!$B$13*'Rent Roll'!$L$13,0)</f>
        <v/>
      </c>
      <c r="BN64" s="228">
        <f>IF(BN$11=FD141,-'Rent Roll'!$B$9*'Rent Roll'!$L$9,0)+IF(BN$11=FD142,-'Rent Roll'!$B$10*'Rent Roll'!$L$10,0)+IF(BN$11=FD143,-'Rent Roll'!$B$11*'Rent Roll'!$L$11,0)+IF(BN$11=FD144,-'Rent Roll'!$B$12*'Rent Roll'!$L$12,0)+IF(BN$11=FD145,-'Rent Roll'!$B$13*'Rent Roll'!$L$13,0)</f>
        <v/>
      </c>
      <c r="BO64" s="228">
        <f>IF(BO$11=FE141,-'Rent Roll'!$B$9*'Rent Roll'!$L$9,0)+IF(BO$11=FE142,-'Rent Roll'!$B$10*'Rent Roll'!$L$10,0)+IF(BO$11=FE143,-'Rent Roll'!$B$11*'Rent Roll'!$L$11,0)+IF(BO$11=FE144,-'Rent Roll'!$B$12*'Rent Roll'!$L$12,0)+IF(BO$11=FE145,-'Rent Roll'!$B$13*'Rent Roll'!$L$13,0)</f>
        <v/>
      </c>
      <c r="BP64" s="228">
        <f>IF(BP$11=FF141,-'Rent Roll'!$B$9*'Rent Roll'!$L$9,0)+IF(BP$11=FF142,-'Rent Roll'!$B$10*'Rent Roll'!$L$10,0)+IF(BP$11=FF143,-'Rent Roll'!$B$11*'Rent Roll'!$L$11,0)+IF(BP$11=FF144,-'Rent Roll'!$B$12*'Rent Roll'!$L$12,0)+IF(BP$11=FF145,-'Rent Roll'!$B$13*'Rent Roll'!$L$13,0)</f>
        <v/>
      </c>
      <c r="BQ64" s="228">
        <f>IF(BQ$11=FG141,-'Rent Roll'!$B$9*'Rent Roll'!$L$9,0)+IF(BQ$11=FG142,-'Rent Roll'!$B$10*'Rent Roll'!$L$10,0)+IF(BQ$11=FG143,-'Rent Roll'!$B$11*'Rent Roll'!$L$11,0)+IF(BQ$11=FG144,-'Rent Roll'!$B$12*'Rent Roll'!$L$12,0)+IF(BQ$11=FG145,-'Rent Roll'!$B$13*'Rent Roll'!$L$13,0)</f>
        <v/>
      </c>
      <c r="BR64" s="228">
        <f>IF(BR$11=FH141,-'Rent Roll'!$B$9*'Rent Roll'!$L$9,0)+IF(BR$11=FH142,-'Rent Roll'!$B$10*'Rent Roll'!$L$10,0)+IF(BR$11=FH143,-'Rent Roll'!$B$11*'Rent Roll'!$L$11,0)+IF(BR$11=FH144,-'Rent Roll'!$B$12*'Rent Roll'!$L$12,0)+IF(BR$11=FH145,-'Rent Roll'!$B$13*'Rent Roll'!$L$13,0)</f>
        <v/>
      </c>
      <c r="BS64" s="228">
        <f>IF(BS$11=FI141,-'Rent Roll'!$B$9*'Rent Roll'!$L$9,0)+IF(BS$11=FI142,-'Rent Roll'!$B$10*'Rent Roll'!$L$10,0)+IF(BS$11=FI143,-'Rent Roll'!$B$11*'Rent Roll'!$L$11,0)+IF(BS$11=FI144,-'Rent Roll'!$B$12*'Rent Roll'!$L$12,0)+IF(BS$11=FI145,-'Rent Roll'!$B$13*'Rent Roll'!$L$13,0)</f>
        <v/>
      </c>
      <c r="BT64" s="228">
        <f>IF(BT$11=FJ141,-'Rent Roll'!$B$9*'Rent Roll'!$L$9,0)+IF(BT$11=FJ142,-'Rent Roll'!$B$10*'Rent Roll'!$L$10,0)+IF(BT$11=FJ143,-'Rent Roll'!$B$11*'Rent Roll'!$L$11,0)+IF(BT$11=FJ144,-'Rent Roll'!$B$12*'Rent Roll'!$L$12,0)+IF(BT$11=FJ145,-'Rent Roll'!$B$13*'Rent Roll'!$L$13,0)</f>
        <v/>
      </c>
      <c r="BU64" s="228">
        <f>IF(BU$11=FK141,-'Rent Roll'!$B$9*'Rent Roll'!$L$9,0)+IF(BU$11=FK142,-'Rent Roll'!$B$10*'Rent Roll'!$L$10,0)+IF(BU$11=FK143,-'Rent Roll'!$B$11*'Rent Roll'!$L$11,0)+IF(BU$11=FK144,-'Rent Roll'!$B$12*'Rent Roll'!$L$12,0)+IF(BU$11=FK145,-'Rent Roll'!$B$13*'Rent Roll'!$L$13,0)</f>
        <v/>
      </c>
      <c r="BV64" s="228">
        <f>IF(BV$11=FL141,-'Rent Roll'!$B$9*'Rent Roll'!$L$9,0)+IF(BV$11=FL142,-'Rent Roll'!$B$10*'Rent Roll'!$L$10,0)+IF(BV$11=FL143,-'Rent Roll'!$B$11*'Rent Roll'!$L$11,0)+IF(BV$11=FL144,-'Rent Roll'!$B$12*'Rent Roll'!$L$12,0)+IF(BV$11=FL145,-'Rent Roll'!$B$13*'Rent Roll'!$L$13,0)</f>
        <v/>
      </c>
      <c r="BW64" s="228">
        <f>IF(BW$11=FM141,-'Rent Roll'!$B$9*'Rent Roll'!$L$9,0)+IF(BW$11=FM142,-'Rent Roll'!$B$10*'Rent Roll'!$L$10,0)+IF(BW$11=FM143,-'Rent Roll'!$B$11*'Rent Roll'!$L$11,0)+IF(BW$11=FM144,-'Rent Roll'!$B$12*'Rent Roll'!$L$12,0)+IF(BW$11=FM145,-'Rent Roll'!$B$13*'Rent Roll'!$L$13,0)</f>
        <v/>
      </c>
      <c r="BX64" s="228">
        <f>IF(BX$11=FN141,-'Rent Roll'!$B$9*'Rent Roll'!$L$9,0)+IF(BX$11=FN142,-'Rent Roll'!$B$10*'Rent Roll'!$L$10,0)+IF(BX$11=FN143,-'Rent Roll'!$B$11*'Rent Roll'!$L$11,0)+IF(BX$11=FN144,-'Rent Roll'!$B$12*'Rent Roll'!$L$12,0)+IF(BX$11=FN145,-'Rent Roll'!$B$13*'Rent Roll'!$L$13,0)</f>
        <v/>
      </c>
      <c r="BY64" s="228">
        <f>IF(BY$11=FO141,-'Rent Roll'!$B$9*'Rent Roll'!$L$9,0)+IF(BY$11=FO142,-'Rent Roll'!$B$10*'Rent Roll'!$L$10,0)+IF(BY$11=FO143,-'Rent Roll'!$B$11*'Rent Roll'!$L$11,0)+IF(BY$11=FO144,-'Rent Roll'!$B$12*'Rent Roll'!$L$12,0)+IF(BY$11=FO145,-'Rent Roll'!$B$13*'Rent Roll'!$L$13,0)</f>
        <v/>
      </c>
      <c r="BZ64" s="228">
        <f>IF(BZ$11=FP141,-'Rent Roll'!$B$9*'Rent Roll'!$L$9,0)+IF(BZ$11=FP142,-'Rent Roll'!$B$10*'Rent Roll'!$L$10,0)+IF(BZ$11=FP143,-'Rent Roll'!$B$11*'Rent Roll'!$L$11,0)+IF(BZ$11=FP144,-'Rent Roll'!$B$12*'Rent Roll'!$L$12,0)+IF(BZ$11=FP145,-'Rent Roll'!$B$13*'Rent Roll'!$L$13,0)</f>
        <v/>
      </c>
      <c r="CA64" s="228">
        <f>IF(CA$11=FQ141,-'Rent Roll'!$B$9*'Rent Roll'!$L$9,0)+IF(CA$11=FQ142,-'Rent Roll'!$B$10*'Rent Roll'!$L$10,0)+IF(CA$11=FQ143,-'Rent Roll'!$B$11*'Rent Roll'!$L$11,0)+IF(CA$11=FQ144,-'Rent Roll'!$B$12*'Rent Roll'!$L$12,0)+IF(CA$11=FQ145,-'Rent Roll'!$B$13*'Rent Roll'!$L$13,0)</f>
        <v/>
      </c>
      <c r="CB64" s="228">
        <f>IF(CB$11=FR141,-'Rent Roll'!$B$9*'Rent Roll'!$L$9,0)+IF(CB$11=FR142,-'Rent Roll'!$B$10*'Rent Roll'!$L$10,0)+IF(CB$11=FR143,-'Rent Roll'!$B$11*'Rent Roll'!$L$11,0)+IF(CB$11=FR144,-'Rent Roll'!$B$12*'Rent Roll'!$L$12,0)+IF(CB$11=FR145,-'Rent Roll'!$B$13*'Rent Roll'!$L$13,0)</f>
        <v/>
      </c>
      <c r="CC64" s="228">
        <f>IF(CC$11=FS141,-'Rent Roll'!$B$9*'Rent Roll'!$L$9,0)+IF(CC$11=FS142,-'Rent Roll'!$B$10*'Rent Roll'!$L$10,0)+IF(CC$11=FS143,-'Rent Roll'!$B$11*'Rent Roll'!$L$11,0)+IF(CC$11=FS144,-'Rent Roll'!$B$12*'Rent Roll'!$L$12,0)+IF(CC$11=FS145,-'Rent Roll'!$B$13*'Rent Roll'!$L$13,0)</f>
        <v/>
      </c>
      <c r="CD64" s="228">
        <f>IF(CD$11=FT141,-'Rent Roll'!$B$9*'Rent Roll'!$L$9,0)+IF(CD$11=FT142,-'Rent Roll'!$B$10*'Rent Roll'!$L$10,0)+IF(CD$11=FT143,-'Rent Roll'!$B$11*'Rent Roll'!$L$11,0)+IF(CD$11=FT144,-'Rent Roll'!$B$12*'Rent Roll'!$L$12,0)+IF(CD$11=FT145,-'Rent Roll'!$B$13*'Rent Roll'!$L$13,0)</f>
        <v/>
      </c>
      <c r="CE64" s="228">
        <f>IF(CE$11=FU141,-'Rent Roll'!$B$9*'Rent Roll'!$L$9,0)+IF(CE$11=FU142,-'Rent Roll'!$B$10*'Rent Roll'!$L$10,0)+IF(CE$11=FU143,-'Rent Roll'!$B$11*'Rent Roll'!$L$11,0)+IF(CE$11=FU144,-'Rent Roll'!$B$12*'Rent Roll'!$L$12,0)+IF(CE$11=FU145,-'Rent Roll'!$B$13*'Rent Roll'!$L$13,0)</f>
        <v/>
      </c>
      <c r="CF64" s="228">
        <f>IF(CF$11=FV141,-'Rent Roll'!$B$9*'Rent Roll'!$L$9,0)+IF(CF$11=FV142,-'Rent Roll'!$B$10*'Rent Roll'!$L$10,0)+IF(CF$11=FV143,-'Rent Roll'!$B$11*'Rent Roll'!$L$11,0)+IF(CF$11=FV144,-'Rent Roll'!$B$12*'Rent Roll'!$L$12,0)+IF(CF$11=FV145,-'Rent Roll'!$B$13*'Rent Roll'!$L$13,0)</f>
        <v/>
      </c>
      <c r="CG64" s="228">
        <f>IF(CG$11=FW141,-'Rent Roll'!$B$9*'Rent Roll'!$L$9,0)+IF(CG$11=FW142,-'Rent Roll'!$B$10*'Rent Roll'!$L$10,0)+IF(CG$11=FW143,-'Rent Roll'!$B$11*'Rent Roll'!$L$11,0)+IF(CG$11=FW144,-'Rent Roll'!$B$12*'Rent Roll'!$L$12,0)+IF(CG$11=FW145,-'Rent Roll'!$B$13*'Rent Roll'!$L$13,0)</f>
        <v/>
      </c>
      <c r="CH64" s="228">
        <f>IF(CH$11=FX141,-'Rent Roll'!$B$9*'Rent Roll'!$L$9,0)+IF(CH$11=FX142,-'Rent Roll'!$B$10*'Rent Roll'!$L$10,0)+IF(CH$11=FX143,-'Rent Roll'!$B$11*'Rent Roll'!$L$11,0)+IF(CH$11=FX144,-'Rent Roll'!$B$12*'Rent Roll'!$L$12,0)+IF(CH$11=FX145,-'Rent Roll'!$B$13*'Rent Roll'!$L$13,0)</f>
        <v/>
      </c>
      <c r="CI64" s="228">
        <f>IF(CI$11=FY141,-'Rent Roll'!$B$9*'Rent Roll'!$L$9,0)+IF(CI$11=FY142,-'Rent Roll'!$B$10*'Rent Roll'!$L$10,0)+IF(CI$11=FY143,-'Rent Roll'!$B$11*'Rent Roll'!$L$11,0)+IF(CI$11=FY144,-'Rent Roll'!$B$12*'Rent Roll'!$L$12,0)+IF(CI$11=FY145,-'Rent Roll'!$B$13*'Rent Roll'!$L$13,0)</f>
        <v/>
      </c>
      <c r="CJ64" s="228">
        <f>IF(CJ$11=FZ141,-'Rent Roll'!$B$9*'Rent Roll'!$L$9,0)+IF(CJ$11=FZ142,-'Rent Roll'!$B$10*'Rent Roll'!$L$10,0)+IF(CJ$11=FZ143,-'Rent Roll'!$B$11*'Rent Roll'!$L$11,0)+IF(CJ$11=FZ144,-'Rent Roll'!$B$12*'Rent Roll'!$L$12,0)+IF(CJ$11=FZ145,-'Rent Roll'!$B$13*'Rent Roll'!$L$13,0)</f>
        <v/>
      </c>
      <c r="CK64" s="228">
        <f>IF(CK$11=GA141,-'Rent Roll'!$B$9*'Rent Roll'!$L$9,0)+IF(CK$11=GA142,-'Rent Roll'!$B$10*'Rent Roll'!$L$10,0)+IF(CK$11=GA143,-'Rent Roll'!$B$11*'Rent Roll'!$L$11,0)+IF(CK$11=GA144,-'Rent Roll'!$B$12*'Rent Roll'!$L$12,0)+IF(CK$11=GA145,-'Rent Roll'!$B$13*'Rent Roll'!$L$13,0)</f>
        <v/>
      </c>
      <c r="CL64" s="228">
        <f>IF(CL$11=GB141,-'Rent Roll'!$B$9*'Rent Roll'!$L$9,0)+IF(CL$11=GB142,-'Rent Roll'!$B$10*'Rent Roll'!$L$10,0)+IF(CL$11=GB143,-'Rent Roll'!$B$11*'Rent Roll'!$L$11,0)+IF(CL$11=GB144,-'Rent Roll'!$B$12*'Rent Roll'!$L$12,0)+IF(CL$11=GB145,-'Rent Roll'!$B$13*'Rent Roll'!$L$13,0)</f>
        <v/>
      </c>
      <c r="CM64" s="228">
        <f>IF(CM$11=GC141,-'Rent Roll'!$B$9*'Rent Roll'!$L$9,0)+IF(CM$11=GC142,-'Rent Roll'!$B$10*'Rent Roll'!$L$10,0)+IF(CM$11=GC143,-'Rent Roll'!$B$11*'Rent Roll'!$L$11,0)+IF(CM$11=GC144,-'Rent Roll'!$B$12*'Rent Roll'!$L$12,0)+IF(CM$11=GC145,-'Rent Roll'!$B$13*'Rent Roll'!$L$13,0)</f>
        <v/>
      </c>
      <c r="CN64" s="228">
        <f>IF(CN$11=GD141,-'Rent Roll'!$B$9*'Rent Roll'!$L$9,0)+IF(CN$11=GD142,-'Rent Roll'!$B$10*'Rent Roll'!$L$10,0)+IF(CN$11=GD143,-'Rent Roll'!$B$11*'Rent Roll'!$L$11,0)+IF(CN$11=GD144,-'Rent Roll'!$B$12*'Rent Roll'!$L$12,0)+IF(CN$11=GD145,-'Rent Roll'!$B$13*'Rent Roll'!$L$13,0)</f>
        <v/>
      </c>
      <c r="CO64" s="228">
        <f>IF(CO$11=GE141,-'Rent Roll'!$B$9*'Rent Roll'!$L$9,0)+IF(CO$11=GE142,-'Rent Roll'!$B$10*'Rent Roll'!$L$10,0)+IF(CO$11=GE143,-'Rent Roll'!$B$11*'Rent Roll'!$L$11,0)+IF(CO$11=GE144,-'Rent Roll'!$B$12*'Rent Roll'!$L$12,0)+IF(CO$11=GE145,-'Rent Roll'!$B$13*'Rent Roll'!$L$13,0)</f>
        <v/>
      </c>
      <c r="CP64" s="228">
        <f>IF(CP$11=GF141,-'Rent Roll'!$B$9*'Rent Roll'!$L$9,0)+IF(CP$11=GF142,-'Rent Roll'!$B$10*'Rent Roll'!$L$10,0)+IF(CP$11=GF143,-'Rent Roll'!$B$11*'Rent Roll'!$L$11,0)+IF(CP$11=GF144,-'Rent Roll'!$B$12*'Rent Roll'!$L$12,0)+IF(CP$11=GF145,-'Rent Roll'!$B$13*'Rent Roll'!$L$13,0)</f>
        <v/>
      </c>
      <c r="CQ64" s="228">
        <f>IF(CQ$11=GG141,-'Rent Roll'!$B$9*'Rent Roll'!$L$9,0)+IF(CQ$11=GG142,-'Rent Roll'!$B$10*'Rent Roll'!$L$10,0)+IF(CQ$11=GG143,-'Rent Roll'!$B$11*'Rent Roll'!$L$11,0)+IF(CQ$11=GG144,-'Rent Roll'!$B$12*'Rent Roll'!$L$12,0)+IF(CQ$11=GG145,-'Rent Roll'!$B$13*'Rent Roll'!$L$13,0)</f>
        <v/>
      </c>
      <c r="CR64" s="228">
        <f>IF(CR$11=GH141,-'Rent Roll'!$B$9*'Rent Roll'!$L$9,0)+IF(CR$11=GH142,-'Rent Roll'!$B$10*'Rent Roll'!$L$10,0)+IF(CR$11=GH143,-'Rent Roll'!$B$11*'Rent Roll'!$L$11,0)+IF(CR$11=GH144,-'Rent Roll'!$B$12*'Rent Roll'!$L$12,0)+IF(CR$11=GH145,-'Rent Roll'!$B$13*'Rent Roll'!$L$13,0)</f>
        <v/>
      </c>
      <c r="CS64" s="228">
        <f>IF(CS$11=GI141,-'Rent Roll'!$B$9*'Rent Roll'!$L$9,0)+IF(CS$11=GI142,-'Rent Roll'!$B$10*'Rent Roll'!$L$10,0)+IF(CS$11=GI143,-'Rent Roll'!$B$11*'Rent Roll'!$L$11,0)+IF(CS$11=GI144,-'Rent Roll'!$B$12*'Rent Roll'!$L$12,0)+IF(CS$11=GI145,-'Rent Roll'!$B$13*'Rent Roll'!$L$13,0)</f>
        <v/>
      </c>
      <c r="CT64" s="228">
        <f>IF(CT$11=GJ141,-'Rent Roll'!$B$9*'Rent Roll'!$L$9,0)+IF(CT$11=GJ142,-'Rent Roll'!$B$10*'Rent Roll'!$L$10,0)+IF(CT$11=GJ143,-'Rent Roll'!$B$11*'Rent Roll'!$L$11,0)+IF(CT$11=GJ144,-'Rent Roll'!$B$12*'Rent Roll'!$L$12,0)+IF(CT$11=GJ145,-'Rent Roll'!$B$13*'Rent Roll'!$L$13,0)</f>
        <v/>
      </c>
      <c r="CU64" s="228">
        <f>IF(CU$11=GK141,-'Rent Roll'!$B$9*'Rent Roll'!$L$9,0)+IF(CU$11=GK142,-'Rent Roll'!$B$10*'Rent Roll'!$L$10,0)+IF(CU$11=GK143,-'Rent Roll'!$B$11*'Rent Roll'!$L$11,0)+IF(CU$11=GK144,-'Rent Roll'!$B$12*'Rent Roll'!$L$12,0)+IF(CU$11=GK145,-'Rent Roll'!$B$13*'Rent Roll'!$L$13,0)</f>
        <v/>
      </c>
      <c r="CV64" s="228">
        <f>IF(CV$11=GL141,-'Rent Roll'!$B$9*'Rent Roll'!$L$9,0)+IF(CV$11=GL142,-'Rent Roll'!$B$10*'Rent Roll'!$L$10,0)+IF(CV$11=GL143,-'Rent Roll'!$B$11*'Rent Roll'!$L$11,0)+IF(CV$11=GL144,-'Rent Roll'!$B$12*'Rent Roll'!$L$12,0)+IF(CV$11=GL145,-'Rent Roll'!$B$13*'Rent Roll'!$L$13,0)</f>
        <v/>
      </c>
      <c r="CW64" s="228">
        <f>IF(CW$11=GM141,-'Rent Roll'!$B$9*'Rent Roll'!$L$9,0)+IF(CW$11=GM142,-'Rent Roll'!$B$10*'Rent Roll'!$L$10,0)+IF(CW$11=GM143,-'Rent Roll'!$B$11*'Rent Roll'!$L$11,0)+IF(CW$11=GM144,-'Rent Roll'!$B$12*'Rent Roll'!$L$12,0)+IF(CW$11=GM145,-'Rent Roll'!$B$13*'Rent Roll'!$L$13,0)</f>
        <v/>
      </c>
      <c r="CX64" s="228">
        <f>IF(CX$11=GN141,-'Rent Roll'!$B$9*'Rent Roll'!$L$9,0)+IF(CX$11=GN142,-'Rent Roll'!$B$10*'Rent Roll'!$L$10,0)+IF(CX$11=GN143,-'Rent Roll'!$B$11*'Rent Roll'!$L$11,0)+IF(CX$11=GN144,-'Rent Roll'!$B$12*'Rent Roll'!$L$12,0)+IF(CX$11=GN145,-'Rent Roll'!$B$13*'Rent Roll'!$L$13,0)</f>
        <v/>
      </c>
      <c r="CY64" s="228">
        <f>IF(CY$11=GO141,-'Rent Roll'!$B$9*'Rent Roll'!$L$9,0)+IF(CY$11=GO142,-'Rent Roll'!$B$10*'Rent Roll'!$L$10,0)+IF(CY$11=GO143,-'Rent Roll'!$B$11*'Rent Roll'!$L$11,0)+IF(CY$11=GO144,-'Rent Roll'!$B$12*'Rent Roll'!$L$12,0)+IF(CY$11=GO145,-'Rent Roll'!$B$13*'Rent Roll'!$L$13,0)</f>
        <v/>
      </c>
      <c r="CZ64" s="228">
        <f>IF(CZ$11=GP141,-'Rent Roll'!$B$9*'Rent Roll'!$L$9,0)+IF(CZ$11=GP142,-'Rent Roll'!$B$10*'Rent Roll'!$L$10,0)+IF(CZ$11=GP143,-'Rent Roll'!$B$11*'Rent Roll'!$L$11,0)+IF(CZ$11=GP144,-'Rent Roll'!$B$12*'Rent Roll'!$L$12,0)+IF(CZ$11=GP145,-'Rent Roll'!$B$13*'Rent Roll'!$L$13,0)</f>
        <v/>
      </c>
      <c r="DA64" s="228">
        <f>IF(DA$11=GQ141,-'Rent Roll'!$B$9*'Rent Roll'!$L$9,0)+IF(DA$11=GQ142,-'Rent Roll'!$B$10*'Rent Roll'!$L$10,0)+IF(DA$11=GQ143,-'Rent Roll'!$B$11*'Rent Roll'!$L$11,0)+IF(DA$11=GQ144,-'Rent Roll'!$B$12*'Rent Roll'!$L$12,0)+IF(DA$11=GQ145,-'Rent Roll'!$B$13*'Rent Roll'!$L$13,0)</f>
        <v/>
      </c>
      <c r="DB64" s="228">
        <f>IF(DB$11=GR141,-'Rent Roll'!$B$9*'Rent Roll'!$L$9,0)+IF(DB$11=GR142,-'Rent Roll'!$B$10*'Rent Roll'!$L$10,0)+IF(DB$11=GR143,-'Rent Roll'!$B$11*'Rent Roll'!$L$11,0)+IF(DB$11=GR144,-'Rent Roll'!$B$12*'Rent Roll'!$L$12,0)+IF(DB$11=GR145,-'Rent Roll'!$B$13*'Rent Roll'!$L$13,0)</f>
        <v/>
      </c>
      <c r="DC64" s="228">
        <f>IF(DC$11=GS141,-'Rent Roll'!$B$9*'Rent Roll'!$L$9,0)+IF(DC$11=GS142,-'Rent Roll'!$B$10*'Rent Roll'!$L$10,0)+IF(DC$11=GS143,-'Rent Roll'!$B$11*'Rent Roll'!$L$11,0)+IF(DC$11=GS144,-'Rent Roll'!$B$12*'Rent Roll'!$L$12,0)+IF(DC$11=GS145,-'Rent Roll'!$B$13*'Rent Roll'!$L$13,0)</f>
        <v/>
      </c>
      <c r="DD64" s="228">
        <f>IF(DD$11=GT141,-'Rent Roll'!$B$9*'Rent Roll'!$L$9,0)+IF(DD$11=GT142,-'Rent Roll'!$B$10*'Rent Roll'!$L$10,0)+IF(DD$11=GT143,-'Rent Roll'!$B$11*'Rent Roll'!$L$11,0)+IF(DD$11=GT144,-'Rent Roll'!$B$12*'Rent Roll'!$L$12,0)+IF(DD$11=GT145,-'Rent Roll'!$B$13*'Rent Roll'!$L$13,0)</f>
        <v/>
      </c>
      <c r="DE64" s="228">
        <f>IF(DE$11=GU141,-'Rent Roll'!$B$9*'Rent Roll'!$L$9,0)+IF(DE$11=GU142,-'Rent Roll'!$B$10*'Rent Roll'!$L$10,0)+IF(DE$11=GU143,-'Rent Roll'!$B$11*'Rent Roll'!$L$11,0)+IF(DE$11=GU144,-'Rent Roll'!$B$12*'Rent Roll'!$L$12,0)+IF(DE$11=GU145,-'Rent Roll'!$B$13*'Rent Roll'!$L$13,0)</f>
        <v/>
      </c>
      <c r="DF64" s="228">
        <f>IF(DF$11=GV141,-'Rent Roll'!$B$9*'Rent Roll'!$L$9,0)+IF(DF$11=GV142,-'Rent Roll'!$B$10*'Rent Roll'!$L$10,0)+IF(DF$11=GV143,-'Rent Roll'!$B$11*'Rent Roll'!$L$11,0)+IF(DF$11=GV144,-'Rent Roll'!$B$12*'Rent Roll'!$L$12,0)+IF(DF$11=GV145,-'Rent Roll'!$B$13*'Rent Roll'!$L$13,0)</f>
        <v/>
      </c>
      <c r="DG64" s="228">
        <f>IF(DG$11=GW141,-'Rent Roll'!$B$9*'Rent Roll'!$L$9,0)+IF(DG$11=GW142,-'Rent Roll'!$B$10*'Rent Roll'!$L$10,0)+IF(DG$11=GW143,-'Rent Roll'!$B$11*'Rent Roll'!$L$11,0)+IF(DG$11=GW144,-'Rent Roll'!$B$12*'Rent Roll'!$L$12,0)+IF(DG$11=GW145,-'Rent Roll'!$B$13*'Rent Roll'!$L$13,0)</f>
        <v/>
      </c>
      <c r="DH64" s="228">
        <f>IF(DH$11=GX141,-'Rent Roll'!$B$9*'Rent Roll'!$L$9,0)+IF(DH$11=GX142,-'Rent Roll'!$B$10*'Rent Roll'!$L$10,0)+IF(DH$11=GX143,-'Rent Roll'!$B$11*'Rent Roll'!$L$11,0)+IF(DH$11=GX144,-'Rent Roll'!$B$12*'Rent Roll'!$L$12,0)+IF(DH$11=GX145,-'Rent Roll'!$B$13*'Rent Roll'!$L$13,0)</f>
        <v/>
      </c>
      <c r="DI64" s="228">
        <f>IF(DI$11=GY141,-'Rent Roll'!$B$9*'Rent Roll'!$L$9,0)+IF(DI$11=GY142,-'Rent Roll'!$B$10*'Rent Roll'!$L$10,0)+IF(DI$11=GY143,-'Rent Roll'!$B$11*'Rent Roll'!$L$11,0)+IF(DI$11=GY144,-'Rent Roll'!$B$12*'Rent Roll'!$L$12,0)+IF(DI$11=GY145,-'Rent Roll'!$B$13*'Rent Roll'!$L$13,0)</f>
        <v/>
      </c>
      <c r="DJ64" s="228">
        <f>IF(DJ$11=GZ141,-'Rent Roll'!$B$9*'Rent Roll'!$L$9,0)+IF(DJ$11=GZ142,-'Rent Roll'!$B$10*'Rent Roll'!$L$10,0)+IF(DJ$11=GZ143,-'Rent Roll'!$B$11*'Rent Roll'!$L$11,0)+IF(DJ$11=GZ144,-'Rent Roll'!$B$12*'Rent Roll'!$L$12,0)+IF(DJ$11=GZ145,-'Rent Roll'!$B$13*'Rent Roll'!$L$13,0)</f>
        <v/>
      </c>
      <c r="DK64" s="228">
        <f>IF(DK$11=HA141,-'Rent Roll'!$B$9*'Rent Roll'!$L$9,0)+IF(DK$11=HA142,-'Rent Roll'!$B$10*'Rent Roll'!$L$10,0)+IF(DK$11=HA143,-'Rent Roll'!$B$11*'Rent Roll'!$L$11,0)+IF(DK$11=HA144,-'Rent Roll'!$B$12*'Rent Roll'!$L$12,0)+IF(DK$11=HA145,-'Rent Roll'!$B$13*'Rent Roll'!$L$13,0)</f>
        <v/>
      </c>
      <c r="DL64" s="228">
        <f>IF(DL$11=HB141,-'Rent Roll'!$B$9*'Rent Roll'!$L$9,0)+IF(DL$11=HB142,-'Rent Roll'!$B$10*'Rent Roll'!$L$10,0)+IF(DL$11=HB143,-'Rent Roll'!$B$11*'Rent Roll'!$L$11,0)+IF(DL$11=HB144,-'Rent Roll'!$B$12*'Rent Roll'!$L$12,0)+IF(DL$11=HB145,-'Rent Roll'!$B$13*'Rent Roll'!$L$13,0)</f>
        <v/>
      </c>
      <c r="DM64" s="228">
        <f>IF(DM$11=HC141,-'Rent Roll'!$B$9*'Rent Roll'!$L$9,0)+IF(DM$11=HC142,-'Rent Roll'!$B$10*'Rent Roll'!$L$10,0)+IF(DM$11=HC143,-'Rent Roll'!$B$11*'Rent Roll'!$L$11,0)+IF(DM$11=HC144,-'Rent Roll'!$B$12*'Rent Roll'!$L$12,0)+IF(DM$11=HC145,-'Rent Roll'!$B$13*'Rent Roll'!$L$13,0)</f>
        <v/>
      </c>
      <c r="DN64" s="228">
        <f>IF(DN$11=HD141,-'Rent Roll'!$B$9*'Rent Roll'!$L$9,0)+IF(DN$11=HD142,-'Rent Roll'!$B$10*'Rent Roll'!$L$10,0)+IF(DN$11=HD143,-'Rent Roll'!$B$11*'Rent Roll'!$L$11,0)+IF(DN$11=HD144,-'Rent Roll'!$B$12*'Rent Roll'!$L$12,0)+IF(DN$11=HD145,-'Rent Roll'!$B$13*'Rent Roll'!$L$13,0)</f>
        <v/>
      </c>
      <c r="DO64" s="228">
        <f>IF(DO$11=HE141,-'Rent Roll'!$B$9*'Rent Roll'!$L$9,0)+IF(DO$11=HE142,-'Rent Roll'!$B$10*'Rent Roll'!$L$10,0)+IF(DO$11=HE143,-'Rent Roll'!$B$11*'Rent Roll'!$L$11,0)+IF(DO$11=HE144,-'Rent Roll'!$B$12*'Rent Roll'!$L$12,0)+IF(DO$11=HE145,-'Rent Roll'!$B$13*'Rent Roll'!$L$13,0)</f>
        <v/>
      </c>
      <c r="DP64" s="228">
        <f>IF(DP$11=HF141,-'Rent Roll'!$B$9*'Rent Roll'!$L$9,0)+IF(DP$11=HF142,-'Rent Roll'!$B$10*'Rent Roll'!$L$10,0)+IF(DP$11=HF143,-'Rent Roll'!$B$11*'Rent Roll'!$L$11,0)+IF(DP$11=HF144,-'Rent Roll'!$B$12*'Rent Roll'!$L$12,0)+IF(DP$11=HF145,-'Rent Roll'!$B$13*'Rent Roll'!$L$13,0)</f>
        <v/>
      </c>
      <c r="DQ64" s="228">
        <f>IF(DQ$11=HG141,-'Rent Roll'!$B$9*'Rent Roll'!$L$9,0)+IF(DQ$11=HG142,-'Rent Roll'!$B$10*'Rent Roll'!$L$10,0)+IF(DQ$11=HG143,-'Rent Roll'!$B$11*'Rent Roll'!$L$11,0)+IF(DQ$11=HG144,-'Rent Roll'!$B$12*'Rent Roll'!$L$12,0)+IF(DQ$11=HG145,-'Rent Roll'!$B$13*'Rent Roll'!$L$13,0)</f>
        <v/>
      </c>
      <c r="DR64" s="228">
        <f>IF(DR$11=HH141,-'Rent Roll'!$B$9*'Rent Roll'!$L$9,0)+IF(DR$11=HH142,-'Rent Roll'!$B$10*'Rent Roll'!$L$10,0)+IF(DR$11=HH143,-'Rent Roll'!$B$11*'Rent Roll'!$L$11,0)+IF(DR$11=HH144,-'Rent Roll'!$B$12*'Rent Roll'!$L$12,0)+IF(DR$11=HH145,-'Rent Roll'!$B$13*'Rent Roll'!$L$13,0)</f>
        <v/>
      </c>
      <c r="DS64" s="228">
        <f>IF(DS$11=HI141,-'Rent Roll'!$B$9*'Rent Roll'!$L$9,0)+IF(DS$11=HI142,-'Rent Roll'!$B$10*'Rent Roll'!$L$10,0)+IF(DS$11=HI143,-'Rent Roll'!$B$11*'Rent Roll'!$L$11,0)+IF(DS$11=HI144,-'Rent Roll'!$B$12*'Rent Roll'!$L$12,0)+IF(DS$11=HI145,-'Rent Roll'!$B$13*'Rent Roll'!$L$13,0)</f>
        <v/>
      </c>
      <c r="DT64" s="228">
        <f>IF(DT$11=HJ141,-'Rent Roll'!$B$9*'Rent Roll'!$L$9,0)+IF(DT$11=HJ142,-'Rent Roll'!$B$10*'Rent Roll'!$L$10,0)+IF(DT$11=HJ143,-'Rent Roll'!$B$11*'Rent Roll'!$L$11,0)+IF(DT$11=HJ144,-'Rent Roll'!$B$12*'Rent Roll'!$L$12,0)+IF(DT$11=HJ145,-'Rent Roll'!$B$13*'Rent Roll'!$L$13,0)</f>
        <v/>
      </c>
    </row>
    <row r="65" ht="15" customHeight="1" s="148">
      <c r="A65" s="112" t="inlineStr">
        <is>
          <t>Market Tenant Improvements</t>
        </is>
      </c>
      <c r="C65" s="228">
        <f>SUM(D65:DT65)</f>
        <v/>
      </c>
      <c r="D65" s="228">
        <f>IF(D$11=FB146,-'Rent Roll'!$B$36*'Rent Roll'!$L$36,0)+IF(D$11=FB147,-'Rent Roll'!$B$37*'Rent Roll'!$L$37,0)+IF(D$11=FB148,-'Rent Roll'!$B$38*'Rent Roll'!$L$38,0)+IF(D$11=FB149,-'Rent Roll'!$B$39*'Rent Roll'!$L$39,0)+IF(D$11=FB150,-'Rent Roll'!$B$40*'Rent Roll'!$L$40,0)</f>
        <v/>
      </c>
      <c r="E65" s="228">
        <f>IF(E$11=FB146,-'Rent Roll'!$B$36*'Rent Roll'!$L$36,0)+IF(E$11=FB147,-'Rent Roll'!$B$37*'Rent Roll'!$L$37,0)+IF(E$11=FB148,-'Rent Roll'!$B$38*'Rent Roll'!$L$38,0)+IF(E$11=FB149,-'Rent Roll'!$B$39*'Rent Roll'!$L$39,0)+IF(E$11=FB150,-'Rent Roll'!$B$40*'Rent Roll'!$L$40,0)</f>
        <v/>
      </c>
      <c r="F65" s="228">
        <f>IF(F$11=FB146,-'Rent Roll'!$B$36*'Rent Roll'!$L$36,0)+IF(F$11=FB147,-'Rent Roll'!$B$37*'Rent Roll'!$L$37,0)+IF(F$11=FB148,-'Rent Roll'!$B$38*'Rent Roll'!$L$38,0)+IF(F$11=FB149,-'Rent Roll'!$B$39*'Rent Roll'!$L$39,0)+IF(F$11=FB150,-'Rent Roll'!$B$40*'Rent Roll'!$L$40,0)</f>
        <v/>
      </c>
      <c r="G65" s="228">
        <f>IF(G$11=FB146,-'Rent Roll'!$B$36*'Rent Roll'!$L$36,0)+IF(G$11=FB147,-'Rent Roll'!$B$37*'Rent Roll'!$L$37,0)+IF(G$11=FB148,-'Rent Roll'!$B$38*'Rent Roll'!$L$38,0)+IF(G$11=FB149,-'Rent Roll'!$B$39*'Rent Roll'!$L$39,0)+IF(G$11=FB150,-'Rent Roll'!$B$40*'Rent Roll'!$L$40,0)</f>
        <v/>
      </c>
      <c r="H65" s="228">
        <f>IF(H$11=FB146,-'Rent Roll'!$B$36*'Rent Roll'!$L$36,0)+IF(H$11=FB147,-'Rent Roll'!$B$37*'Rent Roll'!$L$37,0)+IF(H$11=FB148,-'Rent Roll'!$B$38*'Rent Roll'!$L$38,0)+IF(H$11=FB149,-'Rent Roll'!$B$39*'Rent Roll'!$L$39,0)+IF(H$11=FB150,-'Rent Roll'!$B$40*'Rent Roll'!$L$40,0)</f>
        <v/>
      </c>
      <c r="I65" s="228">
        <f>IF(I$11=FB146,-'Rent Roll'!$B$36*'Rent Roll'!$L$36,0)+IF(I$11=FB147,-'Rent Roll'!$B$37*'Rent Roll'!$L$37,0)+IF(I$11=FB148,-'Rent Roll'!$B$38*'Rent Roll'!$L$38,0)+IF(I$11=FB149,-'Rent Roll'!$B$39*'Rent Roll'!$L$39,0)+IF(I$11=FB150,-'Rent Roll'!$B$40*'Rent Roll'!$L$40,0)</f>
        <v/>
      </c>
      <c r="J65" s="228">
        <f>IF(J$11=FB146,-'Rent Roll'!$B$36*'Rent Roll'!$L$36,0)+IF(J$11=FB147,-'Rent Roll'!$B$37*'Rent Roll'!$L$37,0)+IF(J$11=FB148,-'Rent Roll'!$B$38*'Rent Roll'!$L$38,0)+IF(J$11=FB149,-'Rent Roll'!$B$39*'Rent Roll'!$L$39,0)+IF(J$11=FB150,-'Rent Roll'!$B$40*'Rent Roll'!$L$40,0)</f>
        <v/>
      </c>
      <c r="K65" s="228">
        <f>IF(K$11=FB146,-'Rent Roll'!$B$36*'Rent Roll'!$L$36,0)+IF(K$11=FB147,-'Rent Roll'!$B$37*'Rent Roll'!$L$37,0)+IF(K$11=FB148,-'Rent Roll'!$B$38*'Rent Roll'!$L$38,0)+IF(K$11=FB149,-'Rent Roll'!$B$39*'Rent Roll'!$L$39,0)+IF(K$11=FB150,-'Rent Roll'!$B$40*'Rent Roll'!$L$40,0)</f>
        <v/>
      </c>
      <c r="L65" s="228">
        <f>IF(L$11=FB146,-'Rent Roll'!$B$36*'Rent Roll'!$L$36,0)+IF(L$11=FB147,-'Rent Roll'!$B$37*'Rent Roll'!$L$37,0)+IF(L$11=FB148,-'Rent Roll'!$B$38*'Rent Roll'!$L$38,0)+IF(L$11=FB149,-'Rent Roll'!$B$39*'Rent Roll'!$L$39,0)+IF(L$11=FB150,-'Rent Roll'!$B$40*'Rent Roll'!$L$40,0)</f>
        <v/>
      </c>
      <c r="M65" s="228">
        <f>IF(M$11=FB146,-'Rent Roll'!$B$36*'Rent Roll'!$L$36,0)+IF(M$11=FB147,-'Rent Roll'!$B$37*'Rent Roll'!$L$37,0)+IF(M$11=FB148,-'Rent Roll'!$B$38*'Rent Roll'!$L$38,0)+IF(M$11=FB149,-'Rent Roll'!$B$39*'Rent Roll'!$L$39,0)+IF(M$11=FB150,-'Rent Roll'!$B$40*'Rent Roll'!$L$40,0)</f>
        <v/>
      </c>
      <c r="N65" s="228">
        <f>IF(N$11=FB146,-'Rent Roll'!$B$36*'Rent Roll'!$L$36,0)+IF(N$11=FB147,-'Rent Roll'!$B$37*'Rent Roll'!$L$37,0)+IF(N$11=FB148,-'Rent Roll'!$B$38*'Rent Roll'!$L$38,0)+IF(N$11=FB149,-'Rent Roll'!$B$39*'Rent Roll'!$L$39,0)+IF(N$11=FB150,-'Rent Roll'!$B$40*'Rent Roll'!$L$40,0)</f>
        <v/>
      </c>
      <c r="O65" s="228">
        <f>IF(O$11=FB146,-'Rent Roll'!$B$36*'Rent Roll'!$L$36,0)+IF(O$11=FB147,-'Rent Roll'!$B$37*'Rent Roll'!$L$37,0)+IF(O$11=FB148,-'Rent Roll'!$B$38*'Rent Roll'!$L$38,0)+IF(O$11=FB149,-'Rent Roll'!$B$39*'Rent Roll'!$L$39,0)+IF(O$11=FB150,-'Rent Roll'!$B$40*'Rent Roll'!$L$40,0)</f>
        <v/>
      </c>
      <c r="P65" s="228">
        <f>IF(P$11=FB146,-'Rent Roll'!$B$36*'Rent Roll'!$L$36,0)+IF(P$11=FB147,-'Rent Roll'!$B$37*'Rent Roll'!$L$37,0)+IF(P$11=FB148,-'Rent Roll'!$B$38*'Rent Roll'!$L$38,0)+IF(P$11=FB149,-'Rent Roll'!$B$39*'Rent Roll'!$L$39,0)+IF(P$11=FB150,-'Rent Roll'!$B$40*'Rent Roll'!$L$40,0)</f>
        <v/>
      </c>
      <c r="Q65" s="228">
        <f>IF(Q$11=FB146,-'Rent Roll'!$B$36*'Rent Roll'!$L$36,0)+IF(Q$11=FB147,-'Rent Roll'!$B$37*'Rent Roll'!$L$37,0)+IF(Q$11=FB148,-'Rent Roll'!$B$38*'Rent Roll'!$L$38,0)+IF(Q$11=FB149,-'Rent Roll'!$B$39*'Rent Roll'!$L$39,0)+IF(Q$11=FB150,-'Rent Roll'!$B$40*'Rent Roll'!$L$40,0)</f>
        <v/>
      </c>
      <c r="R65" s="228">
        <f>IF(R$11=FB146,-'Rent Roll'!$B$36*'Rent Roll'!$L$36,0)+IF(R$11=FB147,-'Rent Roll'!$B$37*'Rent Roll'!$L$37,0)+IF(R$11=FB148,-'Rent Roll'!$B$38*'Rent Roll'!$L$38,0)+IF(R$11=FB149,-'Rent Roll'!$B$39*'Rent Roll'!$L$39,0)+IF(R$11=FB150,-'Rent Roll'!$B$40*'Rent Roll'!$L$40,0)</f>
        <v/>
      </c>
      <c r="S65" s="228">
        <f>IF(S$11=FB146,-'Rent Roll'!$B$36*'Rent Roll'!$L$36,0)+IF(S$11=FB147,-'Rent Roll'!$B$37*'Rent Roll'!$L$37,0)+IF(S$11=FB148,-'Rent Roll'!$B$38*'Rent Roll'!$L$38,0)+IF(S$11=FB149,-'Rent Roll'!$B$39*'Rent Roll'!$L$39,0)+IF(S$11=FB150,-'Rent Roll'!$B$40*'Rent Roll'!$L$40,0)</f>
        <v/>
      </c>
      <c r="T65" s="228">
        <f>IF(T$11=FB146,-'Rent Roll'!$B$36*'Rent Roll'!$L$36,0)+IF(T$11=FB147,-'Rent Roll'!$B$37*'Rent Roll'!$L$37,0)+IF(T$11=FB148,-'Rent Roll'!$B$38*'Rent Roll'!$L$38,0)+IF(T$11=FB149,-'Rent Roll'!$B$39*'Rent Roll'!$L$39,0)+IF(T$11=FB150,-'Rent Roll'!$B$40*'Rent Roll'!$L$40,0)</f>
        <v/>
      </c>
      <c r="U65" s="228">
        <f>IF(U$11=FB146,-'Rent Roll'!$B$36*'Rent Roll'!$L$36,0)+IF(U$11=FB147,-'Rent Roll'!$B$37*'Rent Roll'!$L$37,0)+IF(U$11=FB148,-'Rent Roll'!$B$38*'Rent Roll'!$L$38,0)+IF(U$11=FB149,-'Rent Roll'!$B$39*'Rent Roll'!$L$39,0)+IF(U$11=FB150,-'Rent Roll'!$B$40*'Rent Roll'!$L$40,0)</f>
        <v/>
      </c>
      <c r="V65" s="228">
        <f>IF(V$11=FB146,-'Rent Roll'!$B$36*'Rent Roll'!$L$36,0)+IF(V$11=FB147,-'Rent Roll'!$B$37*'Rent Roll'!$L$37,0)+IF(V$11=FB148,-'Rent Roll'!$B$38*'Rent Roll'!$L$38,0)+IF(V$11=FB149,-'Rent Roll'!$B$39*'Rent Roll'!$L$39,0)+IF(V$11=FB150,-'Rent Roll'!$B$40*'Rent Roll'!$L$40,0)</f>
        <v/>
      </c>
      <c r="W65" s="228">
        <f>IF(W$11=FB146,-'Rent Roll'!$B$36*'Rent Roll'!$L$36,0)+IF(W$11=FB147,-'Rent Roll'!$B$37*'Rent Roll'!$L$37,0)+IF(W$11=FB148,-'Rent Roll'!$B$38*'Rent Roll'!$L$38,0)+IF(W$11=FB149,-'Rent Roll'!$B$39*'Rent Roll'!$L$39,0)+IF(W$11=FB150,-'Rent Roll'!$B$40*'Rent Roll'!$L$40,0)</f>
        <v/>
      </c>
      <c r="X65" s="228">
        <f>IF(X$11=FB146,-'Rent Roll'!$B$36*'Rent Roll'!$L$36,0)+IF(X$11=FB147,-'Rent Roll'!$B$37*'Rent Roll'!$L$37,0)+IF(X$11=FB148,-'Rent Roll'!$B$38*'Rent Roll'!$L$38,0)+IF(X$11=FB149,-'Rent Roll'!$B$39*'Rent Roll'!$L$39,0)+IF(X$11=FB150,-'Rent Roll'!$B$40*'Rent Roll'!$L$40,0)</f>
        <v/>
      </c>
      <c r="Y65" s="228">
        <f>IF(Y$11=FB146,-'Rent Roll'!$B$36*'Rent Roll'!$L$36,0)+IF(Y$11=FB147,-'Rent Roll'!$B$37*'Rent Roll'!$L$37,0)+IF(Y$11=FB148,-'Rent Roll'!$B$38*'Rent Roll'!$L$38,0)+IF(Y$11=FB149,-'Rent Roll'!$B$39*'Rent Roll'!$L$39,0)+IF(Y$11=FB150,-'Rent Roll'!$B$40*'Rent Roll'!$L$40,0)</f>
        <v/>
      </c>
      <c r="Z65" s="228">
        <f>IF(Z$11=FB146,-'Rent Roll'!$B$36*'Rent Roll'!$L$36,0)+IF(Z$11=FB147,-'Rent Roll'!$B$37*'Rent Roll'!$L$37,0)+IF(Z$11=FB148,-'Rent Roll'!$B$38*'Rent Roll'!$L$38,0)+IF(Z$11=FB149,-'Rent Roll'!$B$39*'Rent Roll'!$L$39,0)+IF(Z$11=FB150,-'Rent Roll'!$B$40*'Rent Roll'!$L$40,0)</f>
        <v/>
      </c>
      <c r="AA65" s="228">
        <f>IF(AA$11=FB146,-'Rent Roll'!$B$36*'Rent Roll'!$L$36,0)+IF(AA$11=FB147,-'Rent Roll'!$B$37*'Rent Roll'!$L$37,0)+IF(AA$11=FB148,-'Rent Roll'!$B$38*'Rent Roll'!$L$38,0)+IF(AA$11=FB149,-'Rent Roll'!$B$39*'Rent Roll'!$L$39,0)+IF(AA$11=FB150,-'Rent Roll'!$B$40*'Rent Roll'!$L$40,0)</f>
        <v/>
      </c>
      <c r="AB65" s="228">
        <f>IF(AB$11=FB146,-'Rent Roll'!$B$36*'Rent Roll'!$L$36,0)+IF(AB$11=FB147,-'Rent Roll'!$B$37*'Rent Roll'!$L$37,0)+IF(AB$11=FB148,-'Rent Roll'!$B$38*'Rent Roll'!$L$38,0)+IF(AB$11=FB149,-'Rent Roll'!$B$39*'Rent Roll'!$L$39,0)+IF(AB$11=FB150,-'Rent Roll'!$B$40*'Rent Roll'!$L$40,0)</f>
        <v/>
      </c>
      <c r="AC65" s="228">
        <f>IF(AC$11=FB146,-'Rent Roll'!$B$36*'Rent Roll'!$L$36,0)+IF(AC$11=FB147,-'Rent Roll'!$B$37*'Rent Roll'!$L$37,0)+IF(AC$11=FB148,-'Rent Roll'!$B$38*'Rent Roll'!$L$38,0)+IF(AC$11=FB149,-'Rent Roll'!$B$39*'Rent Roll'!$L$39,0)+IF(AC$11=FB150,-'Rent Roll'!$B$40*'Rent Roll'!$L$40,0)</f>
        <v/>
      </c>
      <c r="AD65" s="228">
        <f>IF(AD$11=FB146,-'Rent Roll'!$B$36*'Rent Roll'!$L$36,0)+IF(AD$11=FB147,-'Rent Roll'!$B$37*'Rent Roll'!$L$37,0)+IF(AD$11=FB148,-'Rent Roll'!$B$38*'Rent Roll'!$L$38,0)+IF(AD$11=FB149,-'Rent Roll'!$B$39*'Rent Roll'!$L$39,0)+IF(AD$11=FB150,-'Rent Roll'!$B$40*'Rent Roll'!$L$40,0)</f>
        <v/>
      </c>
      <c r="AE65" s="228">
        <f>IF(AE$11=FB146,-'Rent Roll'!$B$36*'Rent Roll'!$L$36,0)+IF(AE$11=FB147,-'Rent Roll'!$B$37*'Rent Roll'!$L$37,0)+IF(AE$11=FB148,-'Rent Roll'!$B$38*'Rent Roll'!$L$38,0)+IF(AE$11=FB149,-'Rent Roll'!$B$39*'Rent Roll'!$L$39,0)+IF(AE$11=FB150,-'Rent Roll'!$B$40*'Rent Roll'!$L$40,0)</f>
        <v/>
      </c>
      <c r="AF65" s="228">
        <f>IF(AF$11=FB146,-'Rent Roll'!$B$36*'Rent Roll'!$L$36,0)+IF(AF$11=FB147,-'Rent Roll'!$B$37*'Rent Roll'!$L$37,0)+IF(AF$11=FB148,-'Rent Roll'!$B$38*'Rent Roll'!$L$38,0)+IF(AF$11=FB149,-'Rent Roll'!$B$39*'Rent Roll'!$L$39,0)+IF(AF$11=FB150,-'Rent Roll'!$B$40*'Rent Roll'!$L$40,0)</f>
        <v/>
      </c>
      <c r="AG65" s="228">
        <f>IF(AG$11=FB146,-'Rent Roll'!$B$36*'Rent Roll'!$L$36,0)+IF(AG$11=FB147,-'Rent Roll'!$B$37*'Rent Roll'!$L$37,0)+IF(AG$11=FB148,-'Rent Roll'!$B$38*'Rent Roll'!$L$38,0)+IF(AG$11=FB149,-'Rent Roll'!$B$39*'Rent Roll'!$L$39,0)+IF(AG$11=FB150,-'Rent Roll'!$B$40*'Rent Roll'!$L$40,0)</f>
        <v/>
      </c>
      <c r="AH65" s="228">
        <f>IF(AH$11=FB146,-'Rent Roll'!$B$36*'Rent Roll'!$L$36,0)+IF(AH$11=FB147,-'Rent Roll'!$B$37*'Rent Roll'!$L$37,0)+IF(AH$11=FB148,-'Rent Roll'!$B$38*'Rent Roll'!$L$38,0)+IF(AH$11=FB149,-'Rent Roll'!$B$39*'Rent Roll'!$L$39,0)+IF(AH$11=FB150,-'Rent Roll'!$B$40*'Rent Roll'!$L$40,0)</f>
        <v/>
      </c>
      <c r="AI65" s="228">
        <f>IF(AI$11=FB146,-'Rent Roll'!$B$36*'Rent Roll'!$L$36,0)+IF(AI$11=FB147,-'Rent Roll'!$B$37*'Rent Roll'!$L$37,0)+IF(AI$11=FB148,-'Rent Roll'!$B$38*'Rent Roll'!$L$38,0)+IF(AI$11=FB149,-'Rent Roll'!$B$39*'Rent Roll'!$L$39,0)+IF(AI$11=FB150,-'Rent Roll'!$B$40*'Rent Roll'!$L$40,0)</f>
        <v/>
      </c>
      <c r="AJ65" s="228">
        <f>IF(AJ$11=FB146,-'Rent Roll'!$B$36*'Rent Roll'!$L$36,0)+IF(AJ$11=FB147,-'Rent Roll'!$B$37*'Rent Roll'!$L$37,0)+IF(AJ$11=FB148,-'Rent Roll'!$B$38*'Rent Roll'!$L$38,0)+IF(AJ$11=FB149,-'Rent Roll'!$B$39*'Rent Roll'!$L$39,0)+IF(AJ$11=FB150,-'Rent Roll'!$B$40*'Rent Roll'!$L$40,0)</f>
        <v/>
      </c>
      <c r="AK65" s="228">
        <f>IF(AK$11=FB146,-'Rent Roll'!$B$36*'Rent Roll'!$L$36,0)+IF(AK$11=FB147,-'Rent Roll'!$B$37*'Rent Roll'!$L$37,0)+IF(AK$11=FB148,-'Rent Roll'!$B$38*'Rent Roll'!$L$38,0)+IF(AK$11=FB149,-'Rent Roll'!$B$39*'Rent Roll'!$L$39,0)+IF(AK$11=FB150,-'Rent Roll'!$B$40*'Rent Roll'!$L$40,0)</f>
        <v/>
      </c>
      <c r="AL65" s="228">
        <f>IF(AL$11=FB146,-'Rent Roll'!$B$36*'Rent Roll'!$L$36,0)+IF(AL$11=FB147,-'Rent Roll'!$B$37*'Rent Roll'!$L$37,0)+IF(AL$11=FB148,-'Rent Roll'!$B$38*'Rent Roll'!$L$38,0)+IF(AL$11=FB149,-'Rent Roll'!$B$39*'Rent Roll'!$L$39,0)+IF(AL$11=FB150,-'Rent Roll'!$B$40*'Rent Roll'!$L$40,0)</f>
        <v/>
      </c>
      <c r="AM65" s="228">
        <f>IF(AM$11=FB146,-'Rent Roll'!$B$36*'Rent Roll'!$L$36,0)+IF(AM$11=FB147,-'Rent Roll'!$B$37*'Rent Roll'!$L$37,0)+IF(AM$11=FB148,-'Rent Roll'!$B$38*'Rent Roll'!$L$38,0)+IF(AM$11=FB149,-'Rent Roll'!$B$39*'Rent Roll'!$L$39,0)+IF(AM$11=FB150,-'Rent Roll'!$B$40*'Rent Roll'!$L$40,0)</f>
        <v/>
      </c>
      <c r="AN65" s="228">
        <f>IF(AN$11=FB146,-'Rent Roll'!$B$36*'Rent Roll'!$L$36,0)+IF(AN$11=FB147,-'Rent Roll'!$B$37*'Rent Roll'!$L$37,0)+IF(AN$11=FB148,-'Rent Roll'!$B$38*'Rent Roll'!$L$38,0)+IF(AN$11=FB149,-'Rent Roll'!$B$39*'Rent Roll'!$L$39,0)+IF(AN$11=FB150,-'Rent Roll'!$B$40*'Rent Roll'!$L$40,0)</f>
        <v/>
      </c>
      <c r="AO65" s="228">
        <f>IF(AO$11=FB146,-'Rent Roll'!$B$36*'Rent Roll'!$L$36,0)+IF(AO$11=FB147,-'Rent Roll'!$B$37*'Rent Roll'!$L$37,0)+IF(AO$11=FB148,-'Rent Roll'!$B$38*'Rent Roll'!$L$38,0)+IF(AO$11=FB149,-'Rent Roll'!$B$39*'Rent Roll'!$L$39,0)+IF(AO$11=FB150,-'Rent Roll'!$B$40*'Rent Roll'!$L$40,0)</f>
        <v/>
      </c>
      <c r="AP65" s="228">
        <f>IF(AP$11=FB146,-'Rent Roll'!$B$36*'Rent Roll'!$L$36,0)+IF(AP$11=FB147,-'Rent Roll'!$B$37*'Rent Roll'!$L$37,0)+IF(AP$11=FB148,-'Rent Roll'!$B$38*'Rent Roll'!$L$38,0)+IF(AP$11=FB149,-'Rent Roll'!$B$39*'Rent Roll'!$L$39,0)+IF(AP$11=FB150,-'Rent Roll'!$B$40*'Rent Roll'!$L$40,0)</f>
        <v/>
      </c>
      <c r="AQ65" s="228">
        <f>IF(AQ$11=FB146,-'Rent Roll'!$B$36*'Rent Roll'!$L$36,0)+IF(AQ$11=FB147,-'Rent Roll'!$B$37*'Rent Roll'!$L$37,0)+IF(AQ$11=FB148,-'Rent Roll'!$B$38*'Rent Roll'!$L$38,0)+IF(AQ$11=FB149,-'Rent Roll'!$B$39*'Rent Roll'!$L$39,0)+IF(AQ$11=FB150,-'Rent Roll'!$B$40*'Rent Roll'!$L$40,0)</f>
        <v/>
      </c>
      <c r="AR65" s="228">
        <f>IF(AR$11=FB146,-'Rent Roll'!$B$36*'Rent Roll'!$L$36,0)+IF(AR$11=FB147,-'Rent Roll'!$B$37*'Rent Roll'!$L$37,0)+IF(AR$11=FB148,-'Rent Roll'!$B$38*'Rent Roll'!$L$38,0)+IF(AR$11=FB149,-'Rent Roll'!$B$39*'Rent Roll'!$L$39,0)+IF(AR$11=FB150,-'Rent Roll'!$B$40*'Rent Roll'!$L$40,0)</f>
        <v/>
      </c>
      <c r="AS65" s="228">
        <f>IF(AS$11=FB146,-'Rent Roll'!$B$36*'Rent Roll'!$L$36,0)+IF(AS$11=FB147,-'Rent Roll'!$B$37*'Rent Roll'!$L$37,0)+IF(AS$11=FB148,-'Rent Roll'!$B$38*'Rent Roll'!$L$38,0)+IF(AS$11=FB149,-'Rent Roll'!$B$39*'Rent Roll'!$L$39,0)+IF(AS$11=FB150,-'Rent Roll'!$B$40*'Rent Roll'!$L$40,0)</f>
        <v/>
      </c>
      <c r="AT65" s="228">
        <f>IF(AT$11=FB146,-'Rent Roll'!$B$36*'Rent Roll'!$L$36,0)+IF(AT$11=FB147,-'Rent Roll'!$B$37*'Rent Roll'!$L$37,0)+IF(AT$11=FB148,-'Rent Roll'!$B$38*'Rent Roll'!$L$38,0)+IF(AT$11=FB149,-'Rent Roll'!$B$39*'Rent Roll'!$L$39,0)+IF(AT$11=FB150,-'Rent Roll'!$B$40*'Rent Roll'!$L$40,0)</f>
        <v/>
      </c>
      <c r="AU65" s="228">
        <f>IF(AU$11=FB146,-'Rent Roll'!$B$36*'Rent Roll'!$L$36,0)+IF(AU$11=FB147,-'Rent Roll'!$B$37*'Rent Roll'!$L$37,0)+IF(AU$11=FB148,-'Rent Roll'!$B$38*'Rent Roll'!$L$38,0)+IF(AU$11=FB149,-'Rent Roll'!$B$39*'Rent Roll'!$L$39,0)+IF(AU$11=FB150,-'Rent Roll'!$B$40*'Rent Roll'!$L$40,0)</f>
        <v/>
      </c>
      <c r="AV65" s="228">
        <f>IF(AV$11=FB146,-'Rent Roll'!$B$36*'Rent Roll'!$L$36,0)+IF(AV$11=FB147,-'Rent Roll'!$B$37*'Rent Roll'!$L$37,0)+IF(AV$11=FB148,-'Rent Roll'!$B$38*'Rent Roll'!$L$38,0)+IF(AV$11=FB149,-'Rent Roll'!$B$39*'Rent Roll'!$L$39,0)+IF(AV$11=FB150,-'Rent Roll'!$B$40*'Rent Roll'!$L$40,0)</f>
        <v/>
      </c>
      <c r="AW65" s="228">
        <f>IF(AW$11=FB146,-'Rent Roll'!$B$36*'Rent Roll'!$L$36,0)+IF(AW$11=FB147,-'Rent Roll'!$B$37*'Rent Roll'!$L$37,0)+IF(AW$11=FB148,-'Rent Roll'!$B$38*'Rent Roll'!$L$38,0)+IF(AW$11=FB149,-'Rent Roll'!$B$39*'Rent Roll'!$L$39,0)+IF(AW$11=FB150,-'Rent Roll'!$B$40*'Rent Roll'!$L$40,0)</f>
        <v/>
      </c>
      <c r="AX65" s="228">
        <f>IF(AX$11=FB146,-'Rent Roll'!$B$36*'Rent Roll'!$L$36,0)+IF(AX$11=FB147,-'Rent Roll'!$B$37*'Rent Roll'!$L$37,0)+IF(AX$11=FB148,-'Rent Roll'!$B$38*'Rent Roll'!$L$38,0)+IF(AX$11=FB149,-'Rent Roll'!$B$39*'Rent Roll'!$L$39,0)+IF(AX$11=FB150,-'Rent Roll'!$B$40*'Rent Roll'!$L$40,0)</f>
        <v/>
      </c>
      <c r="AY65" s="228">
        <f>IF(AY$11=FB146,-'Rent Roll'!$B$36*'Rent Roll'!$L$36,0)+IF(AY$11=FB147,-'Rent Roll'!$B$37*'Rent Roll'!$L$37,0)+IF(AY$11=FB148,-'Rent Roll'!$B$38*'Rent Roll'!$L$38,0)+IF(AY$11=FB149,-'Rent Roll'!$B$39*'Rent Roll'!$L$39,0)+IF(AY$11=FB150,-'Rent Roll'!$B$40*'Rent Roll'!$L$40,0)</f>
        <v/>
      </c>
      <c r="AZ65" s="228">
        <f>IF(AZ$11=FB146,-'Rent Roll'!$B$36*'Rent Roll'!$L$36,0)+IF(AZ$11=FB147,-'Rent Roll'!$B$37*'Rent Roll'!$L$37,0)+IF(AZ$11=FB148,-'Rent Roll'!$B$38*'Rent Roll'!$L$38,0)+IF(AZ$11=FB149,-'Rent Roll'!$B$39*'Rent Roll'!$L$39,0)+IF(AZ$11=FB150,-'Rent Roll'!$B$40*'Rent Roll'!$L$40,0)</f>
        <v/>
      </c>
      <c r="BA65" s="228">
        <f>IF(BA$11=FB146,-'Rent Roll'!$B$36*'Rent Roll'!$L$36,0)+IF(BA$11=FB147,-'Rent Roll'!$B$37*'Rent Roll'!$L$37,0)+IF(BA$11=FB148,-'Rent Roll'!$B$38*'Rent Roll'!$L$38,0)+IF(BA$11=FB149,-'Rent Roll'!$B$39*'Rent Roll'!$L$39,0)+IF(BA$11=FB150,-'Rent Roll'!$B$40*'Rent Roll'!$L$40,0)</f>
        <v/>
      </c>
      <c r="BB65" s="228">
        <f>IF(BB$11=FB146,-'Rent Roll'!$B$36*'Rent Roll'!$L$36,0)+IF(BB$11=FB147,-'Rent Roll'!$B$37*'Rent Roll'!$L$37,0)+IF(BB$11=FB148,-'Rent Roll'!$B$38*'Rent Roll'!$L$38,0)+IF(BB$11=FB149,-'Rent Roll'!$B$39*'Rent Roll'!$L$39,0)+IF(BB$11=FB150,-'Rent Roll'!$B$40*'Rent Roll'!$L$40,0)</f>
        <v/>
      </c>
      <c r="BC65" s="228">
        <f>IF(BC$11=FB146,-'Rent Roll'!$B$36*'Rent Roll'!$L$36,0)+IF(BC$11=FB147,-'Rent Roll'!$B$37*'Rent Roll'!$L$37,0)+IF(BC$11=FB148,-'Rent Roll'!$B$38*'Rent Roll'!$L$38,0)+IF(BC$11=FB149,-'Rent Roll'!$B$39*'Rent Roll'!$L$39,0)+IF(BC$11=FB150,-'Rent Roll'!$B$40*'Rent Roll'!$L$40,0)</f>
        <v/>
      </c>
      <c r="BD65" s="228">
        <f>IF(BD$11=FB146,-'Rent Roll'!$B$36*'Rent Roll'!$L$36,0)+IF(BD$11=FB147,-'Rent Roll'!$B$37*'Rent Roll'!$L$37,0)+IF(BD$11=FB148,-'Rent Roll'!$B$38*'Rent Roll'!$L$38,0)+IF(BD$11=FB149,-'Rent Roll'!$B$39*'Rent Roll'!$L$39,0)+IF(BD$11=FB150,-'Rent Roll'!$B$40*'Rent Roll'!$L$40,0)</f>
        <v/>
      </c>
      <c r="BE65" s="228">
        <f>IF(BE$11=FB146,-'Rent Roll'!$B$36*'Rent Roll'!$L$36,0)+IF(BE$11=FB147,-'Rent Roll'!$B$37*'Rent Roll'!$L$37,0)+IF(BE$11=FB148,-'Rent Roll'!$B$38*'Rent Roll'!$L$38,0)+IF(BE$11=FB149,-'Rent Roll'!$B$39*'Rent Roll'!$L$39,0)+IF(BE$11=FB150,-'Rent Roll'!$B$40*'Rent Roll'!$L$40,0)</f>
        <v/>
      </c>
      <c r="BF65" s="228">
        <f>IF(BF$11=FB146,-'Rent Roll'!$B$36*'Rent Roll'!$L$36,0)+IF(BF$11=FB147,-'Rent Roll'!$B$37*'Rent Roll'!$L$37,0)+IF(BF$11=FB148,-'Rent Roll'!$B$38*'Rent Roll'!$L$38,0)+IF(BF$11=FB149,-'Rent Roll'!$B$39*'Rent Roll'!$L$39,0)+IF(BF$11=FB150,-'Rent Roll'!$B$40*'Rent Roll'!$L$40,0)</f>
        <v/>
      </c>
      <c r="BG65" s="228">
        <f>IF(BG$11=FB146,-'Rent Roll'!$B$36*'Rent Roll'!$L$36,0)+IF(BG$11=FB147,-'Rent Roll'!$B$37*'Rent Roll'!$L$37,0)+IF(BG$11=FB148,-'Rent Roll'!$B$38*'Rent Roll'!$L$38,0)+IF(BG$11=FB149,-'Rent Roll'!$B$39*'Rent Roll'!$L$39,0)+IF(BG$11=FB150,-'Rent Roll'!$B$40*'Rent Roll'!$L$40,0)</f>
        <v/>
      </c>
      <c r="BH65" s="228">
        <f>IF(BH$11=FB146,-'Rent Roll'!$B$36*'Rent Roll'!$L$36,0)+IF(BH$11=FB147,-'Rent Roll'!$B$37*'Rent Roll'!$L$37,0)+IF(BH$11=FB148,-'Rent Roll'!$B$38*'Rent Roll'!$L$38,0)+IF(BH$11=FB149,-'Rent Roll'!$B$39*'Rent Roll'!$L$39,0)+IF(BH$11=FB150,-'Rent Roll'!$B$40*'Rent Roll'!$L$40,0)</f>
        <v/>
      </c>
      <c r="BI65" s="228">
        <f>IF(BI$11=FB146,-'Rent Roll'!$B$36*'Rent Roll'!$L$36,0)+IF(BI$11=FB147,-'Rent Roll'!$B$37*'Rent Roll'!$L$37,0)+IF(BI$11=FB148,-'Rent Roll'!$B$38*'Rent Roll'!$L$38,0)+IF(BI$11=FB149,-'Rent Roll'!$B$39*'Rent Roll'!$L$39,0)+IF(BI$11=FB150,-'Rent Roll'!$B$40*'Rent Roll'!$L$40,0)</f>
        <v/>
      </c>
      <c r="BJ65" s="228">
        <f>IF(BJ$11=FB146,-'Rent Roll'!$B$36*'Rent Roll'!$L$36,0)+IF(BJ$11=FB147,-'Rent Roll'!$B$37*'Rent Roll'!$L$37,0)+IF(BJ$11=FB148,-'Rent Roll'!$B$38*'Rent Roll'!$L$38,0)+IF(BJ$11=FB149,-'Rent Roll'!$B$39*'Rent Roll'!$L$39,0)+IF(BJ$11=FB150,-'Rent Roll'!$B$40*'Rent Roll'!$L$40,0)</f>
        <v/>
      </c>
      <c r="BK65" s="228">
        <f>IF(BK$11=FB146,-'Rent Roll'!$B$36*'Rent Roll'!$L$36,0)+IF(BK$11=FB147,-'Rent Roll'!$B$37*'Rent Roll'!$L$37,0)+IF(BK$11=FB148,-'Rent Roll'!$B$38*'Rent Roll'!$L$38,0)+IF(BK$11=FB149,-'Rent Roll'!$B$39*'Rent Roll'!$L$39,0)+IF(BK$11=FB150,-'Rent Roll'!$B$40*'Rent Roll'!$L$40,0)</f>
        <v/>
      </c>
      <c r="BL65" s="228">
        <f>IF(BL$11=FB146,-'Rent Roll'!$B$36*'Rent Roll'!$L$36,0)+IF(BL$11=FB147,-'Rent Roll'!$B$37*'Rent Roll'!$L$37,0)+IF(BL$11=FB148,-'Rent Roll'!$B$38*'Rent Roll'!$L$38,0)+IF(BL$11=FB149,-'Rent Roll'!$B$39*'Rent Roll'!$L$39,0)+IF(BL$11=FB150,-'Rent Roll'!$B$40*'Rent Roll'!$L$40,0)</f>
        <v/>
      </c>
      <c r="BM65" s="228">
        <f>IF(BM$11=FC146,-'Rent Roll'!$B$36*'Rent Roll'!$L$36,0)+IF(BM$11=FC147,-'Rent Roll'!$B$37*'Rent Roll'!$L$37,0)+IF(BM$11=FC148,-'Rent Roll'!$B$38*'Rent Roll'!$L$38,0)+IF(BM$11=FC149,-'Rent Roll'!$B$39*'Rent Roll'!$L$39,0)+IF(BM$11=FC150,-'Rent Roll'!$B$40*'Rent Roll'!$L$40,0)</f>
        <v/>
      </c>
      <c r="BN65" s="228">
        <f>IF(BN$11=FD146,-'Rent Roll'!$B$36*'Rent Roll'!$L$36,0)+IF(BN$11=FD147,-'Rent Roll'!$B$37*'Rent Roll'!$L$37,0)+IF(BN$11=FD148,-'Rent Roll'!$B$38*'Rent Roll'!$L$38,0)+IF(BN$11=FD149,-'Rent Roll'!$B$39*'Rent Roll'!$L$39,0)+IF(BN$11=FD150,-'Rent Roll'!$B$40*'Rent Roll'!$L$40,0)</f>
        <v/>
      </c>
      <c r="BO65" s="228">
        <f>IF(BO$11=FE146,-'Rent Roll'!$B$36*'Rent Roll'!$L$36,0)+IF(BO$11=FE147,-'Rent Roll'!$B$37*'Rent Roll'!$L$37,0)+IF(BO$11=FE148,-'Rent Roll'!$B$38*'Rent Roll'!$L$38,0)+IF(BO$11=FE149,-'Rent Roll'!$B$39*'Rent Roll'!$L$39,0)+IF(BO$11=FE150,-'Rent Roll'!$B$40*'Rent Roll'!$L$40,0)</f>
        <v/>
      </c>
      <c r="BP65" s="228">
        <f>IF(BP$11=FF146,-'Rent Roll'!$B$36*'Rent Roll'!$L$36,0)+IF(BP$11=FF147,-'Rent Roll'!$B$37*'Rent Roll'!$L$37,0)+IF(BP$11=FF148,-'Rent Roll'!$B$38*'Rent Roll'!$L$38,0)+IF(BP$11=FF149,-'Rent Roll'!$B$39*'Rent Roll'!$L$39,0)+IF(BP$11=FF150,-'Rent Roll'!$B$40*'Rent Roll'!$L$40,0)</f>
        <v/>
      </c>
      <c r="BQ65" s="228">
        <f>IF(BQ$11=FG146,-'Rent Roll'!$B$36*'Rent Roll'!$L$36,0)+IF(BQ$11=FG147,-'Rent Roll'!$B$37*'Rent Roll'!$L$37,0)+IF(BQ$11=FG148,-'Rent Roll'!$B$38*'Rent Roll'!$L$38,0)+IF(BQ$11=FG149,-'Rent Roll'!$B$39*'Rent Roll'!$L$39,0)+IF(BQ$11=FG150,-'Rent Roll'!$B$40*'Rent Roll'!$L$40,0)</f>
        <v/>
      </c>
      <c r="BR65" s="228">
        <f>IF(BR$11=FH146,-'Rent Roll'!$B$36*'Rent Roll'!$L$36,0)+IF(BR$11=FH147,-'Rent Roll'!$B$37*'Rent Roll'!$L$37,0)+IF(BR$11=FH148,-'Rent Roll'!$B$38*'Rent Roll'!$L$38,0)+IF(BR$11=FH149,-'Rent Roll'!$B$39*'Rent Roll'!$L$39,0)+IF(BR$11=FH150,-'Rent Roll'!$B$40*'Rent Roll'!$L$40,0)</f>
        <v/>
      </c>
      <c r="BS65" s="228">
        <f>IF(BS$11=FI146,-'Rent Roll'!$B$36*'Rent Roll'!$L$36,0)+IF(BS$11=FI147,-'Rent Roll'!$B$37*'Rent Roll'!$L$37,0)+IF(BS$11=FI148,-'Rent Roll'!$B$38*'Rent Roll'!$L$38,0)+IF(BS$11=FI149,-'Rent Roll'!$B$39*'Rent Roll'!$L$39,0)+IF(BS$11=FI150,-'Rent Roll'!$B$40*'Rent Roll'!$L$40,0)</f>
        <v/>
      </c>
      <c r="BT65" s="228">
        <f>IF(BT$11=FJ146,-'Rent Roll'!$B$36*'Rent Roll'!$L$36,0)+IF(BT$11=FJ147,-'Rent Roll'!$B$37*'Rent Roll'!$L$37,0)+IF(BT$11=FJ148,-'Rent Roll'!$B$38*'Rent Roll'!$L$38,0)+IF(BT$11=FJ149,-'Rent Roll'!$B$39*'Rent Roll'!$L$39,0)+IF(BT$11=FJ150,-'Rent Roll'!$B$40*'Rent Roll'!$L$40,0)</f>
        <v/>
      </c>
      <c r="BU65" s="228">
        <f>IF(BU$11=FK146,-'Rent Roll'!$B$36*'Rent Roll'!$L$36,0)+IF(BU$11=FK147,-'Rent Roll'!$B$37*'Rent Roll'!$L$37,0)+IF(BU$11=FK148,-'Rent Roll'!$B$38*'Rent Roll'!$L$38,0)+IF(BU$11=FK149,-'Rent Roll'!$B$39*'Rent Roll'!$L$39,0)+IF(BU$11=FK150,-'Rent Roll'!$B$40*'Rent Roll'!$L$40,0)</f>
        <v/>
      </c>
      <c r="BV65" s="228">
        <f>IF(BV$11=FL146,-'Rent Roll'!$B$36*'Rent Roll'!$L$36,0)+IF(BV$11=FL147,-'Rent Roll'!$B$37*'Rent Roll'!$L$37,0)+IF(BV$11=FL148,-'Rent Roll'!$B$38*'Rent Roll'!$L$38,0)+IF(BV$11=FL149,-'Rent Roll'!$B$39*'Rent Roll'!$L$39,0)+IF(BV$11=FL150,-'Rent Roll'!$B$40*'Rent Roll'!$L$40,0)</f>
        <v/>
      </c>
      <c r="BW65" s="228">
        <f>IF(BW$11=FM146,-'Rent Roll'!$B$36*'Rent Roll'!$L$36,0)+IF(BW$11=FM147,-'Rent Roll'!$B$37*'Rent Roll'!$L$37,0)+IF(BW$11=FM148,-'Rent Roll'!$B$38*'Rent Roll'!$L$38,0)+IF(BW$11=FM149,-'Rent Roll'!$B$39*'Rent Roll'!$L$39,0)+IF(BW$11=FM150,-'Rent Roll'!$B$40*'Rent Roll'!$L$40,0)</f>
        <v/>
      </c>
      <c r="BX65" s="228">
        <f>IF(BX$11=FN146,-'Rent Roll'!$B$36*'Rent Roll'!$L$36,0)+IF(BX$11=FN147,-'Rent Roll'!$B$37*'Rent Roll'!$L$37,0)+IF(BX$11=FN148,-'Rent Roll'!$B$38*'Rent Roll'!$L$38,0)+IF(BX$11=FN149,-'Rent Roll'!$B$39*'Rent Roll'!$L$39,0)+IF(BX$11=FN150,-'Rent Roll'!$B$40*'Rent Roll'!$L$40,0)</f>
        <v/>
      </c>
      <c r="BY65" s="228">
        <f>IF(BY$11=FO146,-'Rent Roll'!$B$36*'Rent Roll'!$L$36,0)+IF(BY$11=FO147,-'Rent Roll'!$B$37*'Rent Roll'!$L$37,0)+IF(BY$11=FO148,-'Rent Roll'!$B$38*'Rent Roll'!$L$38,0)+IF(BY$11=FO149,-'Rent Roll'!$B$39*'Rent Roll'!$L$39,0)+IF(BY$11=FO150,-'Rent Roll'!$B$40*'Rent Roll'!$L$40,0)</f>
        <v/>
      </c>
      <c r="BZ65" s="228">
        <f>IF(BZ$11=FP146,-'Rent Roll'!$B$36*'Rent Roll'!$L$36,0)+IF(BZ$11=FP147,-'Rent Roll'!$B$37*'Rent Roll'!$L$37,0)+IF(BZ$11=FP148,-'Rent Roll'!$B$38*'Rent Roll'!$L$38,0)+IF(BZ$11=FP149,-'Rent Roll'!$B$39*'Rent Roll'!$L$39,0)+IF(BZ$11=FP150,-'Rent Roll'!$B$40*'Rent Roll'!$L$40,0)</f>
        <v/>
      </c>
      <c r="CA65" s="228">
        <f>IF(CA$11=FQ146,-'Rent Roll'!$B$36*'Rent Roll'!$L$36,0)+IF(CA$11=FQ147,-'Rent Roll'!$B$37*'Rent Roll'!$L$37,0)+IF(CA$11=FQ148,-'Rent Roll'!$B$38*'Rent Roll'!$L$38,0)+IF(CA$11=FQ149,-'Rent Roll'!$B$39*'Rent Roll'!$L$39,0)+IF(CA$11=FQ150,-'Rent Roll'!$B$40*'Rent Roll'!$L$40,0)</f>
        <v/>
      </c>
      <c r="CB65" s="228">
        <f>IF(CB$11=FR146,-'Rent Roll'!$B$36*'Rent Roll'!$L$36,0)+IF(CB$11=FR147,-'Rent Roll'!$B$37*'Rent Roll'!$L$37,0)+IF(CB$11=FR148,-'Rent Roll'!$B$38*'Rent Roll'!$L$38,0)+IF(CB$11=FR149,-'Rent Roll'!$B$39*'Rent Roll'!$L$39,0)+IF(CB$11=FR150,-'Rent Roll'!$B$40*'Rent Roll'!$L$40,0)</f>
        <v/>
      </c>
      <c r="CC65" s="228">
        <f>IF(CC$11=FS146,-'Rent Roll'!$B$36*'Rent Roll'!$L$36,0)+IF(CC$11=FS147,-'Rent Roll'!$B$37*'Rent Roll'!$L$37,0)+IF(CC$11=FS148,-'Rent Roll'!$B$38*'Rent Roll'!$L$38,0)+IF(CC$11=FS149,-'Rent Roll'!$B$39*'Rent Roll'!$L$39,0)+IF(CC$11=FS150,-'Rent Roll'!$B$40*'Rent Roll'!$L$40,0)</f>
        <v/>
      </c>
      <c r="CD65" s="228">
        <f>IF(CD$11=FT146,-'Rent Roll'!$B$36*'Rent Roll'!$L$36,0)+IF(CD$11=FT147,-'Rent Roll'!$B$37*'Rent Roll'!$L$37,0)+IF(CD$11=FT148,-'Rent Roll'!$B$38*'Rent Roll'!$L$38,0)+IF(CD$11=FT149,-'Rent Roll'!$B$39*'Rent Roll'!$L$39,0)+IF(CD$11=FT150,-'Rent Roll'!$B$40*'Rent Roll'!$L$40,0)</f>
        <v/>
      </c>
      <c r="CE65" s="228">
        <f>IF(CE$11=FU146,-'Rent Roll'!$B$36*'Rent Roll'!$L$36,0)+IF(CE$11=FU147,-'Rent Roll'!$B$37*'Rent Roll'!$L$37,0)+IF(CE$11=FU148,-'Rent Roll'!$B$38*'Rent Roll'!$L$38,0)+IF(CE$11=FU149,-'Rent Roll'!$B$39*'Rent Roll'!$L$39,0)+IF(CE$11=FU150,-'Rent Roll'!$B$40*'Rent Roll'!$L$40,0)</f>
        <v/>
      </c>
      <c r="CF65" s="228">
        <f>IF(CF$11=FV146,-'Rent Roll'!$B$36*'Rent Roll'!$L$36,0)+IF(CF$11=FV147,-'Rent Roll'!$B$37*'Rent Roll'!$L$37,0)+IF(CF$11=FV148,-'Rent Roll'!$B$38*'Rent Roll'!$L$38,0)+IF(CF$11=FV149,-'Rent Roll'!$B$39*'Rent Roll'!$L$39,0)+IF(CF$11=FV150,-'Rent Roll'!$B$40*'Rent Roll'!$L$40,0)</f>
        <v/>
      </c>
      <c r="CG65" s="228">
        <f>IF(CG$11=FW146,-'Rent Roll'!$B$36*'Rent Roll'!$L$36,0)+IF(CG$11=FW147,-'Rent Roll'!$B$37*'Rent Roll'!$L$37,0)+IF(CG$11=FW148,-'Rent Roll'!$B$38*'Rent Roll'!$L$38,0)+IF(CG$11=FW149,-'Rent Roll'!$B$39*'Rent Roll'!$L$39,0)+IF(CG$11=FW150,-'Rent Roll'!$B$40*'Rent Roll'!$L$40,0)</f>
        <v/>
      </c>
      <c r="CH65" s="228">
        <f>IF(CH$11=FX146,-'Rent Roll'!$B$36*'Rent Roll'!$L$36,0)+IF(CH$11=FX147,-'Rent Roll'!$B$37*'Rent Roll'!$L$37,0)+IF(CH$11=FX148,-'Rent Roll'!$B$38*'Rent Roll'!$L$38,0)+IF(CH$11=FX149,-'Rent Roll'!$B$39*'Rent Roll'!$L$39,0)+IF(CH$11=FX150,-'Rent Roll'!$B$40*'Rent Roll'!$L$40,0)</f>
        <v/>
      </c>
      <c r="CI65" s="228">
        <f>IF(CI$11=FY146,-'Rent Roll'!$B$36*'Rent Roll'!$L$36,0)+IF(CI$11=FY147,-'Rent Roll'!$B$37*'Rent Roll'!$L$37,0)+IF(CI$11=FY148,-'Rent Roll'!$B$38*'Rent Roll'!$L$38,0)+IF(CI$11=FY149,-'Rent Roll'!$B$39*'Rent Roll'!$L$39,0)+IF(CI$11=FY150,-'Rent Roll'!$B$40*'Rent Roll'!$L$40,0)</f>
        <v/>
      </c>
      <c r="CJ65" s="228">
        <f>IF(CJ$11=FZ146,-'Rent Roll'!$B$36*'Rent Roll'!$L$36,0)+IF(CJ$11=FZ147,-'Rent Roll'!$B$37*'Rent Roll'!$L$37,0)+IF(CJ$11=FZ148,-'Rent Roll'!$B$38*'Rent Roll'!$L$38,0)+IF(CJ$11=FZ149,-'Rent Roll'!$B$39*'Rent Roll'!$L$39,0)+IF(CJ$11=FZ150,-'Rent Roll'!$B$40*'Rent Roll'!$L$40,0)</f>
        <v/>
      </c>
      <c r="CK65" s="228">
        <f>IF(CK$11=GA146,-'Rent Roll'!$B$36*'Rent Roll'!$L$36,0)+IF(CK$11=GA147,-'Rent Roll'!$B$37*'Rent Roll'!$L$37,0)+IF(CK$11=GA148,-'Rent Roll'!$B$38*'Rent Roll'!$L$38,0)+IF(CK$11=GA149,-'Rent Roll'!$B$39*'Rent Roll'!$L$39,0)+IF(CK$11=GA150,-'Rent Roll'!$B$40*'Rent Roll'!$L$40,0)</f>
        <v/>
      </c>
      <c r="CL65" s="228">
        <f>IF(CL$11=GB146,-'Rent Roll'!$B$36*'Rent Roll'!$L$36,0)+IF(CL$11=GB147,-'Rent Roll'!$B$37*'Rent Roll'!$L$37,0)+IF(CL$11=GB148,-'Rent Roll'!$B$38*'Rent Roll'!$L$38,0)+IF(CL$11=GB149,-'Rent Roll'!$B$39*'Rent Roll'!$L$39,0)+IF(CL$11=GB150,-'Rent Roll'!$B$40*'Rent Roll'!$L$40,0)</f>
        <v/>
      </c>
      <c r="CM65" s="228">
        <f>IF(CM$11=GC146,-'Rent Roll'!$B$36*'Rent Roll'!$L$36,0)+IF(CM$11=GC147,-'Rent Roll'!$B$37*'Rent Roll'!$L$37,0)+IF(CM$11=GC148,-'Rent Roll'!$B$38*'Rent Roll'!$L$38,0)+IF(CM$11=GC149,-'Rent Roll'!$B$39*'Rent Roll'!$L$39,0)+IF(CM$11=GC150,-'Rent Roll'!$B$40*'Rent Roll'!$L$40,0)</f>
        <v/>
      </c>
      <c r="CN65" s="228">
        <f>IF(CN$11=GD146,-'Rent Roll'!$B$36*'Rent Roll'!$L$36,0)+IF(CN$11=GD147,-'Rent Roll'!$B$37*'Rent Roll'!$L$37,0)+IF(CN$11=GD148,-'Rent Roll'!$B$38*'Rent Roll'!$L$38,0)+IF(CN$11=GD149,-'Rent Roll'!$B$39*'Rent Roll'!$L$39,0)+IF(CN$11=GD150,-'Rent Roll'!$B$40*'Rent Roll'!$L$40,0)</f>
        <v/>
      </c>
      <c r="CO65" s="228">
        <f>IF(CO$11=GE146,-'Rent Roll'!$B$36*'Rent Roll'!$L$36,0)+IF(CO$11=GE147,-'Rent Roll'!$B$37*'Rent Roll'!$L$37,0)+IF(CO$11=GE148,-'Rent Roll'!$B$38*'Rent Roll'!$L$38,0)+IF(CO$11=GE149,-'Rent Roll'!$B$39*'Rent Roll'!$L$39,0)+IF(CO$11=GE150,-'Rent Roll'!$B$40*'Rent Roll'!$L$40,0)</f>
        <v/>
      </c>
      <c r="CP65" s="228">
        <f>IF(CP$11=GF146,-'Rent Roll'!$B$36*'Rent Roll'!$L$36,0)+IF(CP$11=GF147,-'Rent Roll'!$B$37*'Rent Roll'!$L$37,0)+IF(CP$11=GF148,-'Rent Roll'!$B$38*'Rent Roll'!$L$38,0)+IF(CP$11=GF149,-'Rent Roll'!$B$39*'Rent Roll'!$L$39,0)+IF(CP$11=GF150,-'Rent Roll'!$B$40*'Rent Roll'!$L$40,0)</f>
        <v/>
      </c>
      <c r="CQ65" s="228">
        <f>IF(CQ$11=GG146,-'Rent Roll'!$B$36*'Rent Roll'!$L$36,0)+IF(CQ$11=GG147,-'Rent Roll'!$B$37*'Rent Roll'!$L$37,0)+IF(CQ$11=GG148,-'Rent Roll'!$B$38*'Rent Roll'!$L$38,0)+IF(CQ$11=GG149,-'Rent Roll'!$B$39*'Rent Roll'!$L$39,0)+IF(CQ$11=GG150,-'Rent Roll'!$B$40*'Rent Roll'!$L$40,0)</f>
        <v/>
      </c>
      <c r="CR65" s="228">
        <f>IF(CR$11=GH146,-'Rent Roll'!$B$36*'Rent Roll'!$L$36,0)+IF(CR$11=GH147,-'Rent Roll'!$B$37*'Rent Roll'!$L$37,0)+IF(CR$11=GH148,-'Rent Roll'!$B$38*'Rent Roll'!$L$38,0)+IF(CR$11=GH149,-'Rent Roll'!$B$39*'Rent Roll'!$L$39,0)+IF(CR$11=GH150,-'Rent Roll'!$B$40*'Rent Roll'!$L$40,0)</f>
        <v/>
      </c>
      <c r="CS65" s="228">
        <f>IF(CS$11=GI146,-'Rent Roll'!$B$36*'Rent Roll'!$L$36,0)+IF(CS$11=GI147,-'Rent Roll'!$B$37*'Rent Roll'!$L$37,0)+IF(CS$11=GI148,-'Rent Roll'!$B$38*'Rent Roll'!$L$38,0)+IF(CS$11=GI149,-'Rent Roll'!$B$39*'Rent Roll'!$L$39,0)+IF(CS$11=GI150,-'Rent Roll'!$B$40*'Rent Roll'!$L$40,0)</f>
        <v/>
      </c>
      <c r="CT65" s="228">
        <f>IF(CT$11=GJ146,-'Rent Roll'!$B$36*'Rent Roll'!$L$36,0)+IF(CT$11=GJ147,-'Rent Roll'!$B$37*'Rent Roll'!$L$37,0)+IF(CT$11=GJ148,-'Rent Roll'!$B$38*'Rent Roll'!$L$38,0)+IF(CT$11=GJ149,-'Rent Roll'!$B$39*'Rent Roll'!$L$39,0)+IF(CT$11=GJ150,-'Rent Roll'!$B$40*'Rent Roll'!$L$40,0)</f>
        <v/>
      </c>
      <c r="CU65" s="228">
        <f>IF(CU$11=GK146,-'Rent Roll'!$B$36*'Rent Roll'!$L$36,0)+IF(CU$11=GK147,-'Rent Roll'!$B$37*'Rent Roll'!$L$37,0)+IF(CU$11=GK148,-'Rent Roll'!$B$38*'Rent Roll'!$L$38,0)+IF(CU$11=GK149,-'Rent Roll'!$B$39*'Rent Roll'!$L$39,0)+IF(CU$11=GK150,-'Rent Roll'!$B$40*'Rent Roll'!$L$40,0)</f>
        <v/>
      </c>
      <c r="CV65" s="228">
        <f>IF(CV$11=GL146,-'Rent Roll'!$B$36*'Rent Roll'!$L$36,0)+IF(CV$11=GL147,-'Rent Roll'!$B$37*'Rent Roll'!$L$37,0)+IF(CV$11=GL148,-'Rent Roll'!$B$38*'Rent Roll'!$L$38,0)+IF(CV$11=GL149,-'Rent Roll'!$B$39*'Rent Roll'!$L$39,0)+IF(CV$11=GL150,-'Rent Roll'!$B$40*'Rent Roll'!$L$40,0)</f>
        <v/>
      </c>
      <c r="CW65" s="228">
        <f>IF(CW$11=GM146,-'Rent Roll'!$B$36*'Rent Roll'!$L$36,0)+IF(CW$11=GM147,-'Rent Roll'!$B$37*'Rent Roll'!$L$37,0)+IF(CW$11=GM148,-'Rent Roll'!$B$38*'Rent Roll'!$L$38,0)+IF(CW$11=GM149,-'Rent Roll'!$B$39*'Rent Roll'!$L$39,0)+IF(CW$11=GM150,-'Rent Roll'!$B$40*'Rent Roll'!$L$40,0)</f>
        <v/>
      </c>
      <c r="CX65" s="228">
        <f>IF(CX$11=GN146,-'Rent Roll'!$B$36*'Rent Roll'!$L$36,0)+IF(CX$11=GN147,-'Rent Roll'!$B$37*'Rent Roll'!$L$37,0)+IF(CX$11=GN148,-'Rent Roll'!$B$38*'Rent Roll'!$L$38,0)+IF(CX$11=GN149,-'Rent Roll'!$B$39*'Rent Roll'!$L$39,0)+IF(CX$11=GN150,-'Rent Roll'!$B$40*'Rent Roll'!$L$40,0)</f>
        <v/>
      </c>
      <c r="CY65" s="228">
        <f>IF(CY$11=GO146,-'Rent Roll'!$B$36*'Rent Roll'!$L$36,0)+IF(CY$11=GO147,-'Rent Roll'!$B$37*'Rent Roll'!$L$37,0)+IF(CY$11=GO148,-'Rent Roll'!$B$38*'Rent Roll'!$L$38,0)+IF(CY$11=GO149,-'Rent Roll'!$B$39*'Rent Roll'!$L$39,0)+IF(CY$11=GO150,-'Rent Roll'!$B$40*'Rent Roll'!$L$40,0)</f>
        <v/>
      </c>
      <c r="CZ65" s="228">
        <f>IF(CZ$11=GP146,-'Rent Roll'!$B$36*'Rent Roll'!$L$36,0)+IF(CZ$11=GP147,-'Rent Roll'!$B$37*'Rent Roll'!$L$37,0)+IF(CZ$11=GP148,-'Rent Roll'!$B$38*'Rent Roll'!$L$38,0)+IF(CZ$11=GP149,-'Rent Roll'!$B$39*'Rent Roll'!$L$39,0)+IF(CZ$11=GP150,-'Rent Roll'!$B$40*'Rent Roll'!$L$40,0)</f>
        <v/>
      </c>
      <c r="DA65" s="228">
        <f>IF(DA$11=GQ146,-'Rent Roll'!$B$36*'Rent Roll'!$L$36,0)+IF(DA$11=GQ147,-'Rent Roll'!$B$37*'Rent Roll'!$L$37,0)+IF(DA$11=GQ148,-'Rent Roll'!$B$38*'Rent Roll'!$L$38,0)+IF(DA$11=GQ149,-'Rent Roll'!$B$39*'Rent Roll'!$L$39,0)+IF(DA$11=GQ150,-'Rent Roll'!$B$40*'Rent Roll'!$L$40,0)</f>
        <v/>
      </c>
      <c r="DB65" s="228">
        <f>IF(DB$11=GR146,-'Rent Roll'!$B$36*'Rent Roll'!$L$36,0)+IF(DB$11=GR147,-'Rent Roll'!$B$37*'Rent Roll'!$L$37,0)+IF(DB$11=GR148,-'Rent Roll'!$B$38*'Rent Roll'!$L$38,0)+IF(DB$11=GR149,-'Rent Roll'!$B$39*'Rent Roll'!$L$39,0)+IF(DB$11=GR150,-'Rent Roll'!$B$40*'Rent Roll'!$L$40,0)</f>
        <v/>
      </c>
      <c r="DC65" s="228">
        <f>IF(DC$11=GS146,-'Rent Roll'!$B$36*'Rent Roll'!$L$36,0)+IF(DC$11=GS147,-'Rent Roll'!$B$37*'Rent Roll'!$L$37,0)+IF(DC$11=GS148,-'Rent Roll'!$B$38*'Rent Roll'!$L$38,0)+IF(DC$11=GS149,-'Rent Roll'!$B$39*'Rent Roll'!$L$39,0)+IF(DC$11=GS150,-'Rent Roll'!$B$40*'Rent Roll'!$L$40,0)</f>
        <v/>
      </c>
      <c r="DD65" s="228">
        <f>IF(DD$11=GT146,-'Rent Roll'!$B$36*'Rent Roll'!$L$36,0)+IF(DD$11=GT147,-'Rent Roll'!$B$37*'Rent Roll'!$L$37,0)+IF(DD$11=GT148,-'Rent Roll'!$B$38*'Rent Roll'!$L$38,0)+IF(DD$11=GT149,-'Rent Roll'!$B$39*'Rent Roll'!$L$39,0)+IF(DD$11=GT150,-'Rent Roll'!$B$40*'Rent Roll'!$L$40,0)</f>
        <v/>
      </c>
      <c r="DE65" s="228">
        <f>IF(DE$11=GU146,-'Rent Roll'!$B$36*'Rent Roll'!$L$36,0)+IF(DE$11=GU147,-'Rent Roll'!$B$37*'Rent Roll'!$L$37,0)+IF(DE$11=GU148,-'Rent Roll'!$B$38*'Rent Roll'!$L$38,0)+IF(DE$11=GU149,-'Rent Roll'!$B$39*'Rent Roll'!$L$39,0)+IF(DE$11=GU150,-'Rent Roll'!$B$40*'Rent Roll'!$L$40,0)</f>
        <v/>
      </c>
      <c r="DF65" s="228">
        <f>IF(DF$11=GV146,-'Rent Roll'!$B$36*'Rent Roll'!$L$36,0)+IF(DF$11=GV147,-'Rent Roll'!$B$37*'Rent Roll'!$L$37,0)+IF(DF$11=GV148,-'Rent Roll'!$B$38*'Rent Roll'!$L$38,0)+IF(DF$11=GV149,-'Rent Roll'!$B$39*'Rent Roll'!$L$39,0)+IF(DF$11=GV150,-'Rent Roll'!$B$40*'Rent Roll'!$L$40,0)</f>
        <v/>
      </c>
      <c r="DG65" s="228">
        <f>IF(DG$11=GW146,-'Rent Roll'!$B$36*'Rent Roll'!$L$36,0)+IF(DG$11=GW147,-'Rent Roll'!$B$37*'Rent Roll'!$L$37,0)+IF(DG$11=GW148,-'Rent Roll'!$B$38*'Rent Roll'!$L$38,0)+IF(DG$11=GW149,-'Rent Roll'!$B$39*'Rent Roll'!$L$39,0)+IF(DG$11=GW150,-'Rent Roll'!$B$40*'Rent Roll'!$L$40,0)</f>
        <v/>
      </c>
      <c r="DH65" s="228">
        <f>IF(DH$11=GX146,-'Rent Roll'!$B$36*'Rent Roll'!$L$36,0)+IF(DH$11=GX147,-'Rent Roll'!$B$37*'Rent Roll'!$L$37,0)+IF(DH$11=GX148,-'Rent Roll'!$B$38*'Rent Roll'!$L$38,0)+IF(DH$11=GX149,-'Rent Roll'!$B$39*'Rent Roll'!$L$39,0)+IF(DH$11=GX150,-'Rent Roll'!$B$40*'Rent Roll'!$L$40,0)</f>
        <v/>
      </c>
      <c r="DI65" s="228">
        <f>IF(DI$11=GY146,-'Rent Roll'!$B$36*'Rent Roll'!$L$36,0)+IF(DI$11=GY147,-'Rent Roll'!$B$37*'Rent Roll'!$L$37,0)+IF(DI$11=GY148,-'Rent Roll'!$B$38*'Rent Roll'!$L$38,0)+IF(DI$11=GY149,-'Rent Roll'!$B$39*'Rent Roll'!$L$39,0)+IF(DI$11=GY150,-'Rent Roll'!$B$40*'Rent Roll'!$L$40,0)</f>
        <v/>
      </c>
      <c r="DJ65" s="228">
        <f>IF(DJ$11=GZ146,-'Rent Roll'!$B$36*'Rent Roll'!$L$36,0)+IF(DJ$11=GZ147,-'Rent Roll'!$B$37*'Rent Roll'!$L$37,0)+IF(DJ$11=GZ148,-'Rent Roll'!$B$38*'Rent Roll'!$L$38,0)+IF(DJ$11=GZ149,-'Rent Roll'!$B$39*'Rent Roll'!$L$39,0)+IF(DJ$11=GZ150,-'Rent Roll'!$B$40*'Rent Roll'!$L$40,0)</f>
        <v/>
      </c>
      <c r="DK65" s="228">
        <f>IF(DK$11=HA146,-'Rent Roll'!$B$36*'Rent Roll'!$L$36,0)+IF(DK$11=HA147,-'Rent Roll'!$B$37*'Rent Roll'!$L$37,0)+IF(DK$11=HA148,-'Rent Roll'!$B$38*'Rent Roll'!$L$38,0)+IF(DK$11=HA149,-'Rent Roll'!$B$39*'Rent Roll'!$L$39,0)+IF(DK$11=HA150,-'Rent Roll'!$B$40*'Rent Roll'!$L$40,0)</f>
        <v/>
      </c>
      <c r="DL65" s="228">
        <f>IF(DL$11=HB146,-'Rent Roll'!$B$36*'Rent Roll'!$L$36,0)+IF(DL$11=HB147,-'Rent Roll'!$B$37*'Rent Roll'!$L$37,0)+IF(DL$11=HB148,-'Rent Roll'!$B$38*'Rent Roll'!$L$38,0)+IF(DL$11=HB149,-'Rent Roll'!$B$39*'Rent Roll'!$L$39,0)+IF(DL$11=HB150,-'Rent Roll'!$B$40*'Rent Roll'!$L$40,0)</f>
        <v/>
      </c>
      <c r="DM65" s="228">
        <f>IF(DM$11=HC146,-'Rent Roll'!$B$36*'Rent Roll'!$L$36,0)+IF(DM$11=HC147,-'Rent Roll'!$B$37*'Rent Roll'!$L$37,0)+IF(DM$11=HC148,-'Rent Roll'!$B$38*'Rent Roll'!$L$38,0)+IF(DM$11=HC149,-'Rent Roll'!$B$39*'Rent Roll'!$L$39,0)+IF(DM$11=HC150,-'Rent Roll'!$B$40*'Rent Roll'!$L$40,0)</f>
        <v/>
      </c>
      <c r="DN65" s="228">
        <f>IF(DN$11=HD146,-'Rent Roll'!$B$36*'Rent Roll'!$L$36,0)+IF(DN$11=HD147,-'Rent Roll'!$B$37*'Rent Roll'!$L$37,0)+IF(DN$11=HD148,-'Rent Roll'!$B$38*'Rent Roll'!$L$38,0)+IF(DN$11=HD149,-'Rent Roll'!$B$39*'Rent Roll'!$L$39,0)+IF(DN$11=HD150,-'Rent Roll'!$B$40*'Rent Roll'!$L$40,0)</f>
        <v/>
      </c>
      <c r="DO65" s="228">
        <f>IF(DO$11=HE146,-'Rent Roll'!$B$36*'Rent Roll'!$L$36,0)+IF(DO$11=HE147,-'Rent Roll'!$B$37*'Rent Roll'!$L$37,0)+IF(DO$11=HE148,-'Rent Roll'!$B$38*'Rent Roll'!$L$38,0)+IF(DO$11=HE149,-'Rent Roll'!$B$39*'Rent Roll'!$L$39,0)+IF(DO$11=HE150,-'Rent Roll'!$B$40*'Rent Roll'!$L$40,0)</f>
        <v/>
      </c>
      <c r="DP65" s="228">
        <f>IF(DP$11=HF146,-'Rent Roll'!$B$36*'Rent Roll'!$L$36,0)+IF(DP$11=HF147,-'Rent Roll'!$B$37*'Rent Roll'!$L$37,0)+IF(DP$11=HF148,-'Rent Roll'!$B$38*'Rent Roll'!$L$38,0)+IF(DP$11=HF149,-'Rent Roll'!$B$39*'Rent Roll'!$L$39,0)+IF(DP$11=HF150,-'Rent Roll'!$B$40*'Rent Roll'!$L$40,0)</f>
        <v/>
      </c>
      <c r="DQ65" s="228">
        <f>IF(DQ$11=HG146,-'Rent Roll'!$B$36*'Rent Roll'!$L$36,0)+IF(DQ$11=HG147,-'Rent Roll'!$B$37*'Rent Roll'!$L$37,0)+IF(DQ$11=HG148,-'Rent Roll'!$B$38*'Rent Roll'!$L$38,0)+IF(DQ$11=HG149,-'Rent Roll'!$B$39*'Rent Roll'!$L$39,0)+IF(DQ$11=HG150,-'Rent Roll'!$B$40*'Rent Roll'!$L$40,0)</f>
        <v/>
      </c>
      <c r="DR65" s="228">
        <f>IF(DR$11=HH146,-'Rent Roll'!$B$36*'Rent Roll'!$L$36,0)+IF(DR$11=HH147,-'Rent Roll'!$B$37*'Rent Roll'!$L$37,0)+IF(DR$11=HH148,-'Rent Roll'!$B$38*'Rent Roll'!$L$38,0)+IF(DR$11=HH149,-'Rent Roll'!$B$39*'Rent Roll'!$L$39,0)+IF(DR$11=HH150,-'Rent Roll'!$B$40*'Rent Roll'!$L$40,0)</f>
        <v/>
      </c>
      <c r="DS65" s="228">
        <f>IF(DS$11=HI146,-'Rent Roll'!$B$36*'Rent Roll'!$L$36,0)+IF(DS$11=HI147,-'Rent Roll'!$B$37*'Rent Roll'!$L$37,0)+IF(DS$11=HI148,-'Rent Roll'!$B$38*'Rent Roll'!$L$38,0)+IF(DS$11=HI149,-'Rent Roll'!$B$39*'Rent Roll'!$L$39,0)+IF(DS$11=HI150,-'Rent Roll'!$B$40*'Rent Roll'!$L$40,0)</f>
        <v/>
      </c>
      <c r="DT65" s="228">
        <f>IF(DT$11=HJ146,-'Rent Roll'!$B$36*'Rent Roll'!$L$36,0)+IF(DT$11=HJ147,-'Rent Roll'!$B$37*'Rent Roll'!$L$37,0)+IF(DT$11=HJ148,-'Rent Roll'!$B$38*'Rent Roll'!$L$38,0)+IF(DT$11=HJ149,-'Rent Roll'!$B$39*'Rent Roll'!$L$39,0)+IF(DT$11=HJ150,-'Rent Roll'!$B$40*'Rent Roll'!$L$40,0)</f>
        <v/>
      </c>
    </row>
    <row r="66" ht="15" customHeight="1" s="148">
      <c r="A66" s="112" t="inlineStr">
        <is>
          <t>Base Leasing Commissions</t>
        </is>
      </c>
      <c r="C66" s="228">
        <f>SUM(D66:DT66)</f>
        <v/>
      </c>
      <c r="D66" s="228">
        <f>IF(D$11=FB141,-EI141,0)+IF(D$11=FB142,-EI142,0)+IF(D$11=FB143,-EI143,0)+IF(D$11=FB144,-EI144,0)+IF(D$11=FB145,-EI145,0)</f>
        <v/>
      </c>
      <c r="E66" s="228">
        <f>IF(E$11=FB141,-EI141,0)+IF(E$11=FB142,-EI142,0)+IF(E$11=FB143,-EI143,0)+IF(E$11=FB144,-EI144,0)+IF(E$11=FB145,-EI145,0)</f>
        <v/>
      </c>
      <c r="F66" s="228">
        <f>IF(F$11=FB141,-EI141,0)+IF(F$11=FB142,-EI142,0)+IF(F$11=FB143,-EI143,0)+IF(F$11=FB144,-EI144,0)+IF(F$11=FB145,-EI145,0)</f>
        <v/>
      </c>
      <c r="G66" s="228">
        <f>IF(G$11=FB141,-EI141,0)+IF(G$11=FB142,-EI142,0)+IF(G$11=FB143,-EI143,0)+IF(G$11=FB144,-EI144,0)+IF(G$11=FB145,-EI145,0)</f>
        <v/>
      </c>
      <c r="H66" s="228">
        <f>IF(H$11=FB141,-EI141,0)+IF(H$11=FB142,-EI142,0)+IF(H$11=FB143,-EI143,0)+IF(H$11=FB144,-EI144,0)+IF(H$11=FB145,-EI145,0)</f>
        <v/>
      </c>
      <c r="I66" s="228">
        <f>IF(I$11=FB141,-EI141,0)+IF(I$11=FB142,-EI142,0)+IF(I$11=FB143,-EI143,0)+IF(I$11=FB144,-EI144,0)+IF(I$11=FB145,-EI145,0)</f>
        <v/>
      </c>
      <c r="J66" s="228">
        <f>IF(J$11=FB141,-EI141,0)+IF(J$11=FB142,-EI142,0)+IF(J$11=FB143,-EI143,0)+IF(J$11=FB144,-EI144,0)+IF(J$11=FB145,-EI145,0)</f>
        <v/>
      </c>
      <c r="K66" s="228">
        <f>IF(K$11=FB141,-EI141,0)+IF(K$11=FB142,-EI142,0)+IF(K$11=FB143,-EI143,0)+IF(K$11=FB144,-EI144,0)+IF(K$11=FB145,-EI145,0)</f>
        <v/>
      </c>
      <c r="L66" s="228">
        <f>IF(L$11=FB141,-EI141,0)+IF(L$11=FB142,-EI142,0)+IF(L$11=FB143,-EI143,0)+IF(L$11=FB144,-EI144,0)+IF(L$11=FB145,-EI145,0)</f>
        <v/>
      </c>
      <c r="M66" s="228">
        <f>IF(M$11=FB141,-EI141,0)+IF(M$11=FB142,-EI142,0)+IF(M$11=FB143,-EI143,0)+IF(M$11=FB144,-EI144,0)+IF(M$11=FB145,-EI145,0)</f>
        <v/>
      </c>
      <c r="N66" s="228">
        <f>IF(N$11=FB141,-EI141,0)+IF(N$11=FB142,-EI142,0)+IF(N$11=FB143,-EI143,0)+IF(N$11=FB144,-EI144,0)+IF(N$11=FB145,-EI145,0)</f>
        <v/>
      </c>
      <c r="O66" s="228">
        <f>IF(O$11=FB141,-EI141,0)+IF(O$11=FB142,-EI142,0)+IF(O$11=FB143,-EI143,0)+IF(O$11=FB144,-EI144,0)+IF(O$11=FB145,-EI145,0)</f>
        <v/>
      </c>
      <c r="P66" s="228">
        <f>IF(P$11=FB141,-EI141,0)+IF(P$11=FB142,-EI142,0)+IF(P$11=FB143,-EI143,0)+IF(P$11=FB144,-EI144,0)+IF(P$11=FB145,-EI145,0)</f>
        <v/>
      </c>
      <c r="Q66" s="228">
        <f>IF(Q$11=FB141,-EI141,0)+IF(Q$11=FB142,-EI142,0)+IF(Q$11=FB143,-EI143,0)+IF(Q$11=FB144,-EI144,0)+IF(Q$11=FB145,-EI145,0)</f>
        <v/>
      </c>
      <c r="R66" s="228">
        <f>IF(R$11=FB141,-EI141,0)+IF(R$11=FB142,-EI142,0)+IF(R$11=FB143,-EI143,0)+IF(R$11=FB144,-EI144,0)+IF(R$11=FB145,-EI145,0)</f>
        <v/>
      </c>
      <c r="S66" s="228">
        <f>IF(S$11=FB141,-EI141,0)+IF(S$11=FB142,-EI142,0)+IF(S$11=FB143,-EI143,0)+IF(S$11=FB144,-EI144,0)+IF(S$11=FB145,-EI145,0)</f>
        <v/>
      </c>
      <c r="T66" s="228">
        <f>IF(T$11=FB141,-EI141,0)+IF(T$11=FB142,-EI142,0)+IF(T$11=FB143,-EI143,0)+IF(T$11=FB144,-EI144,0)+IF(T$11=FB145,-EI145,0)</f>
        <v/>
      </c>
      <c r="U66" s="228">
        <f>IF(U$11=FB141,-EI141,0)+IF(U$11=FB142,-EI142,0)+IF(U$11=FB143,-EI143,0)+IF(U$11=FB144,-EI144,0)+IF(U$11=FB145,-EI145,0)</f>
        <v/>
      </c>
      <c r="V66" s="228">
        <f>IF(V$11=FB141,-EI141,0)+IF(V$11=FB142,-EI142,0)+IF(V$11=FB143,-EI143,0)+IF(V$11=FB144,-EI144,0)+IF(V$11=FB145,-EI145,0)</f>
        <v/>
      </c>
      <c r="W66" s="228">
        <f>IF(W$11=FB141,-EI141,0)+IF(W$11=FB142,-EI142,0)+IF(W$11=FB143,-EI143,0)+IF(W$11=FB144,-EI144,0)+IF(W$11=FB145,-EI145,0)</f>
        <v/>
      </c>
      <c r="X66" s="228">
        <f>IF(X$11=FB141,-EI141,0)+IF(X$11=FB142,-EI142,0)+IF(X$11=FB143,-EI143,0)+IF(X$11=FB144,-EI144,0)+IF(X$11=FB145,-EI145,0)</f>
        <v/>
      </c>
      <c r="Y66" s="228">
        <f>IF(Y$11=FB141,-EI141,0)+IF(Y$11=FB142,-EI142,0)+IF(Y$11=FB143,-EI143,0)+IF(Y$11=FB144,-EI144,0)+IF(Y$11=FB145,-EI145,0)</f>
        <v/>
      </c>
      <c r="Z66" s="228">
        <f>IF(Z$11=FB141,-EI141,0)+IF(Z$11=FB142,-EI142,0)+IF(Z$11=FB143,-EI143,0)+IF(Z$11=FB144,-EI144,0)+IF(Z$11=FB145,-EI145,0)</f>
        <v/>
      </c>
      <c r="AA66" s="228">
        <f>IF(AA$11=FB141,-EI141,0)+IF(AA$11=FB142,-EI142,0)+IF(AA$11=FB143,-EI143,0)+IF(AA$11=FB144,-EI144,0)+IF(AA$11=FB145,-EI145,0)</f>
        <v/>
      </c>
      <c r="AB66" s="228">
        <f>IF(AB$11=FB141,-EI141,0)+IF(AB$11=FB142,-EI142,0)+IF(AB$11=FB143,-EI143,0)+IF(AB$11=FB144,-EI144,0)+IF(AB$11=FB145,-EI145,0)</f>
        <v/>
      </c>
      <c r="AC66" s="228">
        <f>IF(AC$11=FB141,-EI141,0)+IF(AC$11=FB142,-EI142,0)+IF(AC$11=FB143,-EI143,0)+IF(AC$11=FB144,-EI144,0)+IF(AC$11=FB145,-EI145,0)</f>
        <v/>
      </c>
      <c r="AD66" s="228">
        <f>IF(AD$11=FB141,-EI141,0)+IF(AD$11=FB142,-EI142,0)+IF(AD$11=FB143,-EI143,0)+IF(AD$11=FB144,-EI144,0)+IF(AD$11=FB145,-EI145,0)</f>
        <v/>
      </c>
      <c r="AE66" s="228">
        <f>IF(AE$11=FB141,-EI141,0)+IF(AE$11=FB142,-EI142,0)+IF(AE$11=FB143,-EI143,0)+IF(AE$11=FB144,-EI144,0)+IF(AE$11=FB145,-EI145,0)</f>
        <v/>
      </c>
      <c r="AF66" s="228">
        <f>IF(AF$11=FB141,-EI141,0)+IF(AF$11=FB142,-EI142,0)+IF(AF$11=FB143,-EI143,0)+IF(AF$11=FB144,-EI144,0)+IF(AF$11=FB145,-EI145,0)</f>
        <v/>
      </c>
      <c r="AG66" s="228">
        <f>IF(AG$11=FB141,-EI141,0)+IF(AG$11=FB142,-EI142,0)+IF(AG$11=FB143,-EI143,0)+IF(AG$11=FB144,-EI144,0)+IF(AG$11=FB145,-EI145,0)</f>
        <v/>
      </c>
      <c r="AH66" s="228">
        <f>IF(AH$11=FB141,-EI141,0)+IF(AH$11=FB142,-EI142,0)+IF(AH$11=FB143,-EI143,0)+IF(AH$11=FB144,-EI144,0)+IF(AH$11=FB145,-EI145,0)</f>
        <v/>
      </c>
      <c r="AI66" s="228">
        <f>IF(AI$11=FB141,-EI141,0)+IF(AI$11=FB142,-EI142,0)+IF(AI$11=FB143,-EI143,0)+IF(AI$11=FB144,-EI144,0)+IF(AI$11=FB145,-EI145,0)</f>
        <v/>
      </c>
      <c r="AJ66" s="228">
        <f>IF(AJ$11=FB141,-EI141,0)+IF(AJ$11=FB142,-EI142,0)+IF(AJ$11=FB143,-EI143,0)+IF(AJ$11=FB144,-EI144,0)+IF(AJ$11=FB145,-EI145,0)</f>
        <v/>
      </c>
      <c r="AK66" s="228">
        <f>IF(AK$11=FB141,-EI141,0)+IF(AK$11=FB142,-EI142,0)+IF(AK$11=FB143,-EI143,0)+IF(AK$11=FB144,-EI144,0)+IF(AK$11=FB145,-EI145,0)</f>
        <v/>
      </c>
      <c r="AL66" s="228">
        <f>IF(AL$11=FB141,-EI141,0)+IF(AL$11=FB142,-EI142,0)+IF(AL$11=FB143,-EI143,0)+IF(AL$11=FB144,-EI144,0)+IF(AL$11=FB145,-EI145,0)</f>
        <v/>
      </c>
      <c r="AM66" s="228">
        <f>IF(AM$11=FB141,-EI141,0)+IF(AM$11=FB142,-EI142,0)+IF(AM$11=FB143,-EI143,0)+IF(AM$11=FB144,-EI144,0)+IF(AM$11=FB145,-EI145,0)</f>
        <v/>
      </c>
      <c r="AN66" s="228">
        <f>IF(AN$11=FB141,-EI141,0)+IF(AN$11=FB142,-EI142,0)+IF(AN$11=FB143,-EI143,0)+IF(AN$11=FB144,-EI144,0)+IF(AN$11=FB145,-EI145,0)</f>
        <v/>
      </c>
      <c r="AO66" s="228">
        <f>IF(AO$11=FB141,-EI141,0)+IF(AO$11=FB142,-EI142,0)+IF(AO$11=FB143,-EI143,0)+IF(AO$11=FB144,-EI144,0)+IF(AO$11=FB145,-EI145,0)</f>
        <v/>
      </c>
      <c r="AP66" s="228">
        <f>IF(AP$11=FB141,-EI141,0)+IF(AP$11=FB142,-EI142,0)+IF(AP$11=FB143,-EI143,0)+IF(AP$11=FB144,-EI144,0)+IF(AP$11=FB145,-EI145,0)</f>
        <v/>
      </c>
      <c r="AQ66" s="228">
        <f>IF(AQ$11=FB141,-EI141,0)+IF(AQ$11=FB142,-EI142,0)+IF(AQ$11=FB143,-EI143,0)+IF(AQ$11=FB144,-EI144,0)+IF(AQ$11=FB145,-EI145,0)</f>
        <v/>
      </c>
      <c r="AR66" s="228">
        <f>IF(AR$11=FB141,-EI141,0)+IF(AR$11=FB142,-EI142,0)+IF(AR$11=FB143,-EI143,0)+IF(AR$11=FB144,-EI144,0)+IF(AR$11=FB145,-EI145,0)</f>
        <v/>
      </c>
      <c r="AS66" s="228">
        <f>IF(AS$11=FB141,-EI141,0)+IF(AS$11=FB142,-EI142,0)+IF(AS$11=FB143,-EI143,0)+IF(AS$11=FB144,-EI144,0)+IF(AS$11=FB145,-EI145,0)</f>
        <v/>
      </c>
      <c r="AT66" s="228">
        <f>IF(AT$11=FB141,-EI141,0)+IF(AT$11=FB142,-EI142,0)+IF(AT$11=FB143,-EI143,0)+IF(AT$11=FB144,-EI144,0)+IF(AT$11=FB145,-EI145,0)</f>
        <v/>
      </c>
      <c r="AU66" s="228">
        <f>IF(AU$11=FB141,-EI141,0)+IF(AU$11=FB142,-EI142,0)+IF(AU$11=FB143,-EI143,0)+IF(AU$11=FB144,-EI144,0)+IF(AU$11=FB145,-EI145,0)</f>
        <v/>
      </c>
      <c r="AV66" s="228">
        <f>IF(AV$11=FB141,-EI141,0)+IF(AV$11=FB142,-EI142,0)+IF(AV$11=FB143,-EI143,0)+IF(AV$11=FB144,-EI144,0)+IF(AV$11=FB145,-EI145,0)</f>
        <v/>
      </c>
      <c r="AW66" s="228">
        <f>IF(AW$11=FB141,-EI141,0)+IF(AW$11=FB142,-EI142,0)+IF(AW$11=FB143,-EI143,0)+IF(AW$11=FB144,-EI144,0)+IF(AW$11=FB145,-EI145,0)</f>
        <v/>
      </c>
      <c r="AX66" s="228">
        <f>IF(AX$11=FB141,-EI141,0)+IF(AX$11=FB142,-EI142,0)+IF(AX$11=FB143,-EI143,0)+IF(AX$11=FB144,-EI144,0)+IF(AX$11=FB145,-EI145,0)</f>
        <v/>
      </c>
      <c r="AY66" s="228">
        <f>IF(AY$11=FB141,-EI141,0)+IF(AY$11=FB142,-EI142,0)+IF(AY$11=FB143,-EI143,0)+IF(AY$11=FB144,-EI144,0)+IF(AY$11=FB145,-EI145,0)</f>
        <v/>
      </c>
      <c r="AZ66" s="228">
        <f>IF(AZ$11=FB141,-EI141,0)+IF(AZ$11=FB142,-EI142,0)+IF(AZ$11=FB143,-EI143,0)+IF(AZ$11=FB144,-EI144,0)+IF(AZ$11=FB145,-EI145,0)</f>
        <v/>
      </c>
      <c r="BA66" s="228">
        <f>IF(BA$11=FB141,-EI141,0)+IF(BA$11=FB142,-EI142,0)+IF(BA$11=FB143,-EI143,0)+IF(BA$11=FB144,-EI144,0)+IF(BA$11=FB145,-EI145,0)</f>
        <v/>
      </c>
      <c r="BB66" s="228">
        <f>IF(BB$11=FB141,-EI141,0)+IF(BB$11=FB142,-EI142,0)+IF(BB$11=FB143,-EI143,0)+IF(BB$11=FB144,-EI144,0)+IF(BB$11=FB145,-EI145,0)</f>
        <v/>
      </c>
      <c r="BC66" s="228">
        <f>IF(BC$11=FB141,-EI141,0)+IF(BC$11=FB142,-EI142,0)+IF(BC$11=FB143,-EI143,0)+IF(BC$11=FB144,-EI144,0)+IF(BC$11=FB145,-EI145,0)</f>
        <v/>
      </c>
      <c r="BD66" s="228">
        <f>IF(BD$11=FB141,-EI141,0)+IF(BD$11=FB142,-EI142,0)+IF(BD$11=FB143,-EI143,0)+IF(BD$11=FB144,-EI144,0)+IF(BD$11=FB145,-EI145,0)</f>
        <v/>
      </c>
      <c r="BE66" s="228">
        <f>IF(BE$11=FB141,-EI141,0)+IF(BE$11=FB142,-EI142,0)+IF(BE$11=FB143,-EI143,0)+IF(BE$11=FB144,-EI144,0)+IF(BE$11=FB145,-EI145,0)</f>
        <v/>
      </c>
      <c r="BF66" s="228">
        <f>IF(BF$11=FB141,-EI141,0)+IF(BF$11=FB142,-EI142,0)+IF(BF$11=FB143,-EI143,0)+IF(BF$11=FB144,-EI144,0)+IF(BF$11=FB145,-EI145,0)</f>
        <v/>
      </c>
      <c r="BG66" s="228">
        <f>IF(BG$11=FB141,-EI141,0)+IF(BG$11=FB142,-EI142,0)+IF(BG$11=FB143,-EI143,0)+IF(BG$11=FB144,-EI144,0)+IF(BG$11=FB145,-EI145,0)</f>
        <v/>
      </c>
      <c r="BH66" s="228">
        <f>IF(BH$11=FB141,-EI141,0)+IF(BH$11=FB142,-EI142,0)+IF(BH$11=FB143,-EI143,0)+IF(BH$11=FB144,-EI144,0)+IF(BH$11=FB145,-EI145,0)</f>
        <v/>
      </c>
      <c r="BI66" s="228">
        <f>IF(BI$11=FB141,-EI141,0)+IF(BI$11=FB142,-EI142,0)+IF(BI$11=FB143,-EI143,0)+IF(BI$11=FB144,-EI144,0)+IF(BI$11=FB145,-EI145,0)</f>
        <v/>
      </c>
      <c r="BJ66" s="228">
        <f>IF(BJ$11=FB141,-EI141,0)+IF(BJ$11=FB142,-EI142,0)+IF(BJ$11=FB143,-EI143,0)+IF(BJ$11=FB144,-EI144,0)+IF(BJ$11=FB145,-EI145,0)</f>
        <v/>
      </c>
      <c r="BK66" s="228">
        <f>IF(BK$11=FB141,-EI141,0)+IF(BK$11=FB142,-EI142,0)+IF(BK$11=FB143,-EI143,0)+IF(BK$11=FB144,-EI144,0)+IF(BK$11=FB145,-EI145,0)</f>
        <v/>
      </c>
      <c r="BL66" s="228">
        <f>IF(BL$11=FB141,-EI141,0)+IF(BL$11=FB142,-EI142,0)+IF(BL$11=FB143,-EI143,0)+IF(BL$11=FB144,-EI144,0)+IF(BL$11=FB145,-EI145,0)</f>
        <v/>
      </c>
      <c r="BM66" s="228">
        <f>IF(BM$11=FC141,-EJ141,0)+IF(BM$11=FC142,-EJ142,0)+IF(BM$11=FC143,-EJ143,0)+IF(BM$11=FC144,-EJ144,0)+IF(BM$11=FC145,-EJ145,0)</f>
        <v/>
      </c>
      <c r="BN66" s="228">
        <f>IF(BN$11=FD141,-EK141,0)+IF(BN$11=FD142,-EK142,0)+IF(BN$11=FD143,-EK143,0)+IF(BN$11=FD144,-EK144,0)+IF(BN$11=FD145,-EK145,0)</f>
        <v/>
      </c>
      <c r="BO66" s="228">
        <f>IF(BO$11=FE141,-EL141,0)+IF(BO$11=FE142,-EL142,0)+IF(BO$11=FE143,-EL143,0)+IF(BO$11=FE144,-EL144,0)+IF(BO$11=FE145,-EL145,0)</f>
        <v/>
      </c>
      <c r="BP66" s="228">
        <f>IF(BP$11=FF141,-EM141,0)+IF(BP$11=FF142,-EM142,0)+IF(BP$11=FF143,-EM143,0)+IF(BP$11=FF144,-EM144,0)+IF(BP$11=FF145,-EM145,0)</f>
        <v/>
      </c>
      <c r="BQ66" s="228">
        <f>IF(BQ$11=FG141,-EN141,0)+IF(BQ$11=FG142,-EN142,0)+IF(BQ$11=FG143,-EN143,0)+IF(BQ$11=FG144,-EN144,0)+IF(BQ$11=FG145,-EN145,0)</f>
        <v/>
      </c>
      <c r="BR66" s="228">
        <f>IF(BR$11=FH141,-EO141,0)+IF(BR$11=FH142,-EO142,0)+IF(BR$11=FH143,-EO143,0)+IF(BR$11=FH144,-EO144,0)+IF(BR$11=FH145,-EO145,0)</f>
        <v/>
      </c>
      <c r="BS66" s="228">
        <f>IF(BS$11=FI141,-EP141,0)+IF(BS$11=FI142,-EP142,0)+IF(BS$11=FI143,-EP143,0)+IF(BS$11=FI144,-EP144,0)+IF(BS$11=FI145,-EP145,0)</f>
        <v/>
      </c>
      <c r="BT66" s="228">
        <f>IF(BT$11=FJ141,-EQ141,0)+IF(BT$11=FJ142,-EQ142,0)+IF(BT$11=FJ143,-EQ143,0)+IF(BT$11=FJ144,-EQ144,0)+IF(BT$11=FJ145,-EQ145,0)</f>
        <v/>
      </c>
      <c r="BU66" s="228">
        <f>IF(BU$11=FK141,-ER141,0)+IF(BU$11=FK142,-ER142,0)+IF(BU$11=FK143,-ER143,0)+IF(BU$11=FK144,-ER144,0)+IF(BU$11=FK145,-ER145,0)</f>
        <v/>
      </c>
      <c r="BV66" s="228">
        <f>IF(BV$11=FL141,-ES141,0)+IF(BV$11=FL142,-ES142,0)+IF(BV$11=FL143,-ES143,0)+IF(BV$11=FL144,-ES144,0)+IF(BV$11=FL145,-ES145,0)</f>
        <v/>
      </c>
      <c r="BW66" s="228">
        <f>IF(BW$11=FM141,-ET141,0)+IF(BW$11=FM142,-ET142,0)+IF(BW$11=FM143,-ET143,0)+IF(BW$11=FM144,-ET144,0)+IF(BW$11=FM145,-ET145,0)</f>
        <v/>
      </c>
      <c r="BX66" s="228">
        <f>IF(BX$11=FN141,-EU141,0)+IF(BX$11=FN142,-EU142,0)+IF(BX$11=FN143,-EU143,0)+IF(BX$11=FN144,-EU144,0)+IF(BX$11=FN145,-EU145,0)</f>
        <v/>
      </c>
      <c r="BY66" s="228">
        <f>IF(BY$11=FO141,-EV141,0)+IF(BY$11=FO142,-EV142,0)+IF(BY$11=FO143,-EV143,0)+IF(BY$11=FO144,-EV144,0)+IF(BY$11=FO145,-EV145,0)</f>
        <v/>
      </c>
      <c r="BZ66" s="228">
        <f>IF(BZ$11=FP141,-EW141,0)+IF(BZ$11=FP142,-EW142,0)+IF(BZ$11=FP143,-EW143,0)+IF(BZ$11=FP144,-EW144,0)+IF(BZ$11=FP145,-EW145,0)</f>
        <v/>
      </c>
      <c r="CA66" s="228">
        <f>IF(CA$11=FQ141,-EX141,0)+IF(CA$11=FQ142,-EX142,0)+IF(CA$11=FQ143,-EX143,0)+IF(CA$11=FQ144,-EX144,0)+IF(CA$11=FQ145,-EX145,0)</f>
        <v/>
      </c>
      <c r="CB66" s="228">
        <f>IF(CB$11=FR141,-EY141,0)+IF(CB$11=FR142,-EY142,0)+IF(CB$11=FR143,-EY143,0)+IF(CB$11=FR144,-EY144,0)+IF(CB$11=FR145,-EY145,0)</f>
        <v/>
      </c>
      <c r="CC66" s="228">
        <f>IF(CC$11=FS141,-EZ141,0)+IF(CC$11=FS142,-EZ142,0)+IF(CC$11=FS143,-EZ143,0)+IF(CC$11=FS144,-EZ144,0)+IF(CC$11=FS145,-EZ145,0)</f>
        <v/>
      </c>
      <c r="CD66" s="228">
        <f>IF(CD$11=FT141,-FA141,0)+IF(CD$11=FT142,-FA142,0)+IF(CD$11=FT143,-FA143,0)+IF(CD$11=FT144,-FA144,0)+IF(CD$11=FT145,-FA145,0)</f>
        <v/>
      </c>
      <c r="CE66" s="228">
        <f>IF(CE$11=FU141,-FB141,0)+IF(CE$11=FU142,-FB142,0)+IF(CE$11=FU143,-FB143,0)+IF(CE$11=FU144,-FB144,0)+IF(CE$11=FU145,-FB145,0)</f>
        <v/>
      </c>
      <c r="CF66" s="228">
        <f>IF(CF$11=FV141,-FC141,0)+IF(CF$11=FV142,-FC142,0)+IF(CF$11=FV143,-FC143,0)+IF(CF$11=FV144,-FC144,0)+IF(CF$11=FV145,-FC145,0)</f>
        <v/>
      </c>
      <c r="CG66" s="228">
        <f>IF(CG$11=FW141,-FD141,0)+IF(CG$11=FW142,-FD142,0)+IF(CG$11=FW143,-FD143,0)+IF(CG$11=FW144,-FD144,0)+IF(CG$11=FW145,-FD145,0)</f>
        <v/>
      </c>
      <c r="CH66" s="228">
        <f>IF(CH$11=FX141,-FE141,0)+IF(CH$11=FX142,-FE142,0)+IF(CH$11=FX143,-FE143,0)+IF(CH$11=FX144,-FE144,0)+IF(CH$11=FX145,-FE145,0)</f>
        <v/>
      </c>
      <c r="CI66" s="228">
        <f>IF(CI$11=FY141,-FF141,0)+IF(CI$11=FY142,-FF142,0)+IF(CI$11=FY143,-FF143,0)+IF(CI$11=FY144,-FF144,0)+IF(CI$11=FY145,-FF145,0)</f>
        <v/>
      </c>
      <c r="CJ66" s="228">
        <f>IF(CJ$11=FZ141,-FG141,0)+IF(CJ$11=FZ142,-FG142,0)+IF(CJ$11=FZ143,-FG143,0)+IF(CJ$11=FZ144,-FG144,0)+IF(CJ$11=FZ145,-FG145,0)</f>
        <v/>
      </c>
      <c r="CK66" s="228">
        <f>IF(CK$11=GA141,-FH141,0)+IF(CK$11=GA142,-FH142,0)+IF(CK$11=GA143,-FH143,0)+IF(CK$11=GA144,-FH144,0)+IF(CK$11=GA145,-FH145,0)</f>
        <v/>
      </c>
      <c r="CL66" s="228">
        <f>IF(CL$11=GB141,-FI141,0)+IF(CL$11=GB142,-FI142,0)+IF(CL$11=GB143,-FI143,0)+IF(CL$11=GB144,-FI144,0)+IF(CL$11=GB145,-FI145,0)</f>
        <v/>
      </c>
      <c r="CM66" s="228">
        <f>IF(CM$11=GC141,-FJ141,0)+IF(CM$11=GC142,-FJ142,0)+IF(CM$11=GC143,-FJ143,0)+IF(CM$11=GC144,-FJ144,0)+IF(CM$11=GC145,-FJ145,0)</f>
        <v/>
      </c>
      <c r="CN66" s="228">
        <f>IF(CN$11=GD141,-FK141,0)+IF(CN$11=GD142,-FK142,0)+IF(CN$11=GD143,-FK143,0)+IF(CN$11=GD144,-FK144,0)+IF(CN$11=GD145,-FK145,0)</f>
        <v/>
      </c>
      <c r="CO66" s="228">
        <f>IF(CO$11=GE141,-FL141,0)+IF(CO$11=GE142,-FL142,0)+IF(CO$11=GE143,-FL143,0)+IF(CO$11=GE144,-FL144,0)+IF(CO$11=GE145,-FL145,0)</f>
        <v/>
      </c>
      <c r="CP66" s="228">
        <f>IF(CP$11=GF141,-FM141,0)+IF(CP$11=GF142,-FM142,0)+IF(CP$11=GF143,-FM143,0)+IF(CP$11=GF144,-FM144,0)+IF(CP$11=GF145,-FM145,0)</f>
        <v/>
      </c>
      <c r="CQ66" s="228">
        <f>IF(CQ$11=GG141,-FN141,0)+IF(CQ$11=GG142,-FN142,0)+IF(CQ$11=GG143,-FN143,0)+IF(CQ$11=GG144,-FN144,0)+IF(CQ$11=GG145,-FN145,0)</f>
        <v/>
      </c>
      <c r="CR66" s="228">
        <f>IF(CR$11=GH141,-FO141,0)+IF(CR$11=GH142,-FO142,0)+IF(CR$11=GH143,-FO143,0)+IF(CR$11=GH144,-FO144,0)+IF(CR$11=GH145,-FO145,0)</f>
        <v/>
      </c>
      <c r="CS66" s="228">
        <f>IF(CS$11=GI141,-FP141,0)+IF(CS$11=GI142,-FP142,0)+IF(CS$11=GI143,-FP143,0)+IF(CS$11=GI144,-FP144,0)+IF(CS$11=GI145,-FP145,0)</f>
        <v/>
      </c>
      <c r="CT66" s="228">
        <f>IF(CT$11=GJ141,-FQ141,0)+IF(CT$11=GJ142,-FQ142,0)+IF(CT$11=GJ143,-FQ143,0)+IF(CT$11=GJ144,-FQ144,0)+IF(CT$11=GJ145,-FQ145,0)</f>
        <v/>
      </c>
      <c r="CU66" s="228">
        <f>IF(CU$11=GK141,-FR141,0)+IF(CU$11=GK142,-FR142,0)+IF(CU$11=GK143,-FR143,0)+IF(CU$11=GK144,-FR144,0)+IF(CU$11=GK145,-FR145,0)</f>
        <v/>
      </c>
      <c r="CV66" s="228">
        <f>IF(CV$11=GL141,-FS141,0)+IF(CV$11=GL142,-FS142,0)+IF(CV$11=GL143,-FS143,0)+IF(CV$11=GL144,-FS144,0)+IF(CV$11=GL145,-FS145,0)</f>
        <v/>
      </c>
      <c r="CW66" s="228">
        <f>IF(CW$11=GM141,-FT141,0)+IF(CW$11=GM142,-FT142,0)+IF(CW$11=GM143,-FT143,0)+IF(CW$11=GM144,-FT144,0)+IF(CW$11=GM145,-FT145,0)</f>
        <v/>
      </c>
      <c r="CX66" s="228">
        <f>IF(CX$11=GN141,-FU141,0)+IF(CX$11=GN142,-FU142,0)+IF(CX$11=GN143,-FU143,0)+IF(CX$11=GN144,-FU144,0)+IF(CX$11=GN145,-FU145,0)</f>
        <v/>
      </c>
      <c r="CY66" s="228">
        <f>IF(CY$11=GO141,-FV141,0)+IF(CY$11=GO142,-FV142,0)+IF(CY$11=GO143,-FV143,0)+IF(CY$11=GO144,-FV144,0)+IF(CY$11=GO145,-FV145,0)</f>
        <v/>
      </c>
      <c r="CZ66" s="228">
        <f>IF(CZ$11=GP141,-FW141,0)+IF(CZ$11=GP142,-FW142,0)+IF(CZ$11=GP143,-FW143,0)+IF(CZ$11=GP144,-FW144,0)+IF(CZ$11=GP145,-FW145,0)</f>
        <v/>
      </c>
      <c r="DA66" s="228">
        <f>IF(DA$11=GQ141,-FX141,0)+IF(DA$11=GQ142,-FX142,0)+IF(DA$11=GQ143,-FX143,0)+IF(DA$11=GQ144,-FX144,0)+IF(DA$11=GQ145,-FX145,0)</f>
        <v/>
      </c>
      <c r="DB66" s="228">
        <f>IF(DB$11=GR141,-FY141,0)+IF(DB$11=GR142,-FY142,0)+IF(DB$11=GR143,-FY143,0)+IF(DB$11=GR144,-FY144,0)+IF(DB$11=GR145,-FY145,0)</f>
        <v/>
      </c>
      <c r="DC66" s="228">
        <f>IF(DC$11=GS141,-FZ141,0)+IF(DC$11=GS142,-FZ142,0)+IF(DC$11=GS143,-FZ143,0)+IF(DC$11=GS144,-FZ144,0)+IF(DC$11=GS145,-FZ145,0)</f>
        <v/>
      </c>
      <c r="DD66" s="228">
        <f>IF(DD$11=GT141,-GA141,0)+IF(DD$11=GT142,-GA142,0)+IF(DD$11=GT143,-GA143,0)+IF(DD$11=GT144,-GA144,0)+IF(DD$11=GT145,-GA145,0)</f>
        <v/>
      </c>
      <c r="DE66" s="228">
        <f>IF(DE$11=GU141,-GB141,0)+IF(DE$11=GU142,-GB142,0)+IF(DE$11=GU143,-GB143,0)+IF(DE$11=GU144,-GB144,0)+IF(DE$11=GU145,-GB145,0)</f>
        <v/>
      </c>
      <c r="DF66" s="228">
        <f>IF(DF$11=GV141,-GC141,0)+IF(DF$11=GV142,-GC142,0)+IF(DF$11=GV143,-GC143,0)+IF(DF$11=GV144,-GC144,0)+IF(DF$11=GV145,-GC145,0)</f>
        <v/>
      </c>
      <c r="DG66" s="228">
        <f>IF(DG$11=GW141,-GD141,0)+IF(DG$11=GW142,-GD142,0)+IF(DG$11=GW143,-GD143,0)+IF(DG$11=GW144,-GD144,0)+IF(DG$11=GW145,-GD145,0)</f>
        <v/>
      </c>
      <c r="DH66" s="228">
        <f>IF(DH$11=GX141,-GE141,0)+IF(DH$11=GX142,-GE142,0)+IF(DH$11=GX143,-GE143,0)+IF(DH$11=GX144,-GE144,0)+IF(DH$11=GX145,-GE145,0)</f>
        <v/>
      </c>
      <c r="DI66" s="228">
        <f>IF(DI$11=GY141,-GF141,0)+IF(DI$11=GY142,-GF142,0)+IF(DI$11=GY143,-GF143,0)+IF(DI$11=GY144,-GF144,0)+IF(DI$11=GY145,-GF145,0)</f>
        <v/>
      </c>
      <c r="DJ66" s="228">
        <f>IF(DJ$11=GZ141,-GG141,0)+IF(DJ$11=GZ142,-GG142,0)+IF(DJ$11=GZ143,-GG143,0)+IF(DJ$11=GZ144,-GG144,0)+IF(DJ$11=GZ145,-GG145,0)</f>
        <v/>
      </c>
      <c r="DK66" s="228">
        <f>IF(DK$11=HA141,-GH141,0)+IF(DK$11=HA142,-GH142,0)+IF(DK$11=HA143,-GH143,0)+IF(DK$11=HA144,-GH144,0)+IF(DK$11=HA145,-GH145,0)</f>
        <v/>
      </c>
      <c r="DL66" s="228">
        <f>IF(DL$11=HB141,-GI141,0)+IF(DL$11=HB142,-GI142,0)+IF(DL$11=HB143,-GI143,0)+IF(DL$11=HB144,-GI144,0)+IF(DL$11=HB145,-GI145,0)</f>
        <v/>
      </c>
      <c r="DM66" s="228">
        <f>IF(DM$11=HC141,-GJ141,0)+IF(DM$11=HC142,-GJ142,0)+IF(DM$11=HC143,-GJ143,0)+IF(DM$11=HC144,-GJ144,0)+IF(DM$11=HC145,-GJ145,0)</f>
        <v/>
      </c>
      <c r="DN66" s="228">
        <f>IF(DN$11=HD141,-GK141,0)+IF(DN$11=HD142,-GK142,0)+IF(DN$11=HD143,-GK143,0)+IF(DN$11=HD144,-GK144,0)+IF(DN$11=HD145,-GK145,0)</f>
        <v/>
      </c>
      <c r="DO66" s="228">
        <f>IF(DO$11=HE141,-GL141,0)+IF(DO$11=HE142,-GL142,0)+IF(DO$11=HE143,-GL143,0)+IF(DO$11=HE144,-GL144,0)+IF(DO$11=HE145,-GL145,0)</f>
        <v/>
      </c>
      <c r="DP66" s="228">
        <f>IF(DP$11=HF141,-GM141,0)+IF(DP$11=HF142,-GM142,0)+IF(DP$11=HF143,-GM143,0)+IF(DP$11=HF144,-GM144,0)+IF(DP$11=HF145,-GM145,0)</f>
        <v/>
      </c>
      <c r="DQ66" s="228">
        <f>IF(DQ$11=HG141,-GN141,0)+IF(DQ$11=HG142,-GN142,0)+IF(DQ$11=HG143,-GN143,0)+IF(DQ$11=HG144,-GN144,0)+IF(DQ$11=HG145,-GN145,0)</f>
        <v/>
      </c>
      <c r="DR66" s="228">
        <f>IF(DR$11=HH141,-GO141,0)+IF(DR$11=HH142,-GO142,0)+IF(DR$11=HH143,-GO143,0)+IF(DR$11=HH144,-GO144,0)+IF(DR$11=HH145,-GO145,0)</f>
        <v/>
      </c>
      <c r="DS66" s="228">
        <f>IF(DS$11=HI141,-GP141,0)+IF(DS$11=HI142,-GP142,0)+IF(DS$11=HI143,-GP143,0)+IF(DS$11=HI144,-GP144,0)+IF(DS$11=HI145,-GP145,0)</f>
        <v/>
      </c>
      <c r="DT66" s="228">
        <f>IF(DT$11=HJ141,-GQ141,0)+IF(DT$11=HJ142,-GQ142,0)+IF(DT$11=HJ143,-GQ143,0)+IF(DT$11=HJ144,-GQ144,0)+IF(DT$11=HJ145,-GQ145,0)</f>
        <v/>
      </c>
    </row>
    <row r="67" ht="15" customHeight="1" s="148">
      <c r="A67" s="112" t="inlineStr">
        <is>
          <t>Market Leasing Commissions</t>
        </is>
      </c>
      <c r="C67" s="228">
        <f>SUM(D67:DT67)</f>
        <v/>
      </c>
      <c r="D67" s="228">
        <f>IF(D$11=FB146,-EI146,0)+IF(D$11=FB147,-EI147,0)+IF(D$11=FB148,-EI148,0)+IF(D$11=FB149,-EI149,0)+IF(D$11=FB150,-EI150,0)</f>
        <v/>
      </c>
      <c r="E67" s="228">
        <f>IF(E$11=FB146,-EI146,0)+IF(E$11=FB147,-EI147,0)+IF(E$11=FB148,-EI148,0)+IF(E$11=FB149,-EI149,0)+IF(E$11=FB150,-EI150,0)</f>
        <v/>
      </c>
      <c r="F67" s="228">
        <f>IF(F$11=FB146,-EI146,0)+IF(F$11=FB147,-EI147,0)+IF(F$11=FB148,-EI148,0)+IF(F$11=FB149,-EI149,0)+IF(F$11=FB150,-EI150,0)</f>
        <v/>
      </c>
      <c r="G67" s="228">
        <f>IF(G$11=FB146,-EI146,0)+IF(G$11=FB147,-EI147,0)+IF(G$11=FB148,-EI148,0)+IF(G$11=FB149,-EI149,0)+IF(G$11=FB150,-EI150,0)</f>
        <v/>
      </c>
      <c r="H67" s="228">
        <f>IF(H$11=FB146,-EI146,0)+IF(H$11=FB147,-EI147,0)+IF(H$11=FB148,-EI148,0)+IF(H$11=FB149,-EI149,0)+IF(H$11=FB150,-EI150,0)</f>
        <v/>
      </c>
      <c r="I67" s="228">
        <f>IF(I$11=FB146,-EI146,0)+IF(I$11=FB147,-EI147,0)+IF(I$11=FB148,-EI148,0)+IF(I$11=FB149,-EI149,0)+IF(I$11=FB150,-EI150,0)</f>
        <v/>
      </c>
      <c r="J67" s="228">
        <f>IF(J$11=FB146,-EI146,0)+IF(J$11=FB147,-EI147,0)+IF(J$11=FB148,-EI148,0)+IF(J$11=FB149,-EI149,0)+IF(J$11=FB150,-EI150,0)</f>
        <v/>
      </c>
      <c r="K67" s="228">
        <f>IF(K$11=FB146,-EI146,0)+IF(K$11=FB147,-EI147,0)+IF(K$11=FB148,-EI148,0)+IF(K$11=FB149,-EI149,0)+IF(K$11=FB150,-EI150,0)</f>
        <v/>
      </c>
      <c r="L67" s="228">
        <f>IF(L$11=FB146,-EI146,0)+IF(L$11=FB147,-EI147,0)+IF(L$11=FB148,-EI148,0)+IF(L$11=FB149,-EI149,0)+IF(L$11=FB150,-EI150,0)</f>
        <v/>
      </c>
      <c r="M67" s="228">
        <f>IF(M$11=FB146,-EI146,0)+IF(M$11=FB147,-EI147,0)+IF(M$11=FB148,-EI148,0)+IF(M$11=FB149,-EI149,0)+IF(M$11=FB150,-EI150,0)</f>
        <v/>
      </c>
      <c r="N67" s="228">
        <f>IF(N$11=FB146,-EI146,0)+IF(N$11=FB147,-EI147,0)+IF(N$11=FB148,-EI148,0)+IF(N$11=FB149,-EI149,0)+IF(N$11=FB150,-EI150,0)</f>
        <v/>
      </c>
      <c r="O67" s="228">
        <f>IF(O$11=FB146,-EI146,0)+IF(O$11=FB147,-EI147,0)+IF(O$11=FB148,-EI148,0)+IF(O$11=FB149,-EI149,0)+IF(O$11=FB150,-EI150,0)</f>
        <v/>
      </c>
      <c r="P67" s="228">
        <f>IF(P$11=FB146,-EI146,0)+IF(P$11=FB147,-EI147,0)+IF(P$11=FB148,-EI148,0)+IF(P$11=FB149,-EI149,0)+IF(P$11=FB150,-EI150,0)</f>
        <v/>
      </c>
      <c r="Q67" s="228">
        <f>IF(Q$11=FB146,-EI146,0)+IF(Q$11=FB147,-EI147,0)+IF(Q$11=FB148,-EI148,0)+IF(Q$11=FB149,-EI149,0)+IF(Q$11=FB150,-EI150,0)</f>
        <v/>
      </c>
      <c r="R67" s="228">
        <f>IF(R$11=FB146,-EI146,0)+IF(R$11=FB147,-EI147,0)+IF(R$11=FB148,-EI148,0)+IF(R$11=FB149,-EI149,0)+IF(R$11=FB150,-EI150,0)</f>
        <v/>
      </c>
      <c r="S67" s="228">
        <f>IF(S$11=FB146,-EI146,0)+IF(S$11=FB147,-EI147,0)+IF(S$11=FB148,-EI148,0)+IF(S$11=FB149,-EI149,0)+IF(S$11=FB150,-EI150,0)</f>
        <v/>
      </c>
      <c r="T67" s="228">
        <f>IF(T$11=FB146,-EI146,0)+IF(T$11=FB147,-EI147,0)+IF(T$11=FB148,-EI148,0)+IF(T$11=FB149,-EI149,0)+IF(T$11=FB150,-EI150,0)</f>
        <v/>
      </c>
      <c r="U67" s="228">
        <f>IF(U$11=FB146,-EI146,0)+IF(U$11=FB147,-EI147,0)+IF(U$11=FB148,-EI148,0)+IF(U$11=FB149,-EI149,0)+IF(U$11=FB150,-EI150,0)</f>
        <v/>
      </c>
      <c r="V67" s="228">
        <f>IF(V$11=FB146,-EI146,0)+IF(V$11=FB147,-EI147,0)+IF(V$11=FB148,-EI148,0)+IF(V$11=FB149,-EI149,0)+IF(V$11=FB150,-EI150,0)</f>
        <v/>
      </c>
      <c r="W67" s="228">
        <f>IF(W$11=FB146,-EI146,0)+IF(W$11=FB147,-EI147,0)+IF(W$11=FB148,-EI148,0)+IF(W$11=FB149,-EI149,0)+IF(W$11=FB150,-EI150,0)</f>
        <v/>
      </c>
      <c r="X67" s="228">
        <f>IF(X$11=FB146,-EI146,0)+IF(X$11=FB147,-EI147,0)+IF(X$11=FB148,-EI148,0)+IF(X$11=FB149,-EI149,0)+IF(X$11=FB150,-EI150,0)</f>
        <v/>
      </c>
      <c r="Y67" s="228">
        <f>IF(Y$11=FB146,-EI146,0)+IF(Y$11=FB147,-EI147,0)+IF(Y$11=FB148,-EI148,0)+IF(Y$11=FB149,-EI149,0)+IF(Y$11=FB150,-EI150,0)</f>
        <v/>
      </c>
      <c r="Z67" s="228">
        <f>IF(Z$11=FB146,-EI146,0)+IF(Z$11=FB147,-EI147,0)+IF(Z$11=FB148,-EI148,0)+IF(Z$11=FB149,-EI149,0)+IF(Z$11=FB150,-EI150,0)</f>
        <v/>
      </c>
      <c r="AA67" s="228">
        <f>IF(AA$11=FB146,-EI146,0)+IF(AA$11=FB147,-EI147,0)+IF(AA$11=FB148,-EI148,0)+IF(AA$11=FB149,-EI149,0)+IF(AA$11=FB150,-EI150,0)</f>
        <v/>
      </c>
      <c r="AB67" s="228">
        <f>IF(AB$11=FB146,-EI146,0)+IF(AB$11=FB147,-EI147,0)+IF(AB$11=FB148,-EI148,0)+IF(AB$11=FB149,-EI149,0)+IF(AB$11=FB150,-EI150,0)</f>
        <v/>
      </c>
      <c r="AC67" s="228">
        <f>IF(AC$11=FB146,-EI146,0)+IF(AC$11=FB147,-EI147,0)+IF(AC$11=FB148,-EI148,0)+IF(AC$11=FB149,-EI149,0)+IF(AC$11=FB150,-EI150,0)</f>
        <v/>
      </c>
      <c r="AD67" s="228">
        <f>IF(AD$11=FB146,-EI146,0)+IF(AD$11=FB147,-EI147,0)+IF(AD$11=FB148,-EI148,0)+IF(AD$11=FB149,-EI149,0)+IF(AD$11=FB150,-EI150,0)</f>
        <v/>
      </c>
      <c r="AE67" s="228">
        <f>IF(AE$11=FB146,-EI146,0)+IF(AE$11=FB147,-EI147,0)+IF(AE$11=FB148,-EI148,0)+IF(AE$11=FB149,-EI149,0)+IF(AE$11=FB150,-EI150,0)</f>
        <v/>
      </c>
      <c r="AF67" s="228">
        <f>IF(AF$11=FB146,-EI146,0)+IF(AF$11=FB147,-EI147,0)+IF(AF$11=FB148,-EI148,0)+IF(AF$11=FB149,-EI149,0)+IF(AF$11=FB150,-EI150,0)</f>
        <v/>
      </c>
      <c r="AG67" s="228">
        <f>IF(AG$11=FB146,-EI146,0)+IF(AG$11=FB147,-EI147,0)+IF(AG$11=FB148,-EI148,0)+IF(AG$11=FB149,-EI149,0)+IF(AG$11=FB150,-EI150,0)</f>
        <v/>
      </c>
      <c r="AH67" s="228">
        <f>IF(AH$11=FB146,-EI146,0)+IF(AH$11=FB147,-EI147,0)+IF(AH$11=FB148,-EI148,0)+IF(AH$11=FB149,-EI149,0)+IF(AH$11=FB150,-EI150,0)</f>
        <v/>
      </c>
      <c r="AI67" s="228">
        <f>IF(AI$11=FB146,-EI146,0)+IF(AI$11=FB147,-EI147,0)+IF(AI$11=FB148,-EI148,0)+IF(AI$11=FB149,-EI149,0)+IF(AI$11=FB150,-EI150,0)</f>
        <v/>
      </c>
      <c r="AJ67" s="228">
        <f>IF(AJ$11=FB146,-EI146,0)+IF(AJ$11=FB147,-EI147,0)+IF(AJ$11=FB148,-EI148,0)+IF(AJ$11=FB149,-EI149,0)+IF(AJ$11=FB150,-EI150,0)</f>
        <v/>
      </c>
      <c r="AK67" s="228">
        <f>IF(AK$11=FB146,-EI146,0)+IF(AK$11=FB147,-EI147,0)+IF(AK$11=FB148,-EI148,0)+IF(AK$11=FB149,-EI149,0)+IF(AK$11=FB150,-EI150,0)</f>
        <v/>
      </c>
      <c r="AL67" s="228">
        <f>IF(AL$11=FB146,-EI146,0)+IF(AL$11=FB147,-EI147,0)+IF(AL$11=FB148,-EI148,0)+IF(AL$11=FB149,-EI149,0)+IF(AL$11=FB150,-EI150,0)</f>
        <v/>
      </c>
      <c r="AM67" s="228">
        <f>IF(AM$11=FB146,-EI146,0)+IF(AM$11=FB147,-EI147,0)+IF(AM$11=FB148,-EI148,0)+IF(AM$11=FB149,-EI149,0)+IF(AM$11=FB150,-EI150,0)</f>
        <v/>
      </c>
      <c r="AN67" s="228">
        <f>IF(AN$11=FB146,-EI146,0)+IF(AN$11=FB147,-EI147,0)+IF(AN$11=FB148,-EI148,0)+IF(AN$11=FB149,-EI149,0)+IF(AN$11=FB150,-EI150,0)</f>
        <v/>
      </c>
      <c r="AO67" s="228">
        <f>IF(AO$11=FB146,-EI146,0)+IF(AO$11=FB147,-EI147,0)+IF(AO$11=FB148,-EI148,0)+IF(AO$11=FB149,-EI149,0)+IF(AO$11=FB150,-EI150,0)</f>
        <v/>
      </c>
      <c r="AP67" s="228">
        <f>IF(AP$11=FB146,-EI146,0)+IF(AP$11=FB147,-EI147,0)+IF(AP$11=FB148,-EI148,0)+IF(AP$11=FB149,-EI149,0)+IF(AP$11=FB150,-EI150,0)</f>
        <v/>
      </c>
      <c r="AQ67" s="228">
        <f>IF(AQ$11=FB146,-EI146,0)+IF(AQ$11=FB147,-EI147,0)+IF(AQ$11=FB148,-EI148,0)+IF(AQ$11=FB149,-EI149,0)+IF(AQ$11=FB150,-EI150,0)</f>
        <v/>
      </c>
      <c r="AR67" s="228">
        <f>IF(AR$11=FB146,-EI146,0)+IF(AR$11=FB147,-EI147,0)+IF(AR$11=FB148,-EI148,0)+IF(AR$11=FB149,-EI149,0)+IF(AR$11=FB150,-EI150,0)</f>
        <v/>
      </c>
      <c r="AS67" s="228">
        <f>IF(AS$11=FB146,-EI146,0)+IF(AS$11=FB147,-EI147,0)+IF(AS$11=FB148,-EI148,0)+IF(AS$11=FB149,-EI149,0)+IF(AS$11=FB150,-EI150,0)</f>
        <v/>
      </c>
      <c r="AT67" s="228">
        <f>IF(AT$11=FB146,-EI146,0)+IF(AT$11=FB147,-EI147,0)+IF(AT$11=FB148,-EI148,0)+IF(AT$11=FB149,-EI149,0)+IF(AT$11=FB150,-EI150,0)</f>
        <v/>
      </c>
      <c r="AU67" s="228">
        <f>IF(AU$11=FB146,-EI146,0)+IF(AU$11=FB147,-EI147,0)+IF(AU$11=FB148,-EI148,0)+IF(AU$11=FB149,-EI149,0)+IF(AU$11=FB150,-EI150,0)</f>
        <v/>
      </c>
      <c r="AV67" s="228">
        <f>IF(AV$11=FB146,-EI146,0)+IF(AV$11=FB147,-EI147,0)+IF(AV$11=FB148,-EI148,0)+IF(AV$11=FB149,-EI149,0)+IF(AV$11=FB150,-EI150,0)</f>
        <v/>
      </c>
      <c r="AW67" s="228">
        <f>IF(AW$11=FB146,-EI146,0)+IF(AW$11=FB147,-EI147,0)+IF(AW$11=FB148,-EI148,0)+IF(AW$11=FB149,-EI149,0)+IF(AW$11=FB150,-EI150,0)</f>
        <v/>
      </c>
      <c r="AX67" s="228">
        <f>IF(AX$11=FB146,-EI146,0)+IF(AX$11=FB147,-EI147,0)+IF(AX$11=FB148,-EI148,0)+IF(AX$11=FB149,-EI149,0)+IF(AX$11=FB150,-EI150,0)</f>
        <v/>
      </c>
      <c r="AY67" s="228">
        <f>IF(AY$11=FB146,-EI146,0)+IF(AY$11=FB147,-EI147,0)+IF(AY$11=FB148,-EI148,0)+IF(AY$11=FB149,-EI149,0)+IF(AY$11=FB150,-EI150,0)</f>
        <v/>
      </c>
      <c r="AZ67" s="228">
        <f>IF(AZ$11=FB146,-EI146,0)+IF(AZ$11=FB147,-EI147,0)+IF(AZ$11=FB148,-EI148,0)+IF(AZ$11=FB149,-EI149,0)+IF(AZ$11=FB150,-EI150,0)</f>
        <v/>
      </c>
      <c r="BA67" s="228">
        <f>IF(BA$11=FB146,-EI146,0)+IF(BA$11=FB147,-EI147,0)+IF(BA$11=FB148,-EI148,0)+IF(BA$11=FB149,-EI149,0)+IF(BA$11=FB150,-EI150,0)</f>
        <v/>
      </c>
      <c r="BB67" s="228">
        <f>IF(BB$11=FB146,-EI146,0)+IF(BB$11=FB147,-EI147,0)+IF(BB$11=FB148,-EI148,0)+IF(BB$11=FB149,-EI149,0)+IF(BB$11=FB150,-EI150,0)</f>
        <v/>
      </c>
      <c r="BC67" s="228">
        <f>IF(BC$11=FB146,-EI146,0)+IF(BC$11=FB147,-EI147,0)+IF(BC$11=FB148,-EI148,0)+IF(BC$11=FB149,-EI149,0)+IF(BC$11=FB150,-EI150,0)</f>
        <v/>
      </c>
      <c r="BD67" s="228">
        <f>IF(BD$11=FB146,-EI146,0)+IF(BD$11=FB147,-EI147,0)+IF(BD$11=FB148,-EI148,0)+IF(BD$11=FB149,-EI149,0)+IF(BD$11=FB150,-EI150,0)</f>
        <v/>
      </c>
      <c r="BE67" s="228">
        <f>IF(BE$11=FB146,-EI146,0)+IF(BE$11=FB147,-EI147,0)+IF(BE$11=FB148,-EI148,0)+IF(BE$11=FB149,-EI149,0)+IF(BE$11=FB150,-EI150,0)</f>
        <v/>
      </c>
      <c r="BF67" s="228">
        <f>IF(BF$11=FB146,-EI146,0)+IF(BF$11=FB147,-EI147,0)+IF(BF$11=FB148,-EI148,0)+IF(BF$11=FB149,-EI149,0)+IF(BF$11=FB150,-EI150,0)</f>
        <v/>
      </c>
      <c r="BG67" s="228">
        <f>IF(BG$11=FB146,-EI146,0)+IF(BG$11=FB147,-EI147,0)+IF(BG$11=FB148,-EI148,0)+IF(BG$11=FB149,-EI149,0)+IF(BG$11=FB150,-EI150,0)</f>
        <v/>
      </c>
      <c r="BH67" s="228">
        <f>IF(BH$11=FB146,-EI146,0)+IF(BH$11=FB147,-EI147,0)+IF(BH$11=FB148,-EI148,0)+IF(BH$11=FB149,-EI149,0)+IF(BH$11=FB150,-EI150,0)</f>
        <v/>
      </c>
      <c r="BI67" s="228">
        <f>IF(BI$11=FB146,-EI146,0)+IF(BI$11=FB147,-EI147,0)+IF(BI$11=FB148,-EI148,0)+IF(BI$11=FB149,-EI149,0)+IF(BI$11=FB150,-EI150,0)</f>
        <v/>
      </c>
      <c r="BJ67" s="228">
        <f>IF(BJ$11=FB146,-EI146,0)+IF(BJ$11=FB147,-EI147,0)+IF(BJ$11=FB148,-EI148,0)+IF(BJ$11=FB149,-EI149,0)+IF(BJ$11=FB150,-EI150,0)</f>
        <v/>
      </c>
      <c r="BK67" s="228">
        <f>IF(BK$11=FB146,-EI146,0)+IF(BK$11=FB147,-EI147,0)+IF(BK$11=FB148,-EI148,0)+IF(BK$11=FB149,-EI149,0)+IF(BK$11=FB150,-EI150,0)</f>
        <v/>
      </c>
      <c r="BL67" s="228">
        <f>IF(BL$11=FB146,-EI146,0)+IF(BL$11=FB147,-EI147,0)+IF(BL$11=FB148,-EI148,0)+IF(BL$11=FB149,-EI149,0)+IF(BL$11=FB150,-EI150,0)</f>
        <v/>
      </c>
      <c r="BM67" s="228">
        <f>IF(BM$11=FC146,-EJ146,0)+IF(BM$11=FC147,-EJ147,0)+IF(BM$11=FC148,-EJ148,0)+IF(BM$11=FC149,-EJ149,0)+IF(BM$11=FC150,-EJ150,0)</f>
        <v/>
      </c>
      <c r="BN67" s="228">
        <f>IF(BN$11=FD146,-EK146,0)+IF(BN$11=FD147,-EK147,0)+IF(BN$11=FD148,-EK148,0)+IF(BN$11=FD149,-EK149,0)+IF(BN$11=FD150,-EK150,0)</f>
        <v/>
      </c>
      <c r="BO67" s="228">
        <f>IF(BO$11=FE146,-EL146,0)+IF(BO$11=FE147,-EL147,0)+IF(BO$11=FE148,-EL148,0)+IF(BO$11=FE149,-EL149,0)+IF(BO$11=FE150,-EL150,0)</f>
        <v/>
      </c>
      <c r="BP67" s="228">
        <f>IF(BP$11=FF146,-EM146,0)+IF(BP$11=FF147,-EM147,0)+IF(BP$11=FF148,-EM148,0)+IF(BP$11=FF149,-EM149,0)+IF(BP$11=FF150,-EM150,0)</f>
        <v/>
      </c>
      <c r="BQ67" s="228">
        <f>IF(BQ$11=FG146,-EN146,0)+IF(BQ$11=FG147,-EN147,0)+IF(BQ$11=FG148,-EN148,0)+IF(BQ$11=FG149,-EN149,0)+IF(BQ$11=FG150,-EN150,0)</f>
        <v/>
      </c>
      <c r="BR67" s="228">
        <f>IF(BR$11=FH146,-EO146,0)+IF(BR$11=FH147,-EO147,0)+IF(BR$11=FH148,-EO148,0)+IF(BR$11=FH149,-EO149,0)+IF(BR$11=FH150,-EO150,0)</f>
        <v/>
      </c>
      <c r="BS67" s="228">
        <f>IF(BS$11=FI146,-EP146,0)+IF(BS$11=FI147,-EP147,0)+IF(BS$11=FI148,-EP148,0)+IF(BS$11=FI149,-EP149,0)+IF(BS$11=FI150,-EP150,0)</f>
        <v/>
      </c>
      <c r="BT67" s="228">
        <f>IF(BT$11=FJ146,-EQ146,0)+IF(BT$11=FJ147,-EQ147,0)+IF(BT$11=FJ148,-EQ148,0)+IF(BT$11=FJ149,-EQ149,0)+IF(BT$11=FJ150,-EQ150,0)</f>
        <v/>
      </c>
      <c r="BU67" s="228">
        <f>IF(BU$11=FK146,-ER146,0)+IF(BU$11=FK147,-ER147,0)+IF(BU$11=FK148,-ER148,0)+IF(BU$11=FK149,-ER149,0)+IF(BU$11=FK150,-ER150,0)</f>
        <v/>
      </c>
      <c r="BV67" s="228">
        <f>IF(BV$11=FL146,-ES146,0)+IF(BV$11=FL147,-ES147,0)+IF(BV$11=FL148,-ES148,0)+IF(BV$11=FL149,-ES149,0)+IF(BV$11=FL150,-ES150,0)</f>
        <v/>
      </c>
      <c r="BW67" s="228">
        <f>IF(BW$11=FM146,-ET146,0)+IF(BW$11=FM147,-ET147,0)+IF(BW$11=FM148,-ET148,0)+IF(BW$11=FM149,-ET149,0)+IF(BW$11=FM150,-ET150,0)</f>
        <v/>
      </c>
      <c r="BX67" s="228">
        <f>IF(BX$11=FN146,-EU146,0)+IF(BX$11=FN147,-EU147,0)+IF(BX$11=FN148,-EU148,0)+IF(BX$11=FN149,-EU149,0)+IF(BX$11=FN150,-EU150,0)</f>
        <v/>
      </c>
      <c r="BY67" s="228">
        <f>IF(BY$11=FO146,-EV146,0)+IF(BY$11=FO147,-EV147,0)+IF(BY$11=FO148,-EV148,0)+IF(BY$11=FO149,-EV149,0)+IF(BY$11=FO150,-EV150,0)</f>
        <v/>
      </c>
      <c r="BZ67" s="228">
        <f>IF(BZ$11=FP146,-EW146,0)+IF(BZ$11=FP147,-EW147,0)+IF(BZ$11=FP148,-EW148,0)+IF(BZ$11=FP149,-EW149,0)+IF(BZ$11=FP150,-EW150,0)</f>
        <v/>
      </c>
      <c r="CA67" s="228">
        <f>IF(CA$11=FQ146,-EX146,0)+IF(CA$11=FQ147,-EX147,0)+IF(CA$11=FQ148,-EX148,0)+IF(CA$11=FQ149,-EX149,0)+IF(CA$11=FQ150,-EX150,0)</f>
        <v/>
      </c>
      <c r="CB67" s="228">
        <f>IF(CB$11=FR146,-EY146,0)+IF(CB$11=FR147,-EY147,0)+IF(CB$11=FR148,-EY148,0)+IF(CB$11=FR149,-EY149,0)+IF(CB$11=FR150,-EY150,0)</f>
        <v/>
      </c>
      <c r="CC67" s="228">
        <f>IF(CC$11=FS146,-EZ146,0)+IF(CC$11=FS147,-EZ147,0)+IF(CC$11=FS148,-EZ148,0)+IF(CC$11=FS149,-EZ149,0)+IF(CC$11=FS150,-EZ150,0)</f>
        <v/>
      </c>
      <c r="CD67" s="228">
        <f>IF(CD$11=FT146,-FA146,0)+IF(CD$11=FT147,-FA147,0)+IF(CD$11=FT148,-FA148,0)+IF(CD$11=FT149,-FA149,0)+IF(CD$11=FT150,-FA150,0)</f>
        <v/>
      </c>
      <c r="CE67" s="228">
        <f>IF(CE$11=FU146,-FB146,0)+IF(CE$11=FU147,-FB147,0)+IF(CE$11=FU148,-FB148,0)+IF(CE$11=FU149,-FB149,0)+IF(CE$11=FU150,-FB150,0)</f>
        <v/>
      </c>
      <c r="CF67" s="228">
        <f>IF(CF$11=FV146,-FC146,0)+IF(CF$11=FV147,-FC147,0)+IF(CF$11=FV148,-FC148,0)+IF(CF$11=FV149,-FC149,0)+IF(CF$11=FV150,-FC150,0)</f>
        <v/>
      </c>
      <c r="CG67" s="228">
        <f>IF(CG$11=FW146,-FD146,0)+IF(CG$11=FW147,-FD147,0)+IF(CG$11=FW148,-FD148,0)+IF(CG$11=FW149,-FD149,0)+IF(CG$11=FW150,-FD150,0)</f>
        <v/>
      </c>
      <c r="CH67" s="228">
        <f>IF(CH$11=FX146,-FE146,0)+IF(CH$11=FX147,-FE147,0)+IF(CH$11=FX148,-FE148,0)+IF(CH$11=FX149,-FE149,0)+IF(CH$11=FX150,-FE150,0)</f>
        <v/>
      </c>
      <c r="CI67" s="228">
        <f>IF(CI$11=FY146,-FF146,0)+IF(CI$11=FY147,-FF147,0)+IF(CI$11=FY148,-FF148,0)+IF(CI$11=FY149,-FF149,0)+IF(CI$11=FY150,-FF150,0)</f>
        <v/>
      </c>
      <c r="CJ67" s="228">
        <f>IF(CJ$11=FZ146,-FG146,0)+IF(CJ$11=FZ147,-FG147,0)+IF(CJ$11=FZ148,-FG148,0)+IF(CJ$11=FZ149,-FG149,0)+IF(CJ$11=FZ150,-FG150,0)</f>
        <v/>
      </c>
      <c r="CK67" s="228">
        <f>IF(CK$11=GA146,-FH146,0)+IF(CK$11=GA147,-FH147,0)+IF(CK$11=GA148,-FH148,0)+IF(CK$11=GA149,-FH149,0)+IF(CK$11=GA150,-FH150,0)</f>
        <v/>
      </c>
      <c r="CL67" s="228">
        <f>IF(CL$11=GB146,-FI146,0)+IF(CL$11=GB147,-FI147,0)+IF(CL$11=GB148,-FI148,0)+IF(CL$11=GB149,-FI149,0)+IF(CL$11=GB150,-FI150,0)</f>
        <v/>
      </c>
      <c r="CM67" s="228">
        <f>IF(CM$11=GC146,-FJ146,0)+IF(CM$11=GC147,-FJ147,0)+IF(CM$11=GC148,-FJ148,0)+IF(CM$11=GC149,-FJ149,0)+IF(CM$11=GC150,-FJ150,0)</f>
        <v/>
      </c>
      <c r="CN67" s="228">
        <f>IF(CN$11=GD146,-FK146,0)+IF(CN$11=GD147,-FK147,0)+IF(CN$11=GD148,-FK148,0)+IF(CN$11=GD149,-FK149,0)+IF(CN$11=GD150,-FK150,0)</f>
        <v/>
      </c>
      <c r="CO67" s="228">
        <f>IF(CO$11=GE146,-FL146,0)+IF(CO$11=GE147,-FL147,0)+IF(CO$11=GE148,-FL148,0)+IF(CO$11=GE149,-FL149,0)+IF(CO$11=GE150,-FL150,0)</f>
        <v/>
      </c>
      <c r="CP67" s="228">
        <f>IF(CP$11=GF146,-FM146,0)+IF(CP$11=GF147,-FM147,0)+IF(CP$11=GF148,-FM148,0)+IF(CP$11=GF149,-FM149,0)+IF(CP$11=GF150,-FM150,0)</f>
        <v/>
      </c>
      <c r="CQ67" s="228">
        <f>IF(CQ$11=GG146,-FN146,0)+IF(CQ$11=GG147,-FN147,0)+IF(CQ$11=GG148,-FN148,0)+IF(CQ$11=GG149,-FN149,0)+IF(CQ$11=GG150,-FN150,0)</f>
        <v/>
      </c>
      <c r="CR67" s="228">
        <f>IF(CR$11=GH146,-FO146,0)+IF(CR$11=GH147,-FO147,0)+IF(CR$11=GH148,-FO148,0)+IF(CR$11=GH149,-FO149,0)+IF(CR$11=GH150,-FO150,0)</f>
        <v/>
      </c>
      <c r="CS67" s="228">
        <f>IF(CS$11=GI146,-FP146,0)+IF(CS$11=GI147,-FP147,0)+IF(CS$11=GI148,-FP148,0)+IF(CS$11=GI149,-FP149,0)+IF(CS$11=GI150,-FP150,0)</f>
        <v/>
      </c>
      <c r="CT67" s="228">
        <f>IF(CT$11=GJ146,-FQ146,0)+IF(CT$11=GJ147,-FQ147,0)+IF(CT$11=GJ148,-FQ148,0)+IF(CT$11=GJ149,-FQ149,0)+IF(CT$11=GJ150,-FQ150,0)</f>
        <v/>
      </c>
      <c r="CU67" s="228">
        <f>IF(CU$11=GK146,-FR146,0)+IF(CU$11=GK147,-FR147,0)+IF(CU$11=GK148,-FR148,0)+IF(CU$11=GK149,-FR149,0)+IF(CU$11=GK150,-FR150,0)</f>
        <v/>
      </c>
      <c r="CV67" s="228">
        <f>IF(CV$11=GL146,-FS146,0)+IF(CV$11=GL147,-FS147,0)+IF(CV$11=GL148,-FS148,0)+IF(CV$11=GL149,-FS149,0)+IF(CV$11=GL150,-FS150,0)</f>
        <v/>
      </c>
      <c r="CW67" s="228">
        <f>IF(CW$11=GM146,-FT146,0)+IF(CW$11=GM147,-FT147,0)+IF(CW$11=GM148,-FT148,0)+IF(CW$11=GM149,-FT149,0)+IF(CW$11=GM150,-FT150,0)</f>
        <v/>
      </c>
      <c r="CX67" s="228">
        <f>IF(CX$11=GN146,-FU146,0)+IF(CX$11=GN147,-FU147,0)+IF(CX$11=GN148,-FU148,0)+IF(CX$11=GN149,-FU149,0)+IF(CX$11=GN150,-FU150,0)</f>
        <v/>
      </c>
      <c r="CY67" s="228">
        <f>IF(CY$11=GO146,-FV146,0)+IF(CY$11=GO147,-FV147,0)+IF(CY$11=GO148,-FV148,0)+IF(CY$11=GO149,-FV149,0)+IF(CY$11=GO150,-FV150,0)</f>
        <v/>
      </c>
      <c r="CZ67" s="228">
        <f>IF(CZ$11=GP146,-FW146,0)+IF(CZ$11=GP147,-FW147,0)+IF(CZ$11=GP148,-FW148,0)+IF(CZ$11=GP149,-FW149,0)+IF(CZ$11=GP150,-FW150,0)</f>
        <v/>
      </c>
      <c r="DA67" s="228">
        <f>IF(DA$11=GQ146,-FX146,0)+IF(DA$11=GQ147,-FX147,0)+IF(DA$11=GQ148,-FX148,0)+IF(DA$11=GQ149,-FX149,0)+IF(DA$11=GQ150,-FX150,0)</f>
        <v/>
      </c>
      <c r="DB67" s="228">
        <f>IF(DB$11=GR146,-FY146,0)+IF(DB$11=GR147,-FY147,0)+IF(DB$11=GR148,-FY148,0)+IF(DB$11=GR149,-FY149,0)+IF(DB$11=GR150,-FY150,0)</f>
        <v/>
      </c>
      <c r="DC67" s="228">
        <f>IF(DC$11=GS146,-FZ146,0)+IF(DC$11=GS147,-FZ147,0)+IF(DC$11=GS148,-FZ148,0)+IF(DC$11=GS149,-FZ149,0)+IF(DC$11=GS150,-FZ150,0)</f>
        <v/>
      </c>
      <c r="DD67" s="228">
        <f>IF(DD$11=GT146,-GA146,0)+IF(DD$11=GT147,-GA147,0)+IF(DD$11=GT148,-GA148,0)+IF(DD$11=GT149,-GA149,0)+IF(DD$11=GT150,-GA150,0)</f>
        <v/>
      </c>
      <c r="DE67" s="228">
        <f>IF(DE$11=GU146,-GB146,0)+IF(DE$11=GU147,-GB147,0)+IF(DE$11=GU148,-GB148,0)+IF(DE$11=GU149,-GB149,0)+IF(DE$11=GU150,-GB150,0)</f>
        <v/>
      </c>
      <c r="DF67" s="228">
        <f>IF(DF$11=GV146,-GC146,0)+IF(DF$11=GV147,-GC147,0)+IF(DF$11=GV148,-GC148,0)+IF(DF$11=GV149,-GC149,0)+IF(DF$11=GV150,-GC150,0)</f>
        <v/>
      </c>
      <c r="DG67" s="228">
        <f>IF(DG$11=GW146,-GD146,0)+IF(DG$11=GW147,-GD147,0)+IF(DG$11=GW148,-GD148,0)+IF(DG$11=GW149,-GD149,0)+IF(DG$11=GW150,-GD150,0)</f>
        <v/>
      </c>
      <c r="DH67" s="228">
        <f>IF(DH$11=GX146,-GE146,0)+IF(DH$11=GX147,-GE147,0)+IF(DH$11=GX148,-GE148,0)+IF(DH$11=GX149,-GE149,0)+IF(DH$11=GX150,-GE150,0)</f>
        <v/>
      </c>
      <c r="DI67" s="228">
        <f>IF(DI$11=GY146,-GF146,0)+IF(DI$11=GY147,-GF147,0)+IF(DI$11=GY148,-GF148,0)+IF(DI$11=GY149,-GF149,0)+IF(DI$11=GY150,-GF150,0)</f>
        <v/>
      </c>
      <c r="DJ67" s="228">
        <f>IF(DJ$11=GZ146,-GG146,0)+IF(DJ$11=GZ147,-GG147,0)+IF(DJ$11=GZ148,-GG148,0)+IF(DJ$11=GZ149,-GG149,0)+IF(DJ$11=GZ150,-GG150,0)</f>
        <v/>
      </c>
      <c r="DK67" s="228">
        <f>IF(DK$11=HA146,-GH146,0)+IF(DK$11=HA147,-GH147,0)+IF(DK$11=HA148,-GH148,0)+IF(DK$11=HA149,-GH149,0)+IF(DK$11=HA150,-GH150,0)</f>
        <v/>
      </c>
      <c r="DL67" s="228">
        <f>IF(DL$11=HB146,-GI146,0)+IF(DL$11=HB147,-GI147,0)+IF(DL$11=HB148,-GI148,0)+IF(DL$11=HB149,-GI149,0)+IF(DL$11=HB150,-GI150,0)</f>
        <v/>
      </c>
      <c r="DM67" s="228">
        <f>IF(DM$11=HC146,-GJ146,0)+IF(DM$11=HC147,-GJ147,0)+IF(DM$11=HC148,-GJ148,0)+IF(DM$11=HC149,-GJ149,0)+IF(DM$11=HC150,-GJ150,0)</f>
        <v/>
      </c>
      <c r="DN67" s="228">
        <f>IF(DN$11=HD146,-GK146,0)+IF(DN$11=HD147,-GK147,0)+IF(DN$11=HD148,-GK148,0)+IF(DN$11=HD149,-GK149,0)+IF(DN$11=HD150,-GK150,0)</f>
        <v/>
      </c>
      <c r="DO67" s="228">
        <f>IF(DO$11=HE146,-GL146,0)+IF(DO$11=HE147,-GL147,0)+IF(DO$11=HE148,-GL148,0)+IF(DO$11=HE149,-GL149,0)+IF(DO$11=HE150,-GL150,0)</f>
        <v/>
      </c>
      <c r="DP67" s="228">
        <f>IF(DP$11=HF146,-GM146,0)+IF(DP$11=HF147,-GM147,0)+IF(DP$11=HF148,-GM148,0)+IF(DP$11=HF149,-GM149,0)+IF(DP$11=HF150,-GM150,0)</f>
        <v/>
      </c>
      <c r="DQ67" s="228">
        <f>IF(DQ$11=HG146,-GN146,0)+IF(DQ$11=HG147,-GN147,0)+IF(DQ$11=HG148,-GN148,0)+IF(DQ$11=HG149,-GN149,0)+IF(DQ$11=HG150,-GN150,0)</f>
        <v/>
      </c>
      <c r="DR67" s="228">
        <f>IF(DR$11=HH146,-GO146,0)+IF(DR$11=HH147,-GO147,0)+IF(DR$11=HH148,-GO148,0)+IF(DR$11=HH149,-GO149,0)+IF(DR$11=HH150,-GO150,0)</f>
        <v/>
      </c>
      <c r="DS67" s="228">
        <f>IF(DS$11=HI146,-GP146,0)+IF(DS$11=HI147,-GP147,0)+IF(DS$11=HI148,-GP148,0)+IF(DS$11=HI149,-GP149,0)+IF(DS$11=HI150,-GP150,0)</f>
        <v/>
      </c>
      <c r="DT67" s="228">
        <f>IF(DT$11=HJ146,-GQ146,0)+IF(DT$11=HJ147,-GQ147,0)+IF(DT$11=HJ148,-GQ148,0)+IF(DT$11=HJ149,-GQ149,0)+IF(DT$11=HJ150,-GQ150,0)</f>
        <v/>
      </c>
    </row>
    <row r="68" ht="15" customHeight="1" s="148">
      <c r="A68" s="112" t="inlineStr">
        <is>
          <t>CapEx Reserves</t>
        </is>
      </c>
      <c r="C68" s="228">
        <f>SUM(D68:DT68)</f>
        <v/>
      </c>
      <c r="D68" s="228">
        <f>IF(D$11=0,0,-ROUND(Assumptions!$F$13*Assumptions!$P$34*(1+Assumptions!$P$38)^(D$9-1)/12,0))</f>
        <v/>
      </c>
      <c r="E68" s="228">
        <f>IF(E$11=0,0,-ROUND(Assumptions!$F$13*Assumptions!$P$34*(1+Assumptions!$P$38)^(E$9-1)/12,0))</f>
        <v/>
      </c>
      <c r="F68" s="228">
        <f>IF(F$11=0,0,-ROUND(Assumptions!$F$13*Assumptions!$P$34*(1+Assumptions!$P$38)^(F$9-1)/12,0))</f>
        <v/>
      </c>
      <c r="G68" s="228">
        <f>IF(G$11=0,0,-ROUND(Assumptions!$F$13*Assumptions!$P$34*(1+Assumptions!$P$38)^(G$9-1)/12,0))</f>
        <v/>
      </c>
      <c r="H68" s="228">
        <f>IF(H$11=0,0,-ROUND(Assumptions!$F$13*Assumptions!$P$34*(1+Assumptions!$P$38)^(H$9-1)/12,0))</f>
        <v/>
      </c>
      <c r="I68" s="228">
        <f>IF(I$11=0,0,-ROUND(Assumptions!$F$13*Assumptions!$P$34*(1+Assumptions!$P$38)^(I$9-1)/12,0))</f>
        <v/>
      </c>
      <c r="J68" s="228">
        <f>IF(J$11=0,0,-ROUND(Assumptions!$F$13*Assumptions!$P$34*(1+Assumptions!$P$38)^(J$9-1)/12,0))</f>
        <v/>
      </c>
      <c r="K68" s="228">
        <f>IF(K$11=0,0,-ROUND(Assumptions!$F$13*Assumptions!$P$34*(1+Assumptions!$P$38)^(K$9-1)/12,0))</f>
        <v/>
      </c>
      <c r="L68" s="228">
        <f>IF(L$11=0,0,-ROUND(Assumptions!$F$13*Assumptions!$P$34*(1+Assumptions!$P$38)^(L$9-1)/12,0))</f>
        <v/>
      </c>
      <c r="M68" s="228">
        <f>IF(M$11=0,0,-ROUND(Assumptions!$F$13*Assumptions!$P$34*(1+Assumptions!$P$38)^(M$9-1)/12,0))</f>
        <v/>
      </c>
      <c r="N68" s="228">
        <f>IF(N$11=0,0,-ROUND(Assumptions!$F$13*Assumptions!$P$34*(1+Assumptions!$P$38)^(N$9-1)/12,0))</f>
        <v/>
      </c>
      <c r="O68" s="228">
        <f>IF(O$11=0,0,-ROUND(Assumptions!$F$13*Assumptions!$P$34*(1+Assumptions!$P$38)^(O$9-1)/12,0))</f>
        <v/>
      </c>
      <c r="P68" s="228">
        <f>IF(P$11=0,0,-ROUND(Assumptions!$F$13*Assumptions!$P$34*(1+Assumptions!$P$38)^(P$9-1)/12,0))</f>
        <v/>
      </c>
      <c r="Q68" s="228">
        <f>IF(Q$11=0,0,-ROUND(Assumptions!$F$13*Assumptions!$P$34*(1+Assumptions!$P$38)^(Q$9-1)/12,0))</f>
        <v/>
      </c>
      <c r="R68" s="228">
        <f>IF(R$11=0,0,-ROUND(Assumptions!$F$13*Assumptions!$P$34*(1+Assumptions!$P$38)^(R$9-1)/12,0))</f>
        <v/>
      </c>
      <c r="S68" s="228">
        <f>IF(S$11=0,0,-ROUND(Assumptions!$F$13*Assumptions!$P$34*(1+Assumptions!$P$38)^(S$9-1)/12,0))</f>
        <v/>
      </c>
      <c r="T68" s="228">
        <f>IF(T$11=0,0,-ROUND(Assumptions!$F$13*Assumptions!$P$34*(1+Assumptions!$P$38)^(T$9-1)/12,0))</f>
        <v/>
      </c>
      <c r="U68" s="228">
        <f>IF(U$11=0,0,-ROUND(Assumptions!$F$13*Assumptions!$P$34*(1+Assumptions!$P$38)^(U$9-1)/12,0))</f>
        <v/>
      </c>
      <c r="V68" s="228">
        <f>IF(V$11=0,0,-ROUND(Assumptions!$F$13*Assumptions!$P$34*(1+Assumptions!$P$38)^(V$9-1)/12,0))</f>
        <v/>
      </c>
      <c r="W68" s="228">
        <f>IF(W$11=0,0,-ROUND(Assumptions!$F$13*Assumptions!$P$34*(1+Assumptions!$P$38)^(W$9-1)/12,0))</f>
        <v/>
      </c>
      <c r="X68" s="228">
        <f>IF(X$11=0,0,-ROUND(Assumptions!$F$13*Assumptions!$P$34*(1+Assumptions!$P$38)^(X$9-1)/12,0))</f>
        <v/>
      </c>
      <c r="Y68" s="228">
        <f>IF(Y$11=0,0,-ROUND(Assumptions!$F$13*Assumptions!$P$34*(1+Assumptions!$P$38)^(Y$9-1)/12,0))</f>
        <v/>
      </c>
      <c r="Z68" s="228">
        <f>IF(Z$11=0,0,-ROUND(Assumptions!$F$13*Assumptions!$P$34*(1+Assumptions!$P$38)^(Z$9-1)/12,0))</f>
        <v/>
      </c>
      <c r="AA68" s="228">
        <f>IF(AA$11=0,0,-ROUND(Assumptions!$F$13*Assumptions!$P$34*(1+Assumptions!$P$38)^(AA$9-1)/12,0))</f>
        <v/>
      </c>
      <c r="AB68" s="228">
        <f>IF(AB$11=0,0,-ROUND(Assumptions!$F$13*Assumptions!$P$34*(1+Assumptions!$P$38)^(AB$9-1)/12,0))</f>
        <v/>
      </c>
      <c r="AC68" s="228">
        <f>IF(AC$11=0,0,-ROUND(Assumptions!$F$13*Assumptions!$P$34*(1+Assumptions!$P$38)^(AC$9-1)/12,0))</f>
        <v/>
      </c>
      <c r="AD68" s="228">
        <f>IF(AD$11=0,0,-ROUND(Assumptions!$F$13*Assumptions!$P$34*(1+Assumptions!$P$38)^(AD$9-1)/12,0))</f>
        <v/>
      </c>
      <c r="AE68" s="228">
        <f>IF(AE$11=0,0,-ROUND(Assumptions!$F$13*Assumptions!$P$34*(1+Assumptions!$P$38)^(AE$9-1)/12,0))</f>
        <v/>
      </c>
      <c r="AF68" s="228">
        <f>IF(AF$11=0,0,-ROUND(Assumptions!$F$13*Assumptions!$P$34*(1+Assumptions!$P$38)^(AF$9-1)/12,0))</f>
        <v/>
      </c>
      <c r="AG68" s="228">
        <f>IF(AG$11=0,0,-ROUND(Assumptions!$F$13*Assumptions!$P$34*(1+Assumptions!$P$38)^(AG$9-1)/12,0))</f>
        <v/>
      </c>
      <c r="AH68" s="228">
        <f>IF(AH$11=0,0,-ROUND(Assumptions!$F$13*Assumptions!$P$34*(1+Assumptions!$P$38)^(AH$9-1)/12,0))</f>
        <v/>
      </c>
      <c r="AI68" s="228">
        <f>IF(AI$11=0,0,-ROUND(Assumptions!$F$13*Assumptions!$P$34*(1+Assumptions!$P$38)^(AI$9-1)/12,0))</f>
        <v/>
      </c>
      <c r="AJ68" s="228">
        <f>IF(AJ$11=0,0,-ROUND(Assumptions!$F$13*Assumptions!$P$34*(1+Assumptions!$P$38)^(AJ$9-1)/12,0))</f>
        <v/>
      </c>
      <c r="AK68" s="228">
        <f>IF(AK$11=0,0,-ROUND(Assumptions!$F$13*Assumptions!$P$34*(1+Assumptions!$P$38)^(AK$9-1)/12,0))</f>
        <v/>
      </c>
      <c r="AL68" s="228">
        <f>IF(AL$11=0,0,-ROUND(Assumptions!$F$13*Assumptions!$P$34*(1+Assumptions!$P$38)^(AL$9-1)/12,0))</f>
        <v/>
      </c>
      <c r="AM68" s="228">
        <f>IF(AM$11=0,0,-ROUND(Assumptions!$F$13*Assumptions!$P$34*(1+Assumptions!$P$38)^(AM$9-1)/12,0))</f>
        <v/>
      </c>
      <c r="AN68" s="228">
        <f>IF(AN$11=0,0,-ROUND(Assumptions!$F$13*Assumptions!$P$34*(1+Assumptions!$P$38)^(AN$9-1)/12,0))</f>
        <v/>
      </c>
      <c r="AO68" s="228">
        <f>IF(AO$11=0,0,-ROUND(Assumptions!$F$13*Assumptions!$P$34*(1+Assumptions!$P$38)^(AO$9-1)/12,0))</f>
        <v/>
      </c>
      <c r="AP68" s="228">
        <f>IF(AP$11=0,0,-ROUND(Assumptions!$F$13*Assumptions!$P$34*(1+Assumptions!$P$38)^(AP$9-1)/12,0))</f>
        <v/>
      </c>
      <c r="AQ68" s="228">
        <f>IF(AQ$11=0,0,-ROUND(Assumptions!$F$13*Assumptions!$P$34*(1+Assumptions!$P$38)^(AQ$9-1)/12,0))</f>
        <v/>
      </c>
      <c r="AR68" s="228">
        <f>IF(AR$11=0,0,-ROUND(Assumptions!$F$13*Assumptions!$P$34*(1+Assumptions!$P$38)^(AR$9-1)/12,0))</f>
        <v/>
      </c>
      <c r="AS68" s="228">
        <f>IF(AS$11=0,0,-ROUND(Assumptions!$F$13*Assumptions!$P$34*(1+Assumptions!$P$38)^(AS$9-1)/12,0))</f>
        <v/>
      </c>
      <c r="AT68" s="228">
        <f>IF(AT$11=0,0,-ROUND(Assumptions!$F$13*Assumptions!$P$34*(1+Assumptions!$P$38)^(AT$9-1)/12,0))</f>
        <v/>
      </c>
      <c r="AU68" s="228">
        <f>IF(AU$11=0,0,-ROUND(Assumptions!$F$13*Assumptions!$P$34*(1+Assumptions!$P$38)^(AU$9-1)/12,0))</f>
        <v/>
      </c>
      <c r="AV68" s="228">
        <f>IF(AV$11=0,0,-ROUND(Assumptions!$F$13*Assumptions!$P$34*(1+Assumptions!$P$38)^(AV$9-1)/12,0))</f>
        <v/>
      </c>
      <c r="AW68" s="228">
        <f>IF(AW$11=0,0,-ROUND(Assumptions!$F$13*Assumptions!$P$34*(1+Assumptions!$P$38)^(AW$9-1)/12,0))</f>
        <v/>
      </c>
      <c r="AX68" s="228">
        <f>IF(AX$11=0,0,-ROUND(Assumptions!$F$13*Assumptions!$P$34*(1+Assumptions!$P$38)^(AX$9-1)/12,0))</f>
        <v/>
      </c>
      <c r="AY68" s="228">
        <f>IF(AY$11=0,0,-ROUND(Assumptions!$F$13*Assumptions!$P$34*(1+Assumptions!$P$38)^(AY$9-1)/12,0))</f>
        <v/>
      </c>
      <c r="AZ68" s="228">
        <f>IF(AZ$11=0,0,-ROUND(Assumptions!$F$13*Assumptions!$P$34*(1+Assumptions!$P$38)^(AZ$9-1)/12,0))</f>
        <v/>
      </c>
      <c r="BA68" s="228">
        <f>IF(BA$11=0,0,-ROUND(Assumptions!$F$13*Assumptions!$P$34*(1+Assumptions!$P$38)^(BA$9-1)/12,0))</f>
        <v/>
      </c>
      <c r="BB68" s="228">
        <f>IF(BB$11=0,0,-ROUND(Assumptions!$F$13*Assumptions!$P$34*(1+Assumptions!$P$38)^(BB$9-1)/12,0))</f>
        <v/>
      </c>
      <c r="BC68" s="228">
        <f>IF(BC$11=0,0,-ROUND(Assumptions!$F$13*Assumptions!$P$34*(1+Assumptions!$P$38)^(BC$9-1)/12,0))</f>
        <v/>
      </c>
      <c r="BD68" s="228">
        <f>IF(BD$11=0,0,-ROUND(Assumptions!$F$13*Assumptions!$P$34*(1+Assumptions!$P$38)^(BD$9-1)/12,0))</f>
        <v/>
      </c>
      <c r="BE68" s="228">
        <f>IF(BE$11=0,0,-ROUND(Assumptions!$F$13*Assumptions!$P$34*(1+Assumptions!$P$38)^(BE$9-1)/12,0))</f>
        <v/>
      </c>
      <c r="BF68" s="228">
        <f>IF(BF$11=0,0,-ROUND(Assumptions!$F$13*Assumptions!$P$34*(1+Assumptions!$P$38)^(BF$9-1)/12,0))</f>
        <v/>
      </c>
      <c r="BG68" s="228">
        <f>IF(BG$11=0,0,-ROUND(Assumptions!$F$13*Assumptions!$P$34*(1+Assumptions!$P$38)^(BG$9-1)/12,0))</f>
        <v/>
      </c>
      <c r="BH68" s="228">
        <f>IF(BH$11=0,0,-ROUND(Assumptions!$F$13*Assumptions!$P$34*(1+Assumptions!$P$38)^(BH$9-1)/12,0))</f>
        <v/>
      </c>
      <c r="BI68" s="228">
        <f>IF(BI$11=0,0,-ROUND(Assumptions!$F$13*Assumptions!$P$34*(1+Assumptions!$P$38)^(BI$9-1)/12,0))</f>
        <v/>
      </c>
      <c r="BJ68" s="228">
        <f>IF(BJ$11=0,0,-ROUND(Assumptions!$F$13*Assumptions!$P$34*(1+Assumptions!$P$38)^(BJ$9-1)/12,0))</f>
        <v/>
      </c>
      <c r="BK68" s="228">
        <f>IF(BK$11=0,0,-ROUND(Assumptions!$F$13*Assumptions!$P$34*(1+Assumptions!$P$38)^(BK$9-1)/12,0))</f>
        <v/>
      </c>
      <c r="BL68" s="228">
        <f>IF(BL$11=0,0,-ROUND(Assumptions!$F$13*Assumptions!$P$34*(1+Assumptions!$P$38)^(BL$9-1)/12,0))</f>
        <v/>
      </c>
      <c r="BM68" s="228">
        <f>IF(BM$11=0,0,-ROUND(Assumptions!$F$13*Assumptions!$P$34*(1+Assumptions!$P$38)^(BM$9-1)/12,0))</f>
        <v/>
      </c>
      <c r="BN68" s="228">
        <f>IF(BN$11=0,0,-ROUND(Assumptions!$F$13*Assumptions!$P$34*(1+Assumptions!$P$38)^(BN$9-1)/12,0))</f>
        <v/>
      </c>
      <c r="BO68" s="228">
        <f>IF(BO$11=0,0,-ROUND(Assumptions!$F$13*Assumptions!$P$34*(1+Assumptions!$P$38)^(BO$9-1)/12,0))</f>
        <v/>
      </c>
      <c r="BP68" s="228">
        <f>IF(BP$11=0,0,-ROUND(Assumptions!$F$13*Assumptions!$P$34*(1+Assumptions!$P$38)^(BP$9-1)/12,0))</f>
        <v/>
      </c>
      <c r="BQ68" s="228">
        <f>IF(BQ$11=0,0,-ROUND(Assumptions!$F$13*Assumptions!$P$34*(1+Assumptions!$P$38)^(BQ$9-1)/12,0))</f>
        <v/>
      </c>
      <c r="BR68" s="228">
        <f>IF(BR$11=0,0,-ROUND(Assumptions!$F$13*Assumptions!$P$34*(1+Assumptions!$P$38)^(BR$9-1)/12,0))</f>
        <v/>
      </c>
      <c r="BS68" s="228">
        <f>IF(BS$11=0,0,-ROUND(Assumptions!$F$13*Assumptions!$P$34*(1+Assumptions!$P$38)^(BS$9-1)/12,0))</f>
        <v/>
      </c>
      <c r="BT68" s="228">
        <f>IF(BT$11=0,0,-ROUND(Assumptions!$F$13*Assumptions!$P$34*(1+Assumptions!$P$38)^(BT$9-1)/12,0))</f>
        <v/>
      </c>
      <c r="BU68" s="228">
        <f>IF(BU$11=0,0,-ROUND(Assumptions!$F$13*Assumptions!$P$34*(1+Assumptions!$P$38)^(BU$9-1)/12,0))</f>
        <v/>
      </c>
      <c r="BV68" s="228">
        <f>IF(BV$11=0,0,-ROUND(Assumptions!$F$13*Assumptions!$P$34*(1+Assumptions!$P$38)^(BV$9-1)/12,0))</f>
        <v/>
      </c>
      <c r="BW68" s="228">
        <f>IF(BW$11=0,0,-ROUND(Assumptions!$F$13*Assumptions!$P$34*(1+Assumptions!$P$38)^(BW$9-1)/12,0))</f>
        <v/>
      </c>
      <c r="BX68" s="228">
        <f>IF(BX$11=0,0,-ROUND(Assumptions!$F$13*Assumptions!$P$34*(1+Assumptions!$P$38)^(BX$9-1)/12,0))</f>
        <v/>
      </c>
      <c r="BY68" s="228">
        <f>IF(BY$11=0,0,-ROUND(Assumptions!$F$13*Assumptions!$P$34*(1+Assumptions!$P$38)^(BY$9-1)/12,0))</f>
        <v/>
      </c>
      <c r="BZ68" s="228">
        <f>IF(BZ$11=0,0,-ROUND(Assumptions!$F$13*Assumptions!$P$34*(1+Assumptions!$P$38)^(BZ$9-1)/12,0))</f>
        <v/>
      </c>
      <c r="CA68" s="228">
        <f>IF(CA$11=0,0,-ROUND(Assumptions!$F$13*Assumptions!$P$34*(1+Assumptions!$P$38)^(CA$9-1)/12,0))</f>
        <v/>
      </c>
      <c r="CB68" s="228">
        <f>IF(CB$11=0,0,-ROUND(Assumptions!$F$13*Assumptions!$P$34*(1+Assumptions!$P$38)^(CB$9-1)/12,0))</f>
        <v/>
      </c>
      <c r="CC68" s="228">
        <f>IF(CC$11=0,0,-ROUND(Assumptions!$F$13*Assumptions!$P$34*(1+Assumptions!$P$38)^(CC$9-1)/12,0))</f>
        <v/>
      </c>
      <c r="CD68" s="228">
        <f>IF(CD$11=0,0,-ROUND(Assumptions!$F$13*Assumptions!$P$34*(1+Assumptions!$P$38)^(CD$9-1)/12,0))</f>
        <v/>
      </c>
      <c r="CE68" s="228">
        <f>IF(CE$11=0,0,-ROUND(Assumptions!$F$13*Assumptions!$P$34*(1+Assumptions!$P$38)^(CE$9-1)/12,0))</f>
        <v/>
      </c>
      <c r="CF68" s="228">
        <f>IF(CF$11=0,0,-ROUND(Assumptions!$F$13*Assumptions!$P$34*(1+Assumptions!$P$38)^(CF$9-1)/12,0))</f>
        <v/>
      </c>
      <c r="CG68" s="228">
        <f>IF(CG$11=0,0,-ROUND(Assumptions!$F$13*Assumptions!$P$34*(1+Assumptions!$P$38)^(CG$9-1)/12,0))</f>
        <v/>
      </c>
      <c r="CH68" s="228">
        <f>IF(CH$11=0,0,-ROUND(Assumptions!$F$13*Assumptions!$P$34*(1+Assumptions!$P$38)^(CH$9-1)/12,0))</f>
        <v/>
      </c>
      <c r="CI68" s="228">
        <f>IF(CI$11=0,0,-ROUND(Assumptions!$F$13*Assumptions!$P$34*(1+Assumptions!$P$38)^(CI$9-1)/12,0))</f>
        <v/>
      </c>
      <c r="CJ68" s="228">
        <f>IF(CJ$11=0,0,-ROUND(Assumptions!$F$13*Assumptions!$P$34*(1+Assumptions!$P$38)^(CJ$9-1)/12,0))</f>
        <v/>
      </c>
      <c r="CK68" s="228">
        <f>IF(CK$11=0,0,-ROUND(Assumptions!$F$13*Assumptions!$P$34*(1+Assumptions!$P$38)^(CK$9-1)/12,0))</f>
        <v/>
      </c>
      <c r="CL68" s="228">
        <f>IF(CL$11=0,0,-ROUND(Assumptions!$F$13*Assumptions!$P$34*(1+Assumptions!$P$38)^(CL$9-1)/12,0))</f>
        <v/>
      </c>
      <c r="CM68" s="228">
        <f>IF(CM$11=0,0,-ROUND(Assumptions!$F$13*Assumptions!$P$34*(1+Assumptions!$P$38)^(CM$9-1)/12,0))</f>
        <v/>
      </c>
      <c r="CN68" s="228">
        <f>IF(CN$11=0,0,-ROUND(Assumptions!$F$13*Assumptions!$P$34*(1+Assumptions!$P$38)^(CN$9-1)/12,0))</f>
        <v/>
      </c>
      <c r="CO68" s="228">
        <f>IF(CO$11=0,0,-ROUND(Assumptions!$F$13*Assumptions!$P$34*(1+Assumptions!$P$38)^(CO$9-1)/12,0))</f>
        <v/>
      </c>
      <c r="CP68" s="228">
        <f>IF(CP$11=0,0,-ROUND(Assumptions!$F$13*Assumptions!$P$34*(1+Assumptions!$P$38)^(CP$9-1)/12,0))</f>
        <v/>
      </c>
      <c r="CQ68" s="228">
        <f>IF(CQ$11=0,0,-ROUND(Assumptions!$F$13*Assumptions!$P$34*(1+Assumptions!$P$38)^(CQ$9-1)/12,0))</f>
        <v/>
      </c>
      <c r="CR68" s="228">
        <f>IF(CR$11=0,0,-ROUND(Assumptions!$F$13*Assumptions!$P$34*(1+Assumptions!$P$38)^(CR$9-1)/12,0))</f>
        <v/>
      </c>
      <c r="CS68" s="228">
        <f>IF(CS$11=0,0,-ROUND(Assumptions!$F$13*Assumptions!$P$34*(1+Assumptions!$P$38)^(CS$9-1)/12,0))</f>
        <v/>
      </c>
      <c r="CT68" s="228">
        <f>IF(CT$11=0,0,-ROUND(Assumptions!$F$13*Assumptions!$P$34*(1+Assumptions!$P$38)^(CT$9-1)/12,0))</f>
        <v/>
      </c>
      <c r="CU68" s="228">
        <f>IF(CU$11=0,0,-ROUND(Assumptions!$F$13*Assumptions!$P$34*(1+Assumptions!$P$38)^(CU$9-1)/12,0))</f>
        <v/>
      </c>
      <c r="CV68" s="228">
        <f>IF(CV$11=0,0,-ROUND(Assumptions!$F$13*Assumptions!$P$34*(1+Assumptions!$P$38)^(CV$9-1)/12,0))</f>
        <v/>
      </c>
      <c r="CW68" s="228">
        <f>IF(CW$11=0,0,-ROUND(Assumptions!$F$13*Assumptions!$P$34*(1+Assumptions!$P$38)^(CW$9-1)/12,0))</f>
        <v/>
      </c>
      <c r="CX68" s="228">
        <f>IF(CX$11=0,0,-ROUND(Assumptions!$F$13*Assumptions!$P$34*(1+Assumptions!$P$38)^(CX$9-1)/12,0))</f>
        <v/>
      </c>
      <c r="CY68" s="228">
        <f>IF(CY$11=0,0,-ROUND(Assumptions!$F$13*Assumptions!$P$34*(1+Assumptions!$P$38)^(CY$9-1)/12,0))</f>
        <v/>
      </c>
      <c r="CZ68" s="228">
        <f>IF(CZ$11=0,0,-ROUND(Assumptions!$F$13*Assumptions!$P$34*(1+Assumptions!$P$38)^(CZ$9-1)/12,0))</f>
        <v/>
      </c>
      <c r="DA68" s="228">
        <f>IF(DA$11=0,0,-ROUND(Assumptions!$F$13*Assumptions!$P$34*(1+Assumptions!$P$38)^(DA$9-1)/12,0))</f>
        <v/>
      </c>
      <c r="DB68" s="228">
        <f>IF(DB$11=0,0,-ROUND(Assumptions!$F$13*Assumptions!$P$34*(1+Assumptions!$P$38)^(DB$9-1)/12,0))</f>
        <v/>
      </c>
      <c r="DC68" s="228">
        <f>IF(DC$11=0,0,-ROUND(Assumptions!$F$13*Assumptions!$P$34*(1+Assumptions!$P$38)^(DC$9-1)/12,0))</f>
        <v/>
      </c>
      <c r="DD68" s="228">
        <f>IF(DD$11=0,0,-ROUND(Assumptions!$F$13*Assumptions!$P$34*(1+Assumptions!$P$38)^(DD$9-1)/12,0))</f>
        <v/>
      </c>
      <c r="DE68" s="228">
        <f>IF(DE$11=0,0,-ROUND(Assumptions!$F$13*Assumptions!$P$34*(1+Assumptions!$P$38)^(DE$9-1)/12,0))</f>
        <v/>
      </c>
      <c r="DF68" s="228">
        <f>IF(DF$11=0,0,-ROUND(Assumptions!$F$13*Assumptions!$P$34*(1+Assumptions!$P$38)^(DF$9-1)/12,0))</f>
        <v/>
      </c>
      <c r="DG68" s="228">
        <f>IF(DG$11=0,0,-ROUND(Assumptions!$F$13*Assumptions!$P$34*(1+Assumptions!$P$38)^(DG$9-1)/12,0))</f>
        <v/>
      </c>
      <c r="DH68" s="228">
        <f>IF(DH$11=0,0,-ROUND(Assumptions!$F$13*Assumptions!$P$34*(1+Assumptions!$P$38)^(DH$9-1)/12,0))</f>
        <v/>
      </c>
      <c r="DI68" s="228">
        <f>IF(DI$11=0,0,-ROUND(Assumptions!$F$13*Assumptions!$P$34*(1+Assumptions!$P$38)^(DI$9-1)/12,0))</f>
        <v/>
      </c>
      <c r="DJ68" s="228">
        <f>IF(DJ$11=0,0,-ROUND(Assumptions!$F$13*Assumptions!$P$34*(1+Assumptions!$P$38)^(DJ$9-1)/12,0))</f>
        <v/>
      </c>
      <c r="DK68" s="228">
        <f>IF(DK$11=0,0,-ROUND(Assumptions!$F$13*Assumptions!$P$34*(1+Assumptions!$P$38)^(DK$9-1)/12,0))</f>
        <v/>
      </c>
      <c r="DL68" s="228">
        <f>IF(DL$11=0,0,-ROUND(Assumptions!$F$13*Assumptions!$P$34*(1+Assumptions!$P$38)^(DL$9-1)/12,0))</f>
        <v/>
      </c>
      <c r="DM68" s="228">
        <f>IF(DM$11=0,0,-ROUND(Assumptions!$F$13*Assumptions!$P$34*(1+Assumptions!$P$38)^(DM$9-1)/12,0))</f>
        <v/>
      </c>
      <c r="DN68" s="228">
        <f>IF(DN$11=0,0,-ROUND(Assumptions!$F$13*Assumptions!$P$34*(1+Assumptions!$P$38)^(DN$9-1)/12,0))</f>
        <v/>
      </c>
      <c r="DO68" s="228">
        <f>IF(DO$11=0,0,-ROUND(Assumptions!$F$13*Assumptions!$P$34*(1+Assumptions!$P$38)^(DO$9-1)/12,0))</f>
        <v/>
      </c>
      <c r="DP68" s="228">
        <f>IF(DP$11=0,0,-ROUND(Assumptions!$F$13*Assumptions!$P$34*(1+Assumptions!$P$38)^(DP$9-1)/12,0))</f>
        <v/>
      </c>
      <c r="DQ68" s="228">
        <f>IF(DQ$11=0,0,-ROUND(Assumptions!$F$13*Assumptions!$P$34*(1+Assumptions!$P$38)^(DQ$9-1)/12,0))</f>
        <v/>
      </c>
      <c r="DR68" s="228">
        <f>IF(DR$11=0,0,-ROUND(Assumptions!$F$13*Assumptions!$P$34*(1+Assumptions!$P$38)^(DR$9-1)/12,0))</f>
        <v/>
      </c>
      <c r="DS68" s="228">
        <f>IF(DS$11=0,0,-ROUND(Assumptions!$F$13*Assumptions!$P$34*(1+Assumptions!$P$38)^(DS$9-1)/12,0))</f>
        <v/>
      </c>
      <c r="DT68" s="228">
        <f>IF(DT$11=0,0,-ROUND(Assumptions!$F$13*Assumptions!$P$34*(1+Assumptions!$P$38)^(DT$9-1)/12,0))</f>
        <v/>
      </c>
    </row>
    <row r="69" ht="15" customHeight="1" s="148">
      <c r="A69" s="112" t="inlineStr">
        <is>
          <t>Other CapEx (Not Incl. in Reno. Costs)</t>
        </is>
      </c>
      <c r="C69" s="228">
        <f>SUM(D69:DT69)</f>
        <v/>
      </c>
      <c r="D69" s="228">
        <f>0</f>
        <v/>
      </c>
      <c r="E69" s="228">
        <f>0</f>
        <v/>
      </c>
      <c r="F69" s="228">
        <f>0</f>
        <v/>
      </c>
      <c r="G69" s="228">
        <f>0</f>
        <v/>
      </c>
      <c r="H69" s="228">
        <f>0</f>
        <v/>
      </c>
      <c r="I69" s="228">
        <f>0</f>
        <v/>
      </c>
      <c r="J69" s="228">
        <f>0</f>
        <v/>
      </c>
      <c r="K69" s="228">
        <f>0</f>
        <v/>
      </c>
      <c r="L69" s="228">
        <f>0</f>
        <v/>
      </c>
      <c r="M69" s="228">
        <f>0</f>
        <v/>
      </c>
      <c r="N69" s="228">
        <f>0</f>
        <v/>
      </c>
      <c r="O69" s="228">
        <f>0</f>
        <v/>
      </c>
      <c r="P69" s="228">
        <f>0</f>
        <v/>
      </c>
      <c r="Q69" s="228">
        <f>0</f>
        <v/>
      </c>
      <c r="R69" s="228">
        <f>0</f>
        <v/>
      </c>
      <c r="S69" s="228">
        <f>0</f>
        <v/>
      </c>
      <c r="T69" s="228">
        <f>0</f>
        <v/>
      </c>
      <c r="U69" s="228">
        <f>0</f>
        <v/>
      </c>
      <c r="V69" s="228">
        <f>0</f>
        <v/>
      </c>
      <c r="W69" s="228">
        <f>0</f>
        <v/>
      </c>
      <c r="X69" s="228">
        <f>0</f>
        <v/>
      </c>
      <c r="Y69" s="228">
        <f>0</f>
        <v/>
      </c>
      <c r="Z69" s="228">
        <f>0</f>
        <v/>
      </c>
      <c r="AA69" s="228">
        <f>0</f>
        <v/>
      </c>
      <c r="AB69" s="228">
        <f>0</f>
        <v/>
      </c>
      <c r="AC69" s="228">
        <f>0</f>
        <v/>
      </c>
      <c r="AD69" s="228">
        <f>0</f>
        <v/>
      </c>
      <c r="AE69" s="228">
        <f>0</f>
        <v/>
      </c>
      <c r="AF69" s="228">
        <f>0</f>
        <v/>
      </c>
      <c r="AG69" s="228">
        <f>0</f>
        <v/>
      </c>
      <c r="AH69" s="228">
        <f>0</f>
        <v/>
      </c>
      <c r="AI69" s="228">
        <f>0</f>
        <v/>
      </c>
      <c r="AJ69" s="228">
        <f>0</f>
        <v/>
      </c>
      <c r="AK69" s="228">
        <f>0</f>
        <v/>
      </c>
      <c r="AL69" s="228">
        <f>0</f>
        <v/>
      </c>
      <c r="AM69" s="228">
        <f>0</f>
        <v/>
      </c>
      <c r="AN69" s="228">
        <f>0</f>
        <v/>
      </c>
      <c r="AO69" s="228">
        <f>0</f>
        <v/>
      </c>
      <c r="AP69" s="228">
        <f>0</f>
        <v/>
      </c>
      <c r="AQ69" s="228">
        <f>0</f>
        <v/>
      </c>
      <c r="AR69" s="228">
        <f>0</f>
        <v/>
      </c>
      <c r="AS69" s="228">
        <f>0</f>
        <v/>
      </c>
      <c r="AT69" s="228">
        <f>0</f>
        <v/>
      </c>
      <c r="AU69" s="228">
        <f>0</f>
        <v/>
      </c>
      <c r="AV69" s="228">
        <f>0</f>
        <v/>
      </c>
      <c r="AW69" s="228">
        <f>0</f>
        <v/>
      </c>
      <c r="AX69" s="228">
        <f>0</f>
        <v/>
      </c>
      <c r="AY69" s="228">
        <f>0</f>
        <v/>
      </c>
      <c r="AZ69" s="228">
        <f>0</f>
        <v/>
      </c>
      <c r="BA69" s="228">
        <f>0</f>
        <v/>
      </c>
      <c r="BB69" s="228">
        <f>0</f>
        <v/>
      </c>
      <c r="BC69" s="228">
        <f>0</f>
        <v/>
      </c>
      <c r="BD69" s="228">
        <f>0</f>
        <v/>
      </c>
      <c r="BE69" s="228">
        <f>0</f>
        <v/>
      </c>
      <c r="BF69" s="228">
        <f>0</f>
        <v/>
      </c>
      <c r="BG69" s="228">
        <f>0</f>
        <v/>
      </c>
      <c r="BH69" s="228">
        <f>0</f>
        <v/>
      </c>
      <c r="BI69" s="228">
        <f>0</f>
        <v/>
      </c>
      <c r="BJ69" s="228">
        <f>0</f>
        <v/>
      </c>
      <c r="BK69" s="228">
        <f>0</f>
        <v/>
      </c>
      <c r="BL69" s="228">
        <f>0</f>
        <v/>
      </c>
      <c r="BM69" s="228">
        <f>0</f>
        <v/>
      </c>
      <c r="BN69" s="228">
        <f>0</f>
        <v/>
      </c>
      <c r="BO69" s="228">
        <f>0</f>
        <v/>
      </c>
      <c r="BP69" s="228">
        <f>0</f>
        <v/>
      </c>
      <c r="BQ69" s="228">
        <f>0</f>
        <v/>
      </c>
      <c r="BR69" s="228">
        <f>0</f>
        <v/>
      </c>
      <c r="BS69" s="228">
        <f>0</f>
        <v/>
      </c>
      <c r="BT69" s="228">
        <f>0</f>
        <v/>
      </c>
      <c r="BU69" s="228">
        <f>0</f>
        <v/>
      </c>
      <c r="BV69" s="228">
        <f>0</f>
        <v/>
      </c>
      <c r="BW69" s="228">
        <f>0</f>
        <v/>
      </c>
      <c r="BX69" s="228">
        <f>0</f>
        <v/>
      </c>
      <c r="BY69" s="228">
        <f>0</f>
        <v/>
      </c>
      <c r="BZ69" s="228">
        <f>0</f>
        <v/>
      </c>
      <c r="CA69" s="228">
        <f>0</f>
        <v/>
      </c>
      <c r="CB69" s="228">
        <f>0</f>
        <v/>
      </c>
      <c r="CC69" s="228">
        <f>0</f>
        <v/>
      </c>
      <c r="CD69" s="228">
        <f>0</f>
        <v/>
      </c>
      <c r="CE69" s="228">
        <f>0</f>
        <v/>
      </c>
      <c r="CF69" s="228">
        <f>0</f>
        <v/>
      </c>
      <c r="CG69" s="228">
        <f>0</f>
        <v/>
      </c>
      <c r="CH69" s="228">
        <f>0</f>
        <v/>
      </c>
      <c r="CI69" s="228">
        <f>0</f>
        <v/>
      </c>
      <c r="CJ69" s="228">
        <f>0</f>
        <v/>
      </c>
      <c r="CK69" s="228">
        <f>0</f>
        <v/>
      </c>
      <c r="CL69" s="228">
        <f>0</f>
        <v/>
      </c>
      <c r="CM69" s="228">
        <f>0</f>
        <v/>
      </c>
      <c r="CN69" s="228">
        <f>0</f>
        <v/>
      </c>
      <c r="CO69" s="228">
        <f>0</f>
        <v/>
      </c>
      <c r="CP69" s="228">
        <f>0</f>
        <v/>
      </c>
      <c r="CQ69" s="228">
        <f>0</f>
        <v/>
      </c>
      <c r="CR69" s="228">
        <f>0</f>
        <v/>
      </c>
      <c r="CS69" s="228">
        <f>0</f>
        <v/>
      </c>
      <c r="CT69" s="228">
        <f>0</f>
        <v/>
      </c>
      <c r="CU69" s="228">
        <f>0</f>
        <v/>
      </c>
      <c r="CV69" s="228">
        <f>0</f>
        <v/>
      </c>
      <c r="CW69" s="228">
        <f>0</f>
        <v/>
      </c>
      <c r="CX69" s="228">
        <f>0</f>
        <v/>
      </c>
      <c r="CY69" s="228">
        <f>0</f>
        <v/>
      </c>
      <c r="CZ69" s="228">
        <f>0</f>
        <v/>
      </c>
      <c r="DA69" s="228">
        <f>0</f>
        <v/>
      </c>
      <c r="DB69" s="228">
        <f>0</f>
        <v/>
      </c>
      <c r="DC69" s="228">
        <f>0</f>
        <v/>
      </c>
      <c r="DD69" s="228">
        <f>0</f>
        <v/>
      </c>
      <c r="DE69" s="228">
        <f>0</f>
        <v/>
      </c>
      <c r="DF69" s="228">
        <f>0</f>
        <v/>
      </c>
      <c r="DG69" s="228">
        <f>0</f>
        <v/>
      </c>
      <c r="DH69" s="228">
        <f>0</f>
        <v/>
      </c>
      <c r="DI69" s="228">
        <f>0</f>
        <v/>
      </c>
      <c r="DJ69" s="228">
        <f>0</f>
        <v/>
      </c>
      <c r="DK69" s="228">
        <f>0</f>
        <v/>
      </c>
      <c r="DL69" s="228">
        <f>0</f>
        <v/>
      </c>
      <c r="DM69" s="228">
        <f>0</f>
        <v/>
      </c>
      <c r="DN69" s="228">
        <f>0</f>
        <v/>
      </c>
      <c r="DO69" s="228">
        <f>0</f>
        <v/>
      </c>
      <c r="DP69" s="228">
        <f>0</f>
        <v/>
      </c>
      <c r="DQ69" s="228">
        <f>0</f>
        <v/>
      </c>
      <c r="DR69" s="228">
        <f>0</f>
        <v/>
      </c>
      <c r="DS69" s="228">
        <f>0</f>
        <v/>
      </c>
      <c r="DT69" s="228">
        <f>0</f>
        <v/>
      </c>
    </row>
    <row r="70" ht="15" customHeight="1" s="148">
      <c r="A70" s="110" t="inlineStr">
        <is>
          <t>Total Capital Expenditures</t>
        </is>
      </c>
      <c r="C70" s="228">
        <f>SUM(D70:DT70)</f>
        <v/>
      </c>
      <c r="D70" s="228">
        <f>SUM(D$64,D$65,D$66,D$67,D$68,D$69)</f>
        <v/>
      </c>
      <c r="E70" s="228">
        <f>SUM(E$64,E$65,E$66,E$67,E$68,E$69)</f>
        <v/>
      </c>
      <c r="F70" s="228">
        <f>SUM(F$64,F$65,F$66,F$67,F$68,F$69)</f>
        <v/>
      </c>
      <c r="G70" s="228">
        <f>SUM(G$64,G$65,G$66,G$67,G$68,G$69)</f>
        <v/>
      </c>
      <c r="H70" s="228">
        <f>SUM(H$64,H$65,H$66,H$67,H$68,H$69)</f>
        <v/>
      </c>
      <c r="I70" s="228">
        <f>SUM(I$64,I$65,I$66,I$67,I$68,I$69)</f>
        <v/>
      </c>
      <c r="J70" s="228">
        <f>SUM(J$64,J$65,J$66,J$67,J$68,J$69)</f>
        <v/>
      </c>
      <c r="K70" s="228">
        <f>SUM(K$64,K$65,K$66,K$67,K$68,K$69)</f>
        <v/>
      </c>
      <c r="L70" s="228">
        <f>SUM(L$64,L$65,L$66,L$67,L$68,L$69)</f>
        <v/>
      </c>
      <c r="M70" s="228">
        <f>SUM(M$64,M$65,M$66,M$67,M$68,M$69)</f>
        <v/>
      </c>
      <c r="N70" s="228">
        <f>SUM(N$64,N$65,N$66,N$67,N$68,N$69)</f>
        <v/>
      </c>
      <c r="O70" s="228">
        <f>SUM(O$64,O$65,O$66,O$67,O$68,O$69)</f>
        <v/>
      </c>
      <c r="P70" s="228">
        <f>SUM(P$64,P$65,P$66,P$67,P$68,P$69)</f>
        <v/>
      </c>
      <c r="Q70" s="228">
        <f>SUM(Q$64,Q$65,Q$66,Q$67,Q$68,Q$69)</f>
        <v/>
      </c>
      <c r="R70" s="228">
        <f>SUM(R$64,R$65,R$66,R$67,R$68,R$69)</f>
        <v/>
      </c>
      <c r="S70" s="228">
        <f>SUM(S$64,S$65,S$66,S$67,S$68,S$69)</f>
        <v/>
      </c>
      <c r="T70" s="228">
        <f>SUM(T$64,T$65,T$66,T$67,T$68,T$69)</f>
        <v/>
      </c>
      <c r="U70" s="228">
        <f>SUM(U$64,U$65,U$66,U$67,U$68,U$69)</f>
        <v/>
      </c>
      <c r="V70" s="228">
        <f>SUM(V$64,V$65,V$66,V$67,V$68,V$69)</f>
        <v/>
      </c>
      <c r="W70" s="228">
        <f>SUM(W$64,W$65,W$66,W$67,W$68,W$69)</f>
        <v/>
      </c>
      <c r="X70" s="228">
        <f>SUM(X$64,X$65,X$66,X$67,X$68,X$69)</f>
        <v/>
      </c>
      <c r="Y70" s="228">
        <f>SUM(Y$64,Y$65,Y$66,Y$67,Y$68,Y$69)</f>
        <v/>
      </c>
      <c r="Z70" s="228">
        <f>SUM(Z$64,Z$65,Z$66,Z$67,Z$68,Z$69)</f>
        <v/>
      </c>
      <c r="AA70" s="228">
        <f>SUM(AA$64,AA$65,AA$66,AA$67,AA$68,AA$69)</f>
        <v/>
      </c>
      <c r="AB70" s="228">
        <f>SUM(AB$64,AB$65,AB$66,AB$67,AB$68,AB$69)</f>
        <v/>
      </c>
      <c r="AC70" s="228">
        <f>SUM(AC$64,AC$65,AC$66,AC$67,AC$68,AC$69)</f>
        <v/>
      </c>
      <c r="AD70" s="228">
        <f>SUM(AD$64,AD$65,AD$66,AD$67,AD$68,AD$69)</f>
        <v/>
      </c>
      <c r="AE70" s="228">
        <f>SUM(AE$64,AE$65,AE$66,AE$67,AE$68,AE$69)</f>
        <v/>
      </c>
      <c r="AF70" s="228">
        <f>SUM(AF$64,AF$65,AF$66,AF$67,AF$68,AF$69)</f>
        <v/>
      </c>
      <c r="AG70" s="228">
        <f>SUM(AG$64,AG$65,AG$66,AG$67,AG$68,AG$69)</f>
        <v/>
      </c>
      <c r="AH70" s="228">
        <f>SUM(AH$64,AH$65,AH$66,AH$67,AH$68,AH$69)</f>
        <v/>
      </c>
      <c r="AI70" s="228">
        <f>SUM(AI$64,AI$65,AI$66,AI$67,AI$68,AI$69)</f>
        <v/>
      </c>
      <c r="AJ70" s="228">
        <f>SUM(AJ$64,AJ$65,AJ$66,AJ$67,AJ$68,AJ$69)</f>
        <v/>
      </c>
      <c r="AK70" s="228">
        <f>SUM(AK$64,AK$65,AK$66,AK$67,AK$68,AK$69)</f>
        <v/>
      </c>
      <c r="AL70" s="228">
        <f>SUM(AL$64,AL$65,AL$66,AL$67,AL$68,AL$69)</f>
        <v/>
      </c>
      <c r="AM70" s="228">
        <f>SUM(AM$64,AM$65,AM$66,AM$67,AM$68,AM$69)</f>
        <v/>
      </c>
      <c r="AN70" s="228">
        <f>SUM(AN$64,AN$65,AN$66,AN$67,AN$68,AN$69)</f>
        <v/>
      </c>
      <c r="AO70" s="228">
        <f>SUM(AO$64,AO$65,AO$66,AO$67,AO$68,AO$69)</f>
        <v/>
      </c>
      <c r="AP70" s="228">
        <f>SUM(AP$64,AP$65,AP$66,AP$67,AP$68,AP$69)</f>
        <v/>
      </c>
      <c r="AQ70" s="228">
        <f>SUM(AQ$64,AQ$65,AQ$66,AQ$67,AQ$68,AQ$69)</f>
        <v/>
      </c>
      <c r="AR70" s="228">
        <f>SUM(AR$64,AR$65,AR$66,AR$67,AR$68,AR$69)</f>
        <v/>
      </c>
      <c r="AS70" s="228">
        <f>SUM(AS$64,AS$65,AS$66,AS$67,AS$68,AS$69)</f>
        <v/>
      </c>
      <c r="AT70" s="228">
        <f>SUM(AT$64,AT$65,AT$66,AT$67,AT$68,AT$69)</f>
        <v/>
      </c>
      <c r="AU70" s="228">
        <f>SUM(AU$64,AU$65,AU$66,AU$67,AU$68,AU$69)</f>
        <v/>
      </c>
      <c r="AV70" s="228">
        <f>SUM(AV$64,AV$65,AV$66,AV$67,AV$68,AV$69)</f>
        <v/>
      </c>
      <c r="AW70" s="228">
        <f>SUM(AW$64,AW$65,AW$66,AW$67,AW$68,AW$69)</f>
        <v/>
      </c>
      <c r="AX70" s="228">
        <f>SUM(AX$64,AX$65,AX$66,AX$67,AX$68,AX$69)</f>
        <v/>
      </c>
      <c r="AY70" s="228">
        <f>SUM(AY$64,AY$65,AY$66,AY$67,AY$68,AY$69)</f>
        <v/>
      </c>
      <c r="AZ70" s="228">
        <f>SUM(AZ$64,AZ$65,AZ$66,AZ$67,AZ$68,AZ$69)</f>
        <v/>
      </c>
      <c r="BA70" s="228">
        <f>SUM(BA$64,BA$65,BA$66,BA$67,BA$68,BA$69)</f>
        <v/>
      </c>
      <c r="BB70" s="228">
        <f>SUM(BB$64,BB$65,BB$66,BB$67,BB$68,BB$69)</f>
        <v/>
      </c>
      <c r="BC70" s="228">
        <f>SUM(BC$64,BC$65,BC$66,BC$67,BC$68,BC$69)</f>
        <v/>
      </c>
      <c r="BD70" s="228">
        <f>SUM(BD$64,BD$65,BD$66,BD$67,BD$68,BD$69)</f>
        <v/>
      </c>
      <c r="BE70" s="228">
        <f>SUM(BE$64,BE$65,BE$66,BE$67,BE$68,BE$69)</f>
        <v/>
      </c>
      <c r="BF70" s="228">
        <f>SUM(BF$64,BF$65,BF$66,BF$67,BF$68,BF$69)</f>
        <v/>
      </c>
      <c r="BG70" s="228">
        <f>SUM(BG$64,BG$65,BG$66,BG$67,BG$68,BG$69)</f>
        <v/>
      </c>
      <c r="BH70" s="228">
        <f>SUM(BH$64,BH$65,BH$66,BH$67,BH$68,BH$69)</f>
        <v/>
      </c>
      <c r="BI70" s="228">
        <f>SUM(BI$64,BI$65,BI$66,BI$67,BI$68,BI$69)</f>
        <v/>
      </c>
      <c r="BJ70" s="228">
        <f>SUM(BJ$64,BJ$65,BJ$66,BJ$67,BJ$68,BJ$69)</f>
        <v/>
      </c>
      <c r="BK70" s="228">
        <f>SUM(BK$64,BK$65,BK$66,BK$67,BK$68,BK$69)</f>
        <v/>
      </c>
      <c r="BL70" s="228">
        <f>SUM(BL$64,BL$65,BL$66,BL$67,BL$68,BL$69)</f>
        <v/>
      </c>
      <c r="BM70" s="228">
        <f>SUM(BM$64,BM$65,BM$66,BM$67,BM$68,BM$69)</f>
        <v/>
      </c>
      <c r="BN70" s="228">
        <f>SUM(BN$64,BN$65,BN$66,BN$67,BN$68,BN$69)</f>
        <v/>
      </c>
      <c r="BO70" s="228">
        <f>SUM(BO$64,BO$65,BO$66,BO$67,BO$68,BO$69)</f>
        <v/>
      </c>
      <c r="BP70" s="228">
        <f>SUM(BP$64,BP$65,BP$66,BP$67,BP$68,BP$69)</f>
        <v/>
      </c>
      <c r="BQ70" s="228">
        <f>SUM(BQ$64,BQ$65,BQ$66,BQ$67,BQ$68,BQ$69)</f>
        <v/>
      </c>
      <c r="BR70" s="228">
        <f>SUM(BR$64,BR$65,BR$66,BR$67,BR$68,BR$69)</f>
        <v/>
      </c>
      <c r="BS70" s="228">
        <f>SUM(BS$64,BS$65,BS$66,BS$67,BS$68,BS$69)</f>
        <v/>
      </c>
      <c r="BT70" s="228">
        <f>SUM(BT$64,BT$65,BT$66,BT$67,BT$68,BT$69)</f>
        <v/>
      </c>
      <c r="BU70" s="228">
        <f>SUM(BU$64,BU$65,BU$66,BU$67,BU$68,BU$69)</f>
        <v/>
      </c>
      <c r="BV70" s="228">
        <f>SUM(BV$64,BV$65,BV$66,BV$67,BV$68,BV$69)</f>
        <v/>
      </c>
      <c r="BW70" s="228">
        <f>SUM(BW$64,BW$65,BW$66,BW$67,BW$68,BW$69)</f>
        <v/>
      </c>
      <c r="BX70" s="228">
        <f>SUM(BX$64,BX$65,BX$66,BX$67,BX$68,BX$69)</f>
        <v/>
      </c>
      <c r="BY70" s="228">
        <f>SUM(BY$64,BY$65,BY$66,BY$67,BY$68,BY$69)</f>
        <v/>
      </c>
      <c r="BZ70" s="228">
        <f>SUM(BZ$64,BZ$65,BZ$66,BZ$67,BZ$68,BZ$69)</f>
        <v/>
      </c>
      <c r="CA70" s="228">
        <f>SUM(CA$64,CA$65,CA$66,CA$67,CA$68,CA$69)</f>
        <v/>
      </c>
      <c r="CB70" s="228">
        <f>SUM(CB$64,CB$65,CB$66,CB$67,CB$68,CB$69)</f>
        <v/>
      </c>
      <c r="CC70" s="228">
        <f>SUM(CC$64,CC$65,CC$66,CC$67,CC$68,CC$69)</f>
        <v/>
      </c>
      <c r="CD70" s="228">
        <f>SUM(CD$64,CD$65,CD$66,CD$67,CD$68,CD$69)</f>
        <v/>
      </c>
      <c r="CE70" s="228">
        <f>SUM(CE$64,CE$65,CE$66,CE$67,CE$68,CE$69)</f>
        <v/>
      </c>
      <c r="CF70" s="228">
        <f>SUM(CF$64,CF$65,CF$66,CF$67,CF$68,CF$69)</f>
        <v/>
      </c>
      <c r="CG70" s="228">
        <f>SUM(CG$64,CG$65,CG$66,CG$67,CG$68,CG$69)</f>
        <v/>
      </c>
      <c r="CH70" s="228">
        <f>SUM(CH$64,CH$65,CH$66,CH$67,CH$68,CH$69)</f>
        <v/>
      </c>
      <c r="CI70" s="228">
        <f>SUM(CI$64,CI$65,CI$66,CI$67,CI$68,CI$69)</f>
        <v/>
      </c>
      <c r="CJ70" s="228">
        <f>SUM(CJ$64,CJ$65,CJ$66,CJ$67,CJ$68,CJ$69)</f>
        <v/>
      </c>
      <c r="CK70" s="228">
        <f>SUM(CK$64,CK$65,CK$66,CK$67,CK$68,CK$69)</f>
        <v/>
      </c>
      <c r="CL70" s="228">
        <f>SUM(CL$64,CL$65,CL$66,CL$67,CL$68,CL$69)</f>
        <v/>
      </c>
      <c r="CM70" s="228">
        <f>SUM(CM$64,CM$65,CM$66,CM$67,CM$68,CM$69)</f>
        <v/>
      </c>
      <c r="CN70" s="228">
        <f>SUM(CN$64,CN$65,CN$66,CN$67,CN$68,CN$69)</f>
        <v/>
      </c>
      <c r="CO70" s="228">
        <f>SUM(CO$64,CO$65,CO$66,CO$67,CO$68,CO$69)</f>
        <v/>
      </c>
      <c r="CP70" s="228">
        <f>SUM(CP$64,CP$65,CP$66,CP$67,CP$68,CP$69)</f>
        <v/>
      </c>
      <c r="CQ70" s="228">
        <f>SUM(CQ$64,CQ$65,CQ$66,CQ$67,CQ$68,CQ$69)</f>
        <v/>
      </c>
      <c r="CR70" s="228">
        <f>SUM(CR$64,CR$65,CR$66,CR$67,CR$68,CR$69)</f>
        <v/>
      </c>
      <c r="CS70" s="228">
        <f>SUM(CS$64,CS$65,CS$66,CS$67,CS$68,CS$69)</f>
        <v/>
      </c>
      <c r="CT70" s="228">
        <f>SUM(CT$64,CT$65,CT$66,CT$67,CT$68,CT$69)</f>
        <v/>
      </c>
      <c r="CU70" s="228">
        <f>SUM(CU$64,CU$65,CU$66,CU$67,CU$68,CU$69)</f>
        <v/>
      </c>
      <c r="CV70" s="228">
        <f>SUM(CV$64,CV$65,CV$66,CV$67,CV$68,CV$69)</f>
        <v/>
      </c>
      <c r="CW70" s="228">
        <f>SUM(CW$64,CW$65,CW$66,CW$67,CW$68,CW$69)</f>
        <v/>
      </c>
      <c r="CX70" s="228">
        <f>SUM(CX$64,CX$65,CX$66,CX$67,CX$68,CX$69)</f>
        <v/>
      </c>
      <c r="CY70" s="228">
        <f>SUM(CY$64,CY$65,CY$66,CY$67,CY$68,CY$69)</f>
        <v/>
      </c>
      <c r="CZ70" s="228">
        <f>SUM(CZ$64,CZ$65,CZ$66,CZ$67,CZ$68,CZ$69)</f>
        <v/>
      </c>
      <c r="DA70" s="228">
        <f>SUM(DA$64,DA$65,DA$66,DA$67,DA$68,DA$69)</f>
        <v/>
      </c>
      <c r="DB70" s="228">
        <f>SUM(DB$64,DB$65,DB$66,DB$67,DB$68,DB$69)</f>
        <v/>
      </c>
      <c r="DC70" s="228">
        <f>SUM(DC$64,DC$65,DC$66,DC$67,DC$68,DC$69)</f>
        <v/>
      </c>
      <c r="DD70" s="228">
        <f>SUM(DD$64,DD$65,DD$66,DD$67,DD$68,DD$69)</f>
        <v/>
      </c>
      <c r="DE70" s="228">
        <f>SUM(DE$64,DE$65,DE$66,DE$67,DE$68,DE$69)</f>
        <v/>
      </c>
      <c r="DF70" s="228">
        <f>SUM(DF$64,DF$65,DF$66,DF$67,DF$68,DF$69)</f>
        <v/>
      </c>
      <c r="DG70" s="228">
        <f>SUM(DG$64,DG$65,DG$66,DG$67,DG$68,DG$69)</f>
        <v/>
      </c>
      <c r="DH70" s="228">
        <f>SUM(DH$64,DH$65,DH$66,DH$67,DH$68,DH$69)</f>
        <v/>
      </c>
      <c r="DI70" s="228">
        <f>SUM(DI$64,DI$65,DI$66,DI$67,DI$68,DI$69)</f>
        <v/>
      </c>
      <c r="DJ70" s="228">
        <f>SUM(DJ$64,DJ$65,DJ$66,DJ$67,DJ$68,DJ$69)</f>
        <v/>
      </c>
      <c r="DK70" s="228">
        <f>SUM(DK$64,DK$65,DK$66,DK$67,DK$68,DK$69)</f>
        <v/>
      </c>
      <c r="DL70" s="228">
        <f>SUM(DL$64,DL$65,DL$66,DL$67,DL$68,DL$69)</f>
        <v/>
      </c>
      <c r="DM70" s="228">
        <f>SUM(DM$64,DM$65,DM$66,DM$67,DM$68,DM$69)</f>
        <v/>
      </c>
      <c r="DN70" s="228">
        <f>SUM(DN$64,DN$65,DN$66,DN$67,DN$68,DN$69)</f>
        <v/>
      </c>
      <c r="DO70" s="228">
        <f>SUM(DO$64,DO$65,DO$66,DO$67,DO$68,DO$69)</f>
        <v/>
      </c>
      <c r="DP70" s="228">
        <f>SUM(DP$64,DP$65,DP$66,DP$67,DP$68,DP$69)</f>
        <v/>
      </c>
      <c r="DQ70" s="228">
        <f>SUM(DQ$64,DQ$65,DQ$66,DQ$67,DQ$68,DQ$69)</f>
        <v/>
      </c>
      <c r="DR70" s="228">
        <f>SUM(DR$64,DR$65,DR$66,DR$67,DR$68,DR$69)</f>
        <v/>
      </c>
      <c r="DS70" s="228">
        <f>SUM(DS$64,DS$65,DS$66,DS$67,DS$68,DS$69)</f>
        <v/>
      </c>
      <c r="DT70" s="228">
        <f>SUM(DT$64,DT$65,DT$66,DT$67,DT$68,DT$69)</f>
        <v/>
      </c>
    </row>
    <row r="72" ht="15" customHeight="1" s="148">
      <c r="A72" s="110" t="inlineStr">
        <is>
          <t>Unlevered Operating Cash Flow</t>
        </is>
      </c>
      <c r="C72" s="228">
        <f>SUM(D72:DT72)</f>
        <v/>
      </c>
      <c r="D72" s="228">
        <f>D$56+D$70</f>
        <v/>
      </c>
      <c r="E72" s="228">
        <f>E$56+E$70</f>
        <v/>
      </c>
      <c r="F72" s="228">
        <f>F$56+F$70</f>
        <v/>
      </c>
      <c r="G72" s="228">
        <f>G$56+G$70</f>
        <v/>
      </c>
      <c r="H72" s="228">
        <f>H$56+H$70</f>
        <v/>
      </c>
      <c r="I72" s="228">
        <f>I$56+I$70</f>
        <v/>
      </c>
      <c r="J72" s="228">
        <f>J$56+J$70</f>
        <v/>
      </c>
      <c r="K72" s="228">
        <f>K$56+K$70</f>
        <v/>
      </c>
      <c r="L72" s="228">
        <f>L$56+L$70</f>
        <v/>
      </c>
      <c r="M72" s="228">
        <f>M$56+M$70</f>
        <v/>
      </c>
      <c r="N72" s="228">
        <f>N$56+N$70</f>
        <v/>
      </c>
      <c r="O72" s="228">
        <f>O$56+O$70</f>
        <v/>
      </c>
      <c r="P72" s="228">
        <f>P$56+P$70</f>
        <v/>
      </c>
      <c r="Q72" s="228">
        <f>Q$56+Q$70</f>
        <v/>
      </c>
      <c r="R72" s="228">
        <f>R$56+R$70</f>
        <v/>
      </c>
      <c r="S72" s="228">
        <f>S$56+S$70</f>
        <v/>
      </c>
      <c r="T72" s="228">
        <f>T$56+T$70</f>
        <v/>
      </c>
      <c r="U72" s="228">
        <f>U$56+U$70</f>
        <v/>
      </c>
      <c r="V72" s="228">
        <f>V$56+V$70</f>
        <v/>
      </c>
      <c r="W72" s="228">
        <f>W$56+W$70</f>
        <v/>
      </c>
      <c r="X72" s="228">
        <f>X$56+X$70</f>
        <v/>
      </c>
      <c r="Y72" s="228">
        <f>Y$56+Y$70</f>
        <v/>
      </c>
      <c r="Z72" s="228">
        <f>Z$56+Z$70</f>
        <v/>
      </c>
      <c r="AA72" s="228">
        <f>AA$56+AA$70</f>
        <v/>
      </c>
      <c r="AB72" s="228">
        <f>AB$56+AB$70</f>
        <v/>
      </c>
      <c r="AC72" s="228">
        <f>AC$56+AC$70</f>
        <v/>
      </c>
      <c r="AD72" s="228">
        <f>AD$56+AD$70</f>
        <v/>
      </c>
      <c r="AE72" s="228">
        <f>AE$56+AE$70</f>
        <v/>
      </c>
      <c r="AF72" s="228">
        <f>AF$56+AF$70</f>
        <v/>
      </c>
      <c r="AG72" s="228">
        <f>AG$56+AG$70</f>
        <v/>
      </c>
      <c r="AH72" s="228">
        <f>AH$56+AH$70</f>
        <v/>
      </c>
      <c r="AI72" s="228">
        <f>AI$56+AI$70</f>
        <v/>
      </c>
      <c r="AJ72" s="228">
        <f>AJ$56+AJ$70</f>
        <v/>
      </c>
      <c r="AK72" s="228">
        <f>AK$56+AK$70</f>
        <v/>
      </c>
      <c r="AL72" s="228">
        <f>AL$56+AL$70</f>
        <v/>
      </c>
      <c r="AM72" s="228">
        <f>AM$56+AM$70</f>
        <v/>
      </c>
      <c r="AN72" s="228">
        <f>AN$56+AN$70</f>
        <v/>
      </c>
      <c r="AO72" s="228">
        <f>AO$56+AO$70</f>
        <v/>
      </c>
      <c r="AP72" s="228">
        <f>AP$56+AP$70</f>
        <v/>
      </c>
      <c r="AQ72" s="228">
        <f>AQ$56+AQ$70</f>
        <v/>
      </c>
      <c r="AR72" s="228">
        <f>AR$56+AR$70</f>
        <v/>
      </c>
      <c r="AS72" s="228">
        <f>AS$56+AS$70</f>
        <v/>
      </c>
      <c r="AT72" s="228">
        <f>AT$56+AT$70</f>
        <v/>
      </c>
      <c r="AU72" s="228">
        <f>AU$56+AU$70</f>
        <v/>
      </c>
      <c r="AV72" s="228">
        <f>AV$56+AV$70</f>
        <v/>
      </c>
      <c r="AW72" s="228">
        <f>AW$56+AW$70</f>
        <v/>
      </c>
      <c r="AX72" s="228">
        <f>AX$56+AX$70</f>
        <v/>
      </c>
      <c r="AY72" s="228">
        <f>AY$56+AY$70</f>
        <v/>
      </c>
      <c r="AZ72" s="228">
        <f>AZ$56+AZ$70</f>
        <v/>
      </c>
      <c r="BA72" s="228">
        <f>BA$56+BA$70</f>
        <v/>
      </c>
      <c r="BB72" s="228">
        <f>BB$56+BB$70</f>
        <v/>
      </c>
      <c r="BC72" s="228">
        <f>BC$56+BC$70</f>
        <v/>
      </c>
      <c r="BD72" s="228">
        <f>BD$56+BD$70</f>
        <v/>
      </c>
      <c r="BE72" s="228">
        <f>BE$56+BE$70</f>
        <v/>
      </c>
      <c r="BF72" s="228">
        <f>BF$56+BF$70</f>
        <v/>
      </c>
      <c r="BG72" s="228">
        <f>BG$56+BG$70</f>
        <v/>
      </c>
      <c r="BH72" s="228">
        <f>BH$56+BH$70</f>
        <v/>
      </c>
      <c r="BI72" s="228">
        <f>BI$56+BI$70</f>
        <v/>
      </c>
      <c r="BJ72" s="228">
        <f>BJ$56+BJ$70</f>
        <v/>
      </c>
      <c r="BK72" s="228">
        <f>BK$56+BK$70</f>
        <v/>
      </c>
      <c r="BL72" s="228">
        <f>BL$56+BL$70</f>
        <v/>
      </c>
      <c r="BM72" s="228">
        <f>BM$56+BM$70</f>
        <v/>
      </c>
      <c r="BN72" s="228">
        <f>BN$56+BN$70</f>
        <v/>
      </c>
      <c r="BO72" s="228">
        <f>BO$56+BO$70</f>
        <v/>
      </c>
      <c r="BP72" s="228">
        <f>BP$56+BP$70</f>
        <v/>
      </c>
      <c r="BQ72" s="228">
        <f>BQ$56+BQ$70</f>
        <v/>
      </c>
      <c r="BR72" s="228">
        <f>BR$56+BR$70</f>
        <v/>
      </c>
      <c r="BS72" s="228">
        <f>BS$56+BS$70</f>
        <v/>
      </c>
      <c r="BT72" s="228">
        <f>BT$56+BT$70</f>
        <v/>
      </c>
      <c r="BU72" s="228">
        <f>BU$56+BU$70</f>
        <v/>
      </c>
      <c r="BV72" s="228">
        <f>BV$56+BV$70</f>
        <v/>
      </c>
      <c r="BW72" s="228">
        <f>BW$56+BW$70</f>
        <v/>
      </c>
      <c r="BX72" s="228">
        <f>BX$56+BX$70</f>
        <v/>
      </c>
      <c r="BY72" s="228">
        <f>BY$56+BY$70</f>
        <v/>
      </c>
      <c r="BZ72" s="228">
        <f>BZ$56+BZ$70</f>
        <v/>
      </c>
      <c r="CA72" s="228">
        <f>CA$56+CA$70</f>
        <v/>
      </c>
      <c r="CB72" s="228">
        <f>CB$56+CB$70</f>
        <v/>
      </c>
      <c r="CC72" s="228">
        <f>CC$56+CC$70</f>
        <v/>
      </c>
      <c r="CD72" s="228">
        <f>CD$56+CD$70</f>
        <v/>
      </c>
      <c r="CE72" s="228">
        <f>CE$56+CE$70</f>
        <v/>
      </c>
      <c r="CF72" s="228">
        <f>CF$56+CF$70</f>
        <v/>
      </c>
      <c r="CG72" s="228">
        <f>CG$56+CG$70</f>
        <v/>
      </c>
      <c r="CH72" s="228">
        <f>CH$56+CH$70</f>
        <v/>
      </c>
      <c r="CI72" s="228">
        <f>CI$56+CI$70</f>
        <v/>
      </c>
      <c r="CJ72" s="228">
        <f>CJ$56+CJ$70</f>
        <v/>
      </c>
      <c r="CK72" s="228">
        <f>CK$56+CK$70</f>
        <v/>
      </c>
      <c r="CL72" s="228">
        <f>CL$56+CL$70</f>
        <v/>
      </c>
      <c r="CM72" s="228">
        <f>CM$56+CM$70</f>
        <v/>
      </c>
      <c r="CN72" s="228">
        <f>CN$56+CN$70</f>
        <v/>
      </c>
      <c r="CO72" s="228">
        <f>CO$56+CO$70</f>
        <v/>
      </c>
      <c r="CP72" s="228">
        <f>CP$56+CP$70</f>
        <v/>
      </c>
      <c r="CQ72" s="228">
        <f>CQ$56+CQ$70</f>
        <v/>
      </c>
      <c r="CR72" s="228">
        <f>CR$56+CR$70</f>
        <v/>
      </c>
      <c r="CS72" s="228">
        <f>CS$56+CS$70</f>
        <v/>
      </c>
      <c r="CT72" s="228">
        <f>CT$56+CT$70</f>
        <v/>
      </c>
      <c r="CU72" s="228">
        <f>CU$56+CU$70</f>
        <v/>
      </c>
      <c r="CV72" s="228">
        <f>CV$56+CV$70</f>
        <v/>
      </c>
      <c r="CW72" s="228">
        <f>CW$56+CW$70</f>
        <v/>
      </c>
      <c r="CX72" s="228">
        <f>CX$56+CX$70</f>
        <v/>
      </c>
      <c r="CY72" s="228">
        <f>CY$56+CY$70</f>
        <v/>
      </c>
      <c r="CZ72" s="228">
        <f>CZ$56+CZ$70</f>
        <v/>
      </c>
      <c r="DA72" s="228">
        <f>DA$56+DA$70</f>
        <v/>
      </c>
      <c r="DB72" s="228">
        <f>DB$56+DB$70</f>
        <v/>
      </c>
      <c r="DC72" s="228">
        <f>DC$56+DC$70</f>
        <v/>
      </c>
      <c r="DD72" s="228">
        <f>DD$56+DD$70</f>
        <v/>
      </c>
      <c r="DE72" s="228">
        <f>DE$56+DE$70</f>
        <v/>
      </c>
      <c r="DF72" s="228">
        <f>DF$56+DF$70</f>
        <v/>
      </c>
      <c r="DG72" s="228">
        <f>DG$56+DG$70</f>
        <v/>
      </c>
      <c r="DH72" s="228">
        <f>DH$56+DH$70</f>
        <v/>
      </c>
      <c r="DI72" s="228">
        <f>DI$56+DI$70</f>
        <v/>
      </c>
      <c r="DJ72" s="228">
        <f>DJ$56+DJ$70</f>
        <v/>
      </c>
      <c r="DK72" s="228">
        <f>DK$56+DK$70</f>
        <v/>
      </c>
      <c r="DL72" s="228">
        <f>DL$56+DL$70</f>
        <v/>
      </c>
      <c r="DM72" s="228">
        <f>DM$56+DM$70</f>
        <v/>
      </c>
      <c r="DN72" s="228">
        <f>DN$56+DN$70</f>
        <v/>
      </c>
      <c r="DO72" s="228">
        <f>DO$56+DO$70</f>
        <v/>
      </c>
      <c r="DP72" s="228">
        <f>DP$56+DP$70</f>
        <v/>
      </c>
      <c r="DQ72" s="228">
        <f>DQ$56+DQ$70</f>
        <v/>
      </c>
      <c r="DR72" s="228">
        <f>DR$56+DR$70</f>
        <v/>
      </c>
      <c r="DS72" s="228">
        <f>DS$56+DS$70</f>
        <v/>
      </c>
      <c r="DT72" s="228">
        <f>DT$56+DT$70</f>
        <v/>
      </c>
    </row>
    <row r="73" ht="15" customHeight="1" s="148">
      <c r="A73" s="115" t="inlineStr">
        <is>
          <t>DSCR</t>
        </is>
      </c>
      <c r="C73" s="116" t="n"/>
      <c r="D73" s="229">
        <f>IF(IF(D$11=0,0,IF(D$11&lt;=36,-D$183,-D$191))=0,"N/A",D$72/IF(D$11=0,0,IF(D$11&lt;=36,-D$183,-D$191)))</f>
        <v/>
      </c>
      <c r="E73" s="229">
        <f>IF(IF(E$11=0,0,IF(E$11&lt;=36,-E$183,-E$191))=0,"N/A",E$72/IF(E$11=0,0,IF(E$11&lt;=36,-E$183,-E$191)))</f>
        <v/>
      </c>
      <c r="F73" s="229">
        <f>IF(IF(F$11=0,0,IF(F$11&lt;=36,-F$183,-F$191))=0,"N/A",F$72/IF(F$11=0,0,IF(F$11&lt;=36,-F$183,-F$191)))</f>
        <v/>
      </c>
      <c r="G73" s="229">
        <f>IF(IF(G$11=0,0,IF(G$11&lt;=36,-G$183,-G$191))=0,"N/A",G$72/IF(G$11=0,0,IF(G$11&lt;=36,-G$183,-G$191)))</f>
        <v/>
      </c>
      <c r="H73" s="229">
        <f>IF(IF(H$11=0,0,IF(H$11&lt;=36,-H$183,-H$191))=0,"N/A",H$72/IF(H$11=0,0,IF(H$11&lt;=36,-H$183,-H$191)))</f>
        <v/>
      </c>
      <c r="I73" s="229">
        <f>IF(IF(I$11=0,0,IF(I$11&lt;=36,-I$183,-I$191))=0,"N/A",I$72/IF(I$11=0,0,IF(I$11&lt;=36,-I$183,-I$191)))</f>
        <v/>
      </c>
      <c r="J73" s="229">
        <f>IF(IF(J$11=0,0,IF(J$11&lt;=36,-J$183,-J$191))=0,"N/A",J$72/IF(J$11=0,0,IF(J$11&lt;=36,-J$183,-J$191)))</f>
        <v/>
      </c>
      <c r="K73" s="229">
        <f>IF(IF(K$11=0,0,IF(K$11&lt;=36,-K$183,-K$191))=0,"N/A",K$72/IF(K$11=0,0,IF(K$11&lt;=36,-K$183,-K$191)))</f>
        <v/>
      </c>
      <c r="L73" s="229">
        <f>IF(IF(L$11=0,0,IF(L$11&lt;=36,-L$183,-L$191))=0,"N/A",L$72/IF(L$11=0,0,IF(L$11&lt;=36,-L$183,-L$191)))</f>
        <v/>
      </c>
      <c r="M73" s="229">
        <f>IF(IF(M$11=0,0,IF(M$11&lt;=36,-M$183,-M$191))=0,"N/A",M$72/IF(M$11=0,0,IF(M$11&lt;=36,-M$183,-M$191)))</f>
        <v/>
      </c>
      <c r="N73" s="229">
        <f>IF(IF(N$11=0,0,IF(N$11&lt;=36,-N$183,-N$191))=0,"N/A",N$72/IF(N$11=0,0,IF(N$11&lt;=36,-N$183,-N$191)))</f>
        <v/>
      </c>
      <c r="O73" s="229">
        <f>IF(IF(O$11=0,0,IF(O$11&lt;=36,-O$183,-O$191))=0,"N/A",O$72/IF(O$11=0,0,IF(O$11&lt;=36,-O$183,-O$191)))</f>
        <v/>
      </c>
      <c r="P73" s="229">
        <f>IF(IF(P$11=0,0,IF(P$11&lt;=36,-P$183,-P$191))=0,"N/A",P$72/IF(P$11=0,0,IF(P$11&lt;=36,-P$183,-P$191)))</f>
        <v/>
      </c>
      <c r="Q73" s="229">
        <f>IF(IF(Q$11=0,0,IF(Q$11&lt;=36,-Q$183,-Q$191))=0,"N/A",Q$72/IF(Q$11=0,0,IF(Q$11&lt;=36,-Q$183,-Q$191)))</f>
        <v/>
      </c>
      <c r="R73" s="229">
        <f>IF(IF(R$11=0,0,IF(R$11&lt;=36,-R$183,-R$191))=0,"N/A",R$72/IF(R$11=0,0,IF(R$11&lt;=36,-R$183,-R$191)))</f>
        <v/>
      </c>
      <c r="S73" s="229">
        <f>IF(IF(S$11=0,0,IF(S$11&lt;=36,-S$183,-S$191))=0,"N/A",S$72/IF(S$11=0,0,IF(S$11&lt;=36,-S$183,-S$191)))</f>
        <v/>
      </c>
      <c r="T73" s="229">
        <f>IF(IF(T$11=0,0,IF(T$11&lt;=36,-T$183,-T$191))=0,"N/A",T$72/IF(T$11=0,0,IF(T$11&lt;=36,-T$183,-T$191)))</f>
        <v/>
      </c>
      <c r="U73" s="229">
        <f>IF(IF(U$11=0,0,IF(U$11&lt;=36,-U$183,-U$191))=0,"N/A",U$72/IF(U$11=0,0,IF(U$11&lt;=36,-U$183,-U$191)))</f>
        <v/>
      </c>
      <c r="V73" s="229">
        <f>IF(IF(V$11=0,0,IF(V$11&lt;=36,-V$183,-V$191))=0,"N/A",V$72/IF(V$11=0,0,IF(V$11&lt;=36,-V$183,-V$191)))</f>
        <v/>
      </c>
      <c r="W73" s="229">
        <f>IF(IF(W$11=0,0,IF(W$11&lt;=36,-W$183,-W$191))=0,"N/A",W$72/IF(W$11=0,0,IF(W$11&lt;=36,-W$183,-W$191)))</f>
        <v/>
      </c>
      <c r="X73" s="229">
        <f>IF(IF(X$11=0,0,IF(X$11&lt;=36,-X$183,-X$191))=0,"N/A",X$72/IF(X$11=0,0,IF(X$11&lt;=36,-X$183,-X$191)))</f>
        <v/>
      </c>
      <c r="Y73" s="229">
        <f>IF(IF(Y$11=0,0,IF(Y$11&lt;=36,-Y$183,-Y$191))=0,"N/A",Y$72/IF(Y$11=0,0,IF(Y$11&lt;=36,-Y$183,-Y$191)))</f>
        <v/>
      </c>
      <c r="Z73" s="229">
        <f>IF(IF(Z$11=0,0,IF(Z$11&lt;=36,-Z$183,-Z$191))=0,"N/A",Z$72/IF(Z$11=0,0,IF(Z$11&lt;=36,-Z$183,-Z$191)))</f>
        <v/>
      </c>
      <c r="AA73" s="229">
        <f>IF(IF(AA$11=0,0,IF(AA$11&lt;=36,-AA$183,-AA$191))=0,"N/A",AA$72/IF(AA$11=0,0,IF(AA$11&lt;=36,-AA$183,-AA$191)))</f>
        <v/>
      </c>
      <c r="AB73" s="229">
        <f>IF(IF(AB$11=0,0,IF(AB$11&lt;=36,-AB$183,-AB$191))=0,"N/A",AB$72/IF(AB$11=0,0,IF(AB$11&lt;=36,-AB$183,-AB$191)))</f>
        <v/>
      </c>
      <c r="AC73" s="229">
        <f>IF(IF(AC$11=0,0,IF(AC$11&lt;=36,-AC$183,-AC$191))=0,"N/A",AC$72/IF(AC$11=0,0,IF(AC$11&lt;=36,-AC$183,-AC$191)))</f>
        <v/>
      </c>
      <c r="AD73" s="229">
        <f>IF(IF(AD$11=0,0,IF(AD$11&lt;=36,-AD$183,-AD$191))=0,"N/A",AD$72/IF(AD$11=0,0,IF(AD$11&lt;=36,-AD$183,-AD$191)))</f>
        <v/>
      </c>
      <c r="AE73" s="229">
        <f>IF(IF(AE$11=0,0,IF(AE$11&lt;=36,-AE$183,-AE$191))=0,"N/A",AE$72/IF(AE$11=0,0,IF(AE$11&lt;=36,-AE$183,-AE$191)))</f>
        <v/>
      </c>
      <c r="AF73" s="229">
        <f>IF(IF(AF$11=0,0,IF(AF$11&lt;=36,-AF$183,-AF$191))=0,"N/A",AF$72/IF(AF$11=0,0,IF(AF$11&lt;=36,-AF$183,-AF$191)))</f>
        <v/>
      </c>
      <c r="AG73" s="229">
        <f>IF(IF(AG$11=0,0,IF(AG$11&lt;=36,-AG$183,-AG$191))=0,"N/A",AG$72/IF(AG$11=0,0,IF(AG$11&lt;=36,-AG$183,-AG$191)))</f>
        <v/>
      </c>
      <c r="AH73" s="229">
        <f>IF(IF(AH$11=0,0,IF(AH$11&lt;=36,-AH$183,-AH$191))=0,"N/A",AH$72/IF(AH$11=0,0,IF(AH$11&lt;=36,-AH$183,-AH$191)))</f>
        <v/>
      </c>
      <c r="AI73" s="229">
        <f>IF(IF(AI$11=0,0,IF(AI$11&lt;=36,-AI$183,-AI$191))=0,"N/A",AI$72/IF(AI$11=0,0,IF(AI$11&lt;=36,-AI$183,-AI$191)))</f>
        <v/>
      </c>
      <c r="AJ73" s="229">
        <f>IF(IF(AJ$11=0,0,IF(AJ$11&lt;=36,-AJ$183,-AJ$191))=0,"N/A",AJ$72/IF(AJ$11=0,0,IF(AJ$11&lt;=36,-AJ$183,-AJ$191)))</f>
        <v/>
      </c>
      <c r="AK73" s="229">
        <f>IF(IF(AK$11=0,0,IF(AK$11&lt;=36,-AK$183,-AK$191))=0,"N/A",AK$72/IF(AK$11=0,0,IF(AK$11&lt;=36,-AK$183,-AK$191)))</f>
        <v/>
      </c>
      <c r="AL73" s="229">
        <f>IF(IF(AL$11=0,0,IF(AL$11&lt;=36,-AL$183,-AL$191))=0,"N/A",AL$72/IF(AL$11=0,0,IF(AL$11&lt;=36,-AL$183,-AL$191)))</f>
        <v/>
      </c>
      <c r="AM73" s="229">
        <f>IF(IF(AM$11=0,0,IF(AM$11&lt;=36,-AM$183,-AM$191))=0,"N/A",AM$72/IF(AM$11=0,0,IF(AM$11&lt;=36,-AM$183,-AM$191)))</f>
        <v/>
      </c>
      <c r="AN73" s="229">
        <f>IF(IF(AN$11=0,0,IF(AN$11&lt;=36,-AN$183,-AN$191))=0,"N/A",AN$72/IF(AN$11=0,0,IF(AN$11&lt;=36,-AN$183,-AN$191)))</f>
        <v/>
      </c>
      <c r="AO73" s="229">
        <f>IF(IF(AO$11=0,0,IF(AO$11&lt;=36,-AO$183,-AO$191))=0,"N/A",AO$72/IF(AO$11=0,0,IF(AO$11&lt;=36,-AO$183,-AO$191)))</f>
        <v/>
      </c>
      <c r="AP73" s="229">
        <f>IF(IF(AP$11=0,0,IF(AP$11&lt;=36,-AP$183,-AP$191))=0,"N/A",AP$72/IF(AP$11=0,0,IF(AP$11&lt;=36,-AP$183,-AP$191)))</f>
        <v/>
      </c>
      <c r="AQ73" s="229">
        <f>IF(IF(AQ$11=0,0,IF(AQ$11&lt;=36,-AQ$183,-AQ$191))=0,"N/A",AQ$72/IF(AQ$11=0,0,IF(AQ$11&lt;=36,-AQ$183,-AQ$191)))</f>
        <v/>
      </c>
      <c r="AR73" s="229">
        <f>IF(IF(AR$11=0,0,IF(AR$11&lt;=36,-AR$183,-AR$191))=0,"N/A",AR$72/IF(AR$11=0,0,IF(AR$11&lt;=36,-AR$183,-AR$191)))</f>
        <v/>
      </c>
      <c r="AS73" s="229">
        <f>IF(IF(AS$11=0,0,IF(AS$11&lt;=36,-AS$183,-AS$191))=0,"N/A",AS$72/IF(AS$11=0,0,IF(AS$11&lt;=36,-AS$183,-AS$191)))</f>
        <v/>
      </c>
      <c r="AT73" s="229">
        <f>IF(IF(AT$11=0,0,IF(AT$11&lt;=36,-AT$183,-AT$191))=0,"N/A",AT$72/IF(AT$11=0,0,IF(AT$11&lt;=36,-AT$183,-AT$191)))</f>
        <v/>
      </c>
      <c r="AU73" s="229">
        <f>IF(IF(AU$11=0,0,IF(AU$11&lt;=36,-AU$183,-AU$191))=0,"N/A",AU$72/IF(AU$11=0,0,IF(AU$11&lt;=36,-AU$183,-AU$191)))</f>
        <v/>
      </c>
      <c r="AV73" s="229">
        <f>IF(IF(AV$11=0,0,IF(AV$11&lt;=36,-AV$183,-AV$191))=0,"N/A",AV$72/IF(AV$11=0,0,IF(AV$11&lt;=36,-AV$183,-AV$191)))</f>
        <v/>
      </c>
      <c r="AW73" s="229">
        <f>IF(IF(AW$11=0,0,IF(AW$11&lt;=36,-AW$183,-AW$191))=0,"N/A",AW$72/IF(AW$11=0,0,IF(AW$11&lt;=36,-AW$183,-AW$191)))</f>
        <v/>
      </c>
      <c r="AX73" s="229">
        <f>IF(IF(AX$11=0,0,IF(AX$11&lt;=36,-AX$183,-AX$191))=0,"N/A",AX$72/IF(AX$11=0,0,IF(AX$11&lt;=36,-AX$183,-AX$191)))</f>
        <v/>
      </c>
      <c r="AY73" s="229">
        <f>IF(IF(AY$11=0,0,IF(AY$11&lt;=36,-AY$183,-AY$191))=0,"N/A",AY$72/IF(AY$11=0,0,IF(AY$11&lt;=36,-AY$183,-AY$191)))</f>
        <v/>
      </c>
      <c r="AZ73" s="229">
        <f>IF(IF(AZ$11=0,0,IF(AZ$11&lt;=36,-AZ$183,-AZ$191))=0,"N/A",AZ$72/IF(AZ$11=0,0,IF(AZ$11&lt;=36,-AZ$183,-AZ$191)))</f>
        <v/>
      </c>
      <c r="BA73" s="229">
        <f>IF(IF(BA$11=0,0,IF(BA$11&lt;=36,-BA$183,-BA$191))=0,"N/A",BA$72/IF(BA$11=0,0,IF(BA$11&lt;=36,-BA$183,-BA$191)))</f>
        <v/>
      </c>
      <c r="BB73" s="229">
        <f>IF(IF(BB$11=0,0,IF(BB$11&lt;=36,-BB$183,-BB$191))=0,"N/A",BB$72/IF(BB$11=0,0,IF(BB$11&lt;=36,-BB$183,-BB$191)))</f>
        <v/>
      </c>
      <c r="BC73" s="229">
        <f>IF(IF(BC$11=0,0,IF(BC$11&lt;=36,-BC$183,-BC$191))=0,"N/A",BC$72/IF(BC$11=0,0,IF(BC$11&lt;=36,-BC$183,-BC$191)))</f>
        <v/>
      </c>
      <c r="BD73" s="229">
        <f>IF(IF(BD$11=0,0,IF(BD$11&lt;=36,-BD$183,-BD$191))=0,"N/A",BD$72/IF(BD$11=0,0,IF(BD$11&lt;=36,-BD$183,-BD$191)))</f>
        <v/>
      </c>
      <c r="BE73" s="229">
        <f>IF(IF(BE$11=0,0,IF(BE$11&lt;=36,-BE$183,-BE$191))=0,"N/A",BE$72/IF(BE$11=0,0,IF(BE$11&lt;=36,-BE$183,-BE$191)))</f>
        <v/>
      </c>
      <c r="BF73" s="229">
        <f>IF(IF(BF$11=0,0,IF(BF$11&lt;=36,-BF$183,-BF$191))=0,"N/A",BF$72/IF(BF$11=0,0,IF(BF$11&lt;=36,-BF$183,-BF$191)))</f>
        <v/>
      </c>
      <c r="BG73" s="229">
        <f>IF(IF(BG$11=0,0,IF(BG$11&lt;=36,-BG$183,-BG$191))=0,"N/A",BG$72/IF(BG$11=0,0,IF(BG$11&lt;=36,-BG$183,-BG$191)))</f>
        <v/>
      </c>
      <c r="BH73" s="229">
        <f>IF(IF(BH$11=0,0,IF(BH$11&lt;=36,-BH$183,-BH$191))=0,"N/A",BH$72/IF(BH$11=0,0,IF(BH$11&lt;=36,-BH$183,-BH$191)))</f>
        <v/>
      </c>
      <c r="BI73" s="229">
        <f>IF(IF(BI$11=0,0,IF(BI$11&lt;=36,-BI$183,-BI$191))=0,"N/A",BI$72/IF(BI$11=0,0,IF(BI$11&lt;=36,-BI$183,-BI$191)))</f>
        <v/>
      </c>
      <c r="BJ73" s="229">
        <f>IF(IF(BJ$11=0,0,IF(BJ$11&lt;=36,-BJ$183,-BJ$191))=0,"N/A",BJ$72/IF(BJ$11=0,0,IF(BJ$11&lt;=36,-BJ$183,-BJ$191)))</f>
        <v/>
      </c>
      <c r="BK73" s="229">
        <f>IF(IF(BK$11=0,0,IF(BK$11&lt;=36,-BK$183,-BK$191))=0,"N/A",BK$72/IF(BK$11=0,0,IF(BK$11&lt;=36,-BK$183,-BK$191)))</f>
        <v/>
      </c>
      <c r="BL73" s="229">
        <f>IF(IF(BL$11=0,0,IF(BL$11&lt;=36,-BL$183,-BL$191))=0,"N/A",BL$72/IF(BL$11=0,0,IF(BL$11&lt;=36,-BL$183,-BL$191)))</f>
        <v/>
      </c>
      <c r="BM73" s="229">
        <f>IF(IF(BM$11=0,0,IF(BM$11&lt;=36,-BM$183,-BM$191))=0,"N/A",BM$72/IF(BM$11=0,0,IF(BM$11&lt;=36,-BM$183,-BM$191)))</f>
        <v/>
      </c>
      <c r="BN73" s="229">
        <f>IF(IF(BN$11=0,0,IF(BN$11&lt;=36,-BN$183,-BN$191))=0,"N/A",BN$72/IF(BN$11=0,0,IF(BN$11&lt;=36,-BN$183,-BN$191)))</f>
        <v/>
      </c>
      <c r="BO73" s="229">
        <f>IF(IF(BO$11=0,0,IF(BO$11&lt;=36,-BO$183,-BO$191))=0,"N/A",BO$72/IF(BO$11=0,0,IF(BO$11&lt;=36,-BO$183,-BO$191)))</f>
        <v/>
      </c>
      <c r="BP73" s="229">
        <f>IF(IF(BP$11=0,0,IF(BP$11&lt;=36,-BP$183,-BP$191))=0,"N/A",BP$72/IF(BP$11=0,0,IF(BP$11&lt;=36,-BP$183,-BP$191)))</f>
        <v/>
      </c>
      <c r="BQ73" s="229">
        <f>IF(IF(BQ$11=0,0,IF(BQ$11&lt;=36,-BQ$183,-BQ$191))=0,"N/A",BQ$72/IF(BQ$11=0,0,IF(BQ$11&lt;=36,-BQ$183,-BQ$191)))</f>
        <v/>
      </c>
      <c r="BR73" s="229">
        <f>IF(IF(BR$11=0,0,IF(BR$11&lt;=36,-BR$183,-BR$191))=0,"N/A",BR$72/IF(BR$11=0,0,IF(BR$11&lt;=36,-BR$183,-BR$191)))</f>
        <v/>
      </c>
      <c r="BS73" s="229">
        <f>IF(IF(BS$11=0,0,IF(BS$11&lt;=36,-BS$183,-BS$191))=0,"N/A",BS$72/IF(BS$11=0,0,IF(BS$11&lt;=36,-BS$183,-BS$191)))</f>
        <v/>
      </c>
      <c r="BT73" s="229">
        <f>IF(IF(BT$11=0,0,IF(BT$11&lt;=36,-BT$183,-BT$191))=0,"N/A",BT$72/IF(BT$11=0,0,IF(BT$11&lt;=36,-BT$183,-BT$191)))</f>
        <v/>
      </c>
      <c r="BU73" s="229">
        <f>IF(IF(BU$11=0,0,IF(BU$11&lt;=36,-BU$183,-BU$191))=0,"N/A",BU$72/IF(BU$11=0,0,IF(BU$11&lt;=36,-BU$183,-BU$191)))</f>
        <v/>
      </c>
      <c r="BV73" s="229">
        <f>IF(IF(BV$11=0,0,IF(BV$11&lt;=36,-BV$183,-BV$191))=0,"N/A",BV$72/IF(BV$11=0,0,IF(BV$11&lt;=36,-BV$183,-BV$191)))</f>
        <v/>
      </c>
      <c r="BW73" s="229">
        <f>IF(IF(BW$11=0,0,IF(BW$11&lt;=36,-BW$183,-BW$191))=0,"N/A",BW$72/IF(BW$11=0,0,IF(BW$11&lt;=36,-BW$183,-BW$191)))</f>
        <v/>
      </c>
      <c r="BX73" s="229">
        <f>IF(IF(BX$11=0,0,IF(BX$11&lt;=36,-BX$183,-BX$191))=0,"N/A",BX$72/IF(BX$11=0,0,IF(BX$11&lt;=36,-BX$183,-BX$191)))</f>
        <v/>
      </c>
      <c r="BY73" s="229">
        <f>IF(IF(BY$11=0,0,IF(BY$11&lt;=36,-BY$183,-BY$191))=0,"N/A",BY$72/IF(BY$11=0,0,IF(BY$11&lt;=36,-BY$183,-BY$191)))</f>
        <v/>
      </c>
      <c r="BZ73" s="229">
        <f>IF(IF(BZ$11=0,0,IF(BZ$11&lt;=36,-BZ$183,-BZ$191))=0,"N/A",BZ$72/IF(BZ$11=0,0,IF(BZ$11&lt;=36,-BZ$183,-BZ$191)))</f>
        <v/>
      </c>
      <c r="CA73" s="229">
        <f>IF(IF(CA$11=0,0,IF(CA$11&lt;=36,-CA$183,-CA$191))=0,"N/A",CA$72/IF(CA$11=0,0,IF(CA$11&lt;=36,-CA$183,-CA$191)))</f>
        <v/>
      </c>
      <c r="CB73" s="229">
        <f>IF(IF(CB$11=0,0,IF(CB$11&lt;=36,-CB$183,-CB$191))=0,"N/A",CB$72/IF(CB$11=0,0,IF(CB$11&lt;=36,-CB$183,-CB$191)))</f>
        <v/>
      </c>
      <c r="CC73" s="229">
        <f>IF(IF(CC$11=0,0,IF(CC$11&lt;=36,-CC$183,-CC$191))=0,"N/A",CC$72/IF(CC$11=0,0,IF(CC$11&lt;=36,-CC$183,-CC$191)))</f>
        <v/>
      </c>
      <c r="CD73" s="229">
        <f>IF(IF(CD$11=0,0,IF(CD$11&lt;=36,-CD$183,-CD$191))=0,"N/A",CD$72/IF(CD$11=0,0,IF(CD$11&lt;=36,-CD$183,-CD$191)))</f>
        <v/>
      </c>
      <c r="CE73" s="229">
        <f>IF(IF(CE$11=0,0,IF(CE$11&lt;=36,-CE$183,-CE$191))=0,"N/A",CE$72/IF(CE$11=0,0,IF(CE$11&lt;=36,-CE$183,-CE$191)))</f>
        <v/>
      </c>
      <c r="CF73" s="229">
        <f>IF(IF(CF$11=0,0,IF(CF$11&lt;=36,-CF$183,-CF$191))=0,"N/A",CF$72/IF(CF$11=0,0,IF(CF$11&lt;=36,-CF$183,-CF$191)))</f>
        <v/>
      </c>
      <c r="CG73" s="229">
        <f>IF(IF(CG$11=0,0,IF(CG$11&lt;=36,-CG$183,-CG$191))=0,"N/A",CG$72/IF(CG$11=0,0,IF(CG$11&lt;=36,-CG$183,-CG$191)))</f>
        <v/>
      </c>
      <c r="CH73" s="229">
        <f>IF(IF(CH$11=0,0,IF(CH$11&lt;=36,-CH$183,-CH$191))=0,"N/A",CH$72/IF(CH$11=0,0,IF(CH$11&lt;=36,-CH$183,-CH$191)))</f>
        <v/>
      </c>
      <c r="CI73" s="229">
        <f>IF(IF(CI$11=0,0,IF(CI$11&lt;=36,-CI$183,-CI$191))=0,"N/A",CI$72/IF(CI$11=0,0,IF(CI$11&lt;=36,-CI$183,-CI$191)))</f>
        <v/>
      </c>
      <c r="CJ73" s="229">
        <f>IF(IF(CJ$11=0,0,IF(CJ$11&lt;=36,-CJ$183,-CJ$191))=0,"N/A",CJ$72/IF(CJ$11=0,0,IF(CJ$11&lt;=36,-CJ$183,-CJ$191)))</f>
        <v/>
      </c>
      <c r="CK73" s="229">
        <f>IF(IF(CK$11=0,0,IF(CK$11&lt;=36,-CK$183,-CK$191))=0,"N/A",CK$72/IF(CK$11=0,0,IF(CK$11&lt;=36,-CK$183,-CK$191)))</f>
        <v/>
      </c>
      <c r="CL73" s="229">
        <f>IF(IF(CL$11=0,0,IF(CL$11&lt;=36,-CL$183,-CL$191))=0,"N/A",CL$72/IF(CL$11=0,0,IF(CL$11&lt;=36,-CL$183,-CL$191)))</f>
        <v/>
      </c>
      <c r="CM73" s="229">
        <f>IF(IF(CM$11=0,0,IF(CM$11&lt;=36,-CM$183,-CM$191))=0,"N/A",CM$72/IF(CM$11=0,0,IF(CM$11&lt;=36,-CM$183,-CM$191)))</f>
        <v/>
      </c>
      <c r="CN73" s="229">
        <f>IF(IF(CN$11=0,0,IF(CN$11&lt;=36,-CN$183,-CN$191))=0,"N/A",CN$72/IF(CN$11=0,0,IF(CN$11&lt;=36,-CN$183,-CN$191)))</f>
        <v/>
      </c>
      <c r="CO73" s="229">
        <f>IF(IF(CO$11=0,0,IF(CO$11&lt;=36,-CO$183,-CO$191))=0,"N/A",CO$72/IF(CO$11=0,0,IF(CO$11&lt;=36,-CO$183,-CO$191)))</f>
        <v/>
      </c>
      <c r="CP73" s="229">
        <f>IF(IF(CP$11=0,0,IF(CP$11&lt;=36,-CP$183,-CP$191))=0,"N/A",CP$72/IF(CP$11=0,0,IF(CP$11&lt;=36,-CP$183,-CP$191)))</f>
        <v/>
      </c>
      <c r="CQ73" s="229">
        <f>IF(IF(CQ$11=0,0,IF(CQ$11&lt;=36,-CQ$183,-CQ$191))=0,"N/A",CQ$72/IF(CQ$11=0,0,IF(CQ$11&lt;=36,-CQ$183,-CQ$191)))</f>
        <v/>
      </c>
      <c r="CR73" s="229">
        <f>IF(IF(CR$11=0,0,IF(CR$11&lt;=36,-CR$183,-CR$191))=0,"N/A",CR$72/IF(CR$11=0,0,IF(CR$11&lt;=36,-CR$183,-CR$191)))</f>
        <v/>
      </c>
      <c r="CS73" s="229">
        <f>IF(IF(CS$11=0,0,IF(CS$11&lt;=36,-CS$183,-CS$191))=0,"N/A",CS$72/IF(CS$11=0,0,IF(CS$11&lt;=36,-CS$183,-CS$191)))</f>
        <v/>
      </c>
      <c r="CT73" s="229">
        <f>IF(IF(CT$11=0,0,IF(CT$11&lt;=36,-CT$183,-CT$191))=0,"N/A",CT$72/IF(CT$11=0,0,IF(CT$11&lt;=36,-CT$183,-CT$191)))</f>
        <v/>
      </c>
      <c r="CU73" s="229">
        <f>IF(IF(CU$11=0,0,IF(CU$11&lt;=36,-CU$183,-CU$191))=0,"N/A",CU$72/IF(CU$11=0,0,IF(CU$11&lt;=36,-CU$183,-CU$191)))</f>
        <v/>
      </c>
      <c r="CV73" s="229">
        <f>IF(IF(CV$11=0,0,IF(CV$11&lt;=36,-CV$183,-CV$191))=0,"N/A",CV$72/IF(CV$11=0,0,IF(CV$11&lt;=36,-CV$183,-CV$191)))</f>
        <v/>
      </c>
      <c r="CW73" s="229">
        <f>IF(IF(CW$11=0,0,IF(CW$11&lt;=36,-CW$183,-CW$191))=0,"N/A",CW$72/IF(CW$11=0,0,IF(CW$11&lt;=36,-CW$183,-CW$191)))</f>
        <v/>
      </c>
      <c r="CX73" s="229">
        <f>IF(IF(CX$11=0,0,IF(CX$11&lt;=36,-CX$183,-CX$191))=0,"N/A",CX$72/IF(CX$11=0,0,IF(CX$11&lt;=36,-CX$183,-CX$191)))</f>
        <v/>
      </c>
      <c r="CY73" s="229">
        <f>IF(IF(CY$11=0,0,IF(CY$11&lt;=36,-CY$183,-CY$191))=0,"N/A",CY$72/IF(CY$11=0,0,IF(CY$11&lt;=36,-CY$183,-CY$191)))</f>
        <v/>
      </c>
      <c r="CZ73" s="229">
        <f>IF(IF(CZ$11=0,0,IF(CZ$11&lt;=36,-CZ$183,-CZ$191))=0,"N/A",CZ$72/IF(CZ$11=0,0,IF(CZ$11&lt;=36,-CZ$183,-CZ$191)))</f>
        <v/>
      </c>
      <c r="DA73" s="229">
        <f>IF(IF(DA$11=0,0,IF(DA$11&lt;=36,-DA$183,-DA$191))=0,"N/A",DA$72/IF(DA$11=0,0,IF(DA$11&lt;=36,-DA$183,-DA$191)))</f>
        <v/>
      </c>
      <c r="DB73" s="229">
        <f>IF(IF(DB$11=0,0,IF(DB$11&lt;=36,-DB$183,-DB$191))=0,"N/A",DB$72/IF(DB$11=0,0,IF(DB$11&lt;=36,-DB$183,-DB$191)))</f>
        <v/>
      </c>
      <c r="DC73" s="229">
        <f>IF(IF(DC$11=0,0,IF(DC$11&lt;=36,-DC$183,-DC$191))=0,"N/A",DC$72/IF(DC$11=0,0,IF(DC$11&lt;=36,-DC$183,-DC$191)))</f>
        <v/>
      </c>
      <c r="DD73" s="229">
        <f>IF(IF(DD$11=0,0,IF(DD$11&lt;=36,-DD$183,-DD$191))=0,"N/A",DD$72/IF(DD$11=0,0,IF(DD$11&lt;=36,-DD$183,-DD$191)))</f>
        <v/>
      </c>
      <c r="DE73" s="229">
        <f>IF(IF(DE$11=0,0,IF(DE$11&lt;=36,-DE$183,-DE$191))=0,"N/A",DE$72/IF(DE$11=0,0,IF(DE$11&lt;=36,-DE$183,-DE$191)))</f>
        <v/>
      </c>
      <c r="DF73" s="229">
        <f>IF(IF(DF$11=0,0,IF(DF$11&lt;=36,-DF$183,-DF$191))=0,"N/A",DF$72/IF(DF$11=0,0,IF(DF$11&lt;=36,-DF$183,-DF$191)))</f>
        <v/>
      </c>
      <c r="DG73" s="229">
        <f>IF(IF(DG$11=0,0,IF(DG$11&lt;=36,-DG$183,-DG$191))=0,"N/A",DG$72/IF(DG$11=0,0,IF(DG$11&lt;=36,-DG$183,-DG$191)))</f>
        <v/>
      </c>
      <c r="DH73" s="229">
        <f>IF(IF(DH$11=0,0,IF(DH$11&lt;=36,-DH$183,-DH$191))=0,"N/A",DH$72/IF(DH$11=0,0,IF(DH$11&lt;=36,-DH$183,-DH$191)))</f>
        <v/>
      </c>
      <c r="DI73" s="229">
        <f>IF(IF(DI$11=0,0,IF(DI$11&lt;=36,-DI$183,-DI$191))=0,"N/A",DI$72/IF(DI$11=0,0,IF(DI$11&lt;=36,-DI$183,-DI$191)))</f>
        <v/>
      </c>
      <c r="DJ73" s="229">
        <f>IF(IF(DJ$11=0,0,IF(DJ$11&lt;=36,-DJ$183,-DJ$191))=0,"N/A",DJ$72/IF(DJ$11=0,0,IF(DJ$11&lt;=36,-DJ$183,-DJ$191)))</f>
        <v/>
      </c>
      <c r="DK73" s="229">
        <f>IF(IF(DK$11=0,0,IF(DK$11&lt;=36,-DK$183,-DK$191))=0,"N/A",DK$72/IF(DK$11=0,0,IF(DK$11&lt;=36,-DK$183,-DK$191)))</f>
        <v/>
      </c>
      <c r="DL73" s="229">
        <f>IF(IF(DL$11=0,0,IF(DL$11&lt;=36,-DL$183,-DL$191))=0,"N/A",DL$72/IF(DL$11=0,0,IF(DL$11&lt;=36,-DL$183,-DL$191)))</f>
        <v/>
      </c>
      <c r="DM73" s="229">
        <f>IF(IF(DM$11=0,0,IF(DM$11&lt;=36,-DM$183,-DM$191))=0,"N/A",DM$72/IF(DM$11=0,0,IF(DM$11&lt;=36,-DM$183,-DM$191)))</f>
        <v/>
      </c>
      <c r="DN73" s="229">
        <f>IF(IF(DN$11=0,0,IF(DN$11&lt;=36,-DN$183,-DN$191))=0,"N/A",DN$72/IF(DN$11=0,0,IF(DN$11&lt;=36,-DN$183,-DN$191)))</f>
        <v/>
      </c>
      <c r="DO73" s="229">
        <f>IF(IF(DO$11=0,0,IF(DO$11&lt;=36,-DO$183,-DO$191))=0,"N/A",DO$72/IF(DO$11=0,0,IF(DO$11&lt;=36,-DO$183,-DO$191)))</f>
        <v/>
      </c>
      <c r="DP73" s="229">
        <f>IF(IF(DP$11=0,0,IF(DP$11&lt;=36,-DP$183,-DP$191))=0,"N/A",DP$72/IF(DP$11=0,0,IF(DP$11&lt;=36,-DP$183,-DP$191)))</f>
        <v/>
      </c>
      <c r="DQ73" s="229">
        <f>IF(IF(DQ$11=0,0,IF(DQ$11&lt;=36,-DQ$183,-DQ$191))=0,"N/A",DQ$72/IF(DQ$11=0,0,IF(DQ$11&lt;=36,-DQ$183,-DQ$191)))</f>
        <v/>
      </c>
      <c r="DR73" s="229">
        <f>IF(IF(DR$11=0,0,IF(DR$11&lt;=36,-DR$183,-DR$191))=0,"N/A",DR$72/IF(DR$11=0,0,IF(DR$11&lt;=36,-DR$183,-DR$191)))</f>
        <v/>
      </c>
      <c r="DS73" s="229">
        <f>IF(IF(DS$11=0,0,IF(DS$11&lt;=36,-DS$183,-DS$191))=0,"N/A",DS$72/IF(DS$11=0,0,IF(DS$11&lt;=36,-DS$183,-DS$191)))</f>
        <v/>
      </c>
      <c r="DT73" s="229">
        <f>IF(IF(DT$11=0,0,IF(DT$11&lt;=36,-DT$183,-DT$191))=0,"N/A",DT$72/IF(DT$11=0,0,IF(DT$11&lt;=36,-DT$183,-DT$191)))</f>
        <v/>
      </c>
    </row>
    <row r="75" ht="15" customHeight="1" s="148">
      <c r="A75" s="110" t="inlineStr">
        <is>
          <t>Building Schedule</t>
        </is>
      </c>
      <c r="C75" s="228">
        <f>SUM(D75:DT75)</f>
        <v/>
      </c>
      <c r="D75" s="228" t="n"/>
      <c r="E75" s="228" t="n"/>
      <c r="F75" s="228" t="n"/>
      <c r="G75" s="228" t="n"/>
      <c r="H75" s="228" t="n"/>
      <c r="I75" s="228" t="n"/>
      <c r="J75" s="228" t="n"/>
      <c r="K75" s="228" t="n"/>
      <c r="L75" s="228" t="n"/>
      <c r="M75" s="228" t="n"/>
      <c r="N75" s="228" t="n"/>
      <c r="O75" s="228" t="n"/>
      <c r="P75" s="228" t="n"/>
      <c r="Q75" s="228" t="n"/>
      <c r="R75" s="228" t="n"/>
      <c r="S75" s="228" t="n"/>
      <c r="T75" s="228" t="n"/>
      <c r="U75" s="228" t="n"/>
      <c r="V75" s="228" t="n"/>
      <c r="W75" s="228" t="n"/>
      <c r="X75" s="228" t="n"/>
      <c r="Y75" s="228" t="n"/>
      <c r="Z75" s="228" t="n"/>
      <c r="AA75" s="228" t="n"/>
      <c r="AB75" s="228" t="n"/>
      <c r="AC75" s="228" t="n"/>
      <c r="AD75" s="228" t="n"/>
      <c r="AE75" s="228" t="n"/>
      <c r="AF75" s="228" t="n"/>
      <c r="AG75" s="228" t="n"/>
      <c r="AH75" s="228" t="n"/>
      <c r="AI75" s="228" t="n"/>
      <c r="AJ75" s="228" t="n"/>
      <c r="AK75" s="228" t="n"/>
      <c r="AL75" s="228" t="n"/>
      <c r="AM75" s="228" t="n"/>
      <c r="AN75" s="228" t="n"/>
      <c r="AO75" s="228" t="n"/>
      <c r="AP75" s="228" t="n"/>
      <c r="AQ75" s="228" t="n"/>
      <c r="AR75" s="228" t="n"/>
      <c r="AS75" s="228" t="n"/>
      <c r="AT75" s="228" t="n"/>
      <c r="AU75" s="228" t="n"/>
      <c r="AV75" s="228" t="n"/>
      <c r="AW75" s="228" t="n"/>
      <c r="AX75" s="228" t="n"/>
      <c r="AY75" s="228" t="n"/>
      <c r="AZ75" s="228" t="n"/>
      <c r="BA75" s="228" t="n"/>
      <c r="BB75" s="228" t="n"/>
      <c r="BC75" s="228" t="n"/>
      <c r="BD75" s="228" t="n"/>
      <c r="BE75" s="228" t="n"/>
      <c r="BF75" s="228" t="n"/>
      <c r="BG75" s="228" t="n"/>
      <c r="BH75" s="228" t="n"/>
      <c r="BI75" s="228" t="n"/>
      <c r="BJ75" s="228" t="n"/>
      <c r="BK75" s="228" t="n"/>
      <c r="BL75" s="228" t="n"/>
      <c r="BM75" s="228" t="n"/>
      <c r="BN75" s="228" t="n"/>
      <c r="BO75" s="228" t="n"/>
      <c r="BP75" s="228" t="n"/>
      <c r="BQ75" s="228" t="n"/>
      <c r="BR75" s="228" t="n"/>
      <c r="BS75" s="228" t="n"/>
      <c r="BT75" s="228" t="n"/>
      <c r="BU75" s="228" t="n"/>
      <c r="BV75" s="228" t="n"/>
      <c r="BW75" s="228" t="n"/>
      <c r="BX75" s="228" t="n"/>
      <c r="BY75" s="228" t="n"/>
      <c r="BZ75" s="228" t="n"/>
      <c r="CA75" s="228" t="n"/>
      <c r="CB75" s="228" t="n"/>
      <c r="CC75" s="228" t="n"/>
      <c r="CD75" s="228" t="n"/>
      <c r="CE75" s="228" t="n"/>
      <c r="CF75" s="228" t="n"/>
      <c r="CG75" s="228" t="n"/>
      <c r="CH75" s="228" t="n"/>
      <c r="CI75" s="228" t="n"/>
      <c r="CJ75" s="228" t="n"/>
      <c r="CK75" s="228" t="n"/>
      <c r="CL75" s="228" t="n"/>
      <c r="CM75" s="228" t="n"/>
      <c r="CN75" s="228" t="n"/>
      <c r="CO75" s="228" t="n"/>
      <c r="CP75" s="228" t="n"/>
      <c r="CQ75" s="228" t="n"/>
      <c r="CR75" s="228" t="n"/>
      <c r="CS75" s="228" t="n"/>
      <c r="CT75" s="228" t="n"/>
      <c r="CU75" s="228" t="n"/>
      <c r="CV75" s="228" t="n"/>
      <c r="CW75" s="228" t="n"/>
      <c r="CX75" s="228" t="n"/>
      <c r="CY75" s="228" t="n"/>
      <c r="CZ75" s="228" t="n"/>
      <c r="DA75" s="228" t="n"/>
      <c r="DB75" s="228" t="n"/>
      <c r="DC75" s="228" t="n"/>
      <c r="DD75" s="228" t="n"/>
      <c r="DE75" s="228" t="n"/>
      <c r="DF75" s="228" t="n"/>
      <c r="DG75" s="228" t="n"/>
      <c r="DH75" s="228" t="n"/>
      <c r="DI75" s="228" t="n"/>
      <c r="DJ75" s="228" t="n"/>
      <c r="DK75" s="228" t="n"/>
      <c r="DL75" s="228" t="n"/>
      <c r="DM75" s="228" t="n"/>
      <c r="DN75" s="228" t="n"/>
      <c r="DO75" s="228" t="n"/>
      <c r="DP75" s="228" t="n"/>
      <c r="DQ75" s="228" t="n"/>
      <c r="DR75" s="228" t="n"/>
      <c r="DS75" s="228" t="n"/>
      <c r="DT75" s="228" t="n"/>
    </row>
    <row r="76" ht="15" customHeight="1" s="148">
      <c r="A76" s="112" t="inlineStr">
        <is>
          <t>Building Purchase</t>
        </is>
      </c>
      <c r="C76" s="228">
        <f>SUM(D76:DT76)</f>
        <v/>
      </c>
      <c r="D76" s="228">
        <f>IF(D$11=0,-Assumptions!$F$24,0)</f>
        <v/>
      </c>
      <c r="E76" s="228">
        <f>IF(E$11=0,-Assumptions!$F$24,0)</f>
        <v/>
      </c>
      <c r="F76" s="228">
        <f>IF(F$11=0,-Assumptions!$F$24,0)</f>
        <v/>
      </c>
      <c r="G76" s="228">
        <f>IF(G$11=0,-Assumptions!$F$24,0)</f>
        <v/>
      </c>
      <c r="H76" s="228">
        <f>IF(H$11=0,-Assumptions!$F$24,0)</f>
        <v/>
      </c>
      <c r="I76" s="228">
        <f>IF(I$11=0,-Assumptions!$F$24,0)</f>
        <v/>
      </c>
      <c r="J76" s="228">
        <f>IF(J$11=0,-Assumptions!$F$24,0)</f>
        <v/>
      </c>
      <c r="K76" s="228">
        <f>IF(K$11=0,-Assumptions!$F$24,0)</f>
        <v/>
      </c>
      <c r="L76" s="228">
        <f>IF(L$11=0,-Assumptions!$F$24,0)</f>
        <v/>
      </c>
      <c r="M76" s="228">
        <f>IF(M$11=0,-Assumptions!$F$24,0)</f>
        <v/>
      </c>
      <c r="N76" s="228">
        <f>IF(N$11=0,-Assumptions!$F$24,0)</f>
        <v/>
      </c>
      <c r="O76" s="228">
        <f>IF(O$11=0,-Assumptions!$F$24,0)</f>
        <v/>
      </c>
      <c r="P76" s="228">
        <f>IF(P$11=0,-Assumptions!$F$24,0)</f>
        <v/>
      </c>
      <c r="Q76" s="228">
        <f>IF(Q$11=0,-Assumptions!$F$24,0)</f>
        <v/>
      </c>
      <c r="R76" s="228">
        <f>IF(R$11=0,-Assumptions!$F$24,0)</f>
        <v/>
      </c>
      <c r="S76" s="228">
        <f>IF(S$11=0,-Assumptions!$F$24,0)</f>
        <v/>
      </c>
      <c r="T76" s="228">
        <f>IF(T$11=0,-Assumptions!$F$24,0)</f>
        <v/>
      </c>
      <c r="U76" s="228">
        <f>IF(U$11=0,-Assumptions!$F$24,0)</f>
        <v/>
      </c>
      <c r="V76" s="228">
        <f>IF(V$11=0,-Assumptions!$F$24,0)</f>
        <v/>
      </c>
      <c r="W76" s="228">
        <f>IF(W$11=0,-Assumptions!$F$24,0)</f>
        <v/>
      </c>
      <c r="X76" s="228">
        <f>IF(X$11=0,-Assumptions!$F$24,0)</f>
        <v/>
      </c>
      <c r="Y76" s="228">
        <f>IF(Y$11=0,-Assumptions!$F$24,0)</f>
        <v/>
      </c>
      <c r="Z76" s="228">
        <f>IF(Z$11=0,-Assumptions!$F$24,0)</f>
        <v/>
      </c>
      <c r="AA76" s="228">
        <f>IF(AA$11=0,-Assumptions!$F$24,0)</f>
        <v/>
      </c>
      <c r="AB76" s="228">
        <f>IF(AB$11=0,-Assumptions!$F$24,0)</f>
        <v/>
      </c>
      <c r="AC76" s="228">
        <f>IF(AC$11=0,-Assumptions!$F$24,0)</f>
        <v/>
      </c>
      <c r="AD76" s="228">
        <f>IF(AD$11=0,-Assumptions!$F$24,0)</f>
        <v/>
      </c>
      <c r="AE76" s="228">
        <f>IF(AE$11=0,-Assumptions!$F$24,0)</f>
        <v/>
      </c>
      <c r="AF76" s="228">
        <f>IF(AF$11=0,-Assumptions!$F$24,0)</f>
        <v/>
      </c>
      <c r="AG76" s="228">
        <f>IF(AG$11=0,-Assumptions!$F$24,0)</f>
        <v/>
      </c>
      <c r="AH76" s="228">
        <f>IF(AH$11=0,-Assumptions!$F$24,0)</f>
        <v/>
      </c>
      <c r="AI76" s="228">
        <f>IF(AI$11=0,-Assumptions!$F$24,0)</f>
        <v/>
      </c>
      <c r="AJ76" s="228">
        <f>IF(AJ$11=0,-Assumptions!$F$24,0)</f>
        <v/>
      </c>
      <c r="AK76" s="228">
        <f>IF(AK$11=0,-Assumptions!$F$24,0)</f>
        <v/>
      </c>
      <c r="AL76" s="228">
        <f>IF(AL$11=0,-Assumptions!$F$24,0)</f>
        <v/>
      </c>
      <c r="AM76" s="228">
        <f>IF(AM$11=0,-Assumptions!$F$24,0)</f>
        <v/>
      </c>
      <c r="AN76" s="228">
        <f>IF(AN$11=0,-Assumptions!$F$24,0)</f>
        <v/>
      </c>
      <c r="AO76" s="228">
        <f>IF(AO$11=0,-Assumptions!$F$24,0)</f>
        <v/>
      </c>
      <c r="AP76" s="228">
        <f>IF(AP$11=0,-Assumptions!$F$24,0)</f>
        <v/>
      </c>
      <c r="AQ76" s="228">
        <f>IF(AQ$11=0,-Assumptions!$F$24,0)</f>
        <v/>
      </c>
      <c r="AR76" s="228">
        <f>IF(AR$11=0,-Assumptions!$F$24,0)</f>
        <v/>
      </c>
      <c r="AS76" s="228">
        <f>IF(AS$11=0,-Assumptions!$F$24,0)</f>
        <v/>
      </c>
      <c r="AT76" s="228">
        <f>IF(AT$11=0,-Assumptions!$F$24,0)</f>
        <v/>
      </c>
      <c r="AU76" s="228">
        <f>IF(AU$11=0,-Assumptions!$F$24,0)</f>
        <v/>
      </c>
      <c r="AV76" s="228">
        <f>IF(AV$11=0,-Assumptions!$F$24,0)</f>
        <v/>
      </c>
      <c r="AW76" s="228">
        <f>IF(AW$11=0,-Assumptions!$F$24,0)</f>
        <v/>
      </c>
      <c r="AX76" s="228">
        <f>IF(AX$11=0,-Assumptions!$F$24,0)</f>
        <v/>
      </c>
      <c r="AY76" s="228">
        <f>IF(AY$11=0,-Assumptions!$F$24,0)</f>
        <v/>
      </c>
      <c r="AZ76" s="228">
        <f>IF(AZ$11=0,-Assumptions!$F$24,0)</f>
        <v/>
      </c>
      <c r="BA76" s="228">
        <f>IF(BA$11=0,-Assumptions!$F$24,0)</f>
        <v/>
      </c>
      <c r="BB76" s="228">
        <f>IF(BB$11=0,-Assumptions!$F$24,0)</f>
        <v/>
      </c>
      <c r="BC76" s="228">
        <f>IF(BC$11=0,-Assumptions!$F$24,0)</f>
        <v/>
      </c>
      <c r="BD76" s="228">
        <f>IF(BD$11=0,-Assumptions!$F$24,0)</f>
        <v/>
      </c>
      <c r="BE76" s="228">
        <f>IF(BE$11=0,-Assumptions!$F$24,0)</f>
        <v/>
      </c>
      <c r="BF76" s="228">
        <f>IF(BF$11=0,-Assumptions!$F$24,0)</f>
        <v/>
      </c>
      <c r="BG76" s="228">
        <f>IF(BG$11=0,-Assumptions!$F$24,0)</f>
        <v/>
      </c>
      <c r="BH76" s="228">
        <f>IF(BH$11=0,-Assumptions!$F$24,0)</f>
        <v/>
      </c>
      <c r="BI76" s="228">
        <f>IF(BI$11=0,-Assumptions!$F$24,0)</f>
        <v/>
      </c>
      <c r="BJ76" s="228">
        <f>IF(BJ$11=0,-Assumptions!$F$24,0)</f>
        <v/>
      </c>
      <c r="BK76" s="228">
        <f>IF(BK$11=0,-Assumptions!$F$24,0)</f>
        <v/>
      </c>
      <c r="BL76" s="228">
        <f>IF(BL$11=0,-Assumptions!$F$24,0)</f>
        <v/>
      </c>
      <c r="BM76" s="228">
        <f>IF(BM$11=0,-Assumptions!$F$24,0)</f>
        <v/>
      </c>
      <c r="BN76" s="228">
        <f>IF(BN$11=0,-Assumptions!$F$24,0)</f>
        <v/>
      </c>
      <c r="BO76" s="228">
        <f>IF(BO$11=0,-Assumptions!$F$24,0)</f>
        <v/>
      </c>
      <c r="BP76" s="228">
        <f>IF(BP$11=0,-Assumptions!$F$24,0)</f>
        <v/>
      </c>
      <c r="BQ76" s="228">
        <f>IF(BQ$11=0,-Assumptions!$F$24,0)</f>
        <v/>
      </c>
      <c r="BR76" s="228">
        <f>IF(BR$11=0,-Assumptions!$F$24,0)</f>
        <v/>
      </c>
      <c r="BS76" s="228">
        <f>IF(BS$11=0,-Assumptions!$F$24,0)</f>
        <v/>
      </c>
      <c r="BT76" s="228">
        <f>IF(BT$11=0,-Assumptions!$F$24,0)</f>
        <v/>
      </c>
      <c r="BU76" s="228">
        <f>IF(BU$11=0,-Assumptions!$F$24,0)</f>
        <v/>
      </c>
      <c r="BV76" s="228">
        <f>IF(BV$11=0,-Assumptions!$F$24,0)</f>
        <v/>
      </c>
      <c r="BW76" s="228">
        <f>IF(BW$11=0,-Assumptions!$F$24,0)</f>
        <v/>
      </c>
      <c r="BX76" s="228">
        <f>IF(BX$11=0,-Assumptions!$F$24,0)</f>
        <v/>
      </c>
      <c r="BY76" s="228">
        <f>IF(BY$11=0,-Assumptions!$F$24,0)</f>
        <v/>
      </c>
      <c r="BZ76" s="228">
        <f>IF(BZ$11=0,-Assumptions!$F$24,0)</f>
        <v/>
      </c>
      <c r="CA76" s="228">
        <f>IF(CA$11=0,-Assumptions!$F$24,0)</f>
        <v/>
      </c>
      <c r="CB76" s="228">
        <f>IF(CB$11=0,-Assumptions!$F$24,0)</f>
        <v/>
      </c>
      <c r="CC76" s="228">
        <f>IF(CC$11=0,-Assumptions!$F$24,0)</f>
        <v/>
      </c>
      <c r="CD76" s="228">
        <f>IF(CD$11=0,-Assumptions!$F$24,0)</f>
        <v/>
      </c>
      <c r="CE76" s="228">
        <f>IF(CE$11=0,-Assumptions!$F$24,0)</f>
        <v/>
      </c>
      <c r="CF76" s="228">
        <f>IF(CF$11=0,-Assumptions!$F$24,0)</f>
        <v/>
      </c>
      <c r="CG76" s="228">
        <f>IF(CG$11=0,-Assumptions!$F$24,0)</f>
        <v/>
      </c>
      <c r="CH76" s="228">
        <f>IF(CH$11=0,-Assumptions!$F$24,0)</f>
        <v/>
      </c>
      <c r="CI76" s="228">
        <f>IF(CI$11=0,-Assumptions!$F$24,0)</f>
        <v/>
      </c>
      <c r="CJ76" s="228">
        <f>IF(CJ$11=0,-Assumptions!$F$24,0)</f>
        <v/>
      </c>
      <c r="CK76" s="228">
        <f>IF(CK$11=0,-Assumptions!$F$24,0)</f>
        <v/>
      </c>
      <c r="CL76" s="228">
        <f>IF(CL$11=0,-Assumptions!$F$24,0)</f>
        <v/>
      </c>
      <c r="CM76" s="228">
        <f>IF(CM$11=0,-Assumptions!$F$24,0)</f>
        <v/>
      </c>
      <c r="CN76" s="228">
        <f>IF(CN$11=0,-Assumptions!$F$24,0)</f>
        <v/>
      </c>
      <c r="CO76" s="228">
        <f>IF(CO$11=0,-Assumptions!$F$24,0)</f>
        <v/>
      </c>
      <c r="CP76" s="228">
        <f>IF(CP$11=0,-Assumptions!$F$24,0)</f>
        <v/>
      </c>
      <c r="CQ76" s="228">
        <f>IF(CQ$11=0,-Assumptions!$F$24,0)</f>
        <v/>
      </c>
      <c r="CR76" s="228">
        <f>IF(CR$11=0,-Assumptions!$F$24,0)</f>
        <v/>
      </c>
      <c r="CS76" s="228">
        <f>IF(CS$11=0,-Assumptions!$F$24,0)</f>
        <v/>
      </c>
      <c r="CT76" s="228">
        <f>IF(CT$11=0,-Assumptions!$F$24,0)</f>
        <v/>
      </c>
      <c r="CU76" s="228">
        <f>IF(CU$11=0,-Assumptions!$F$24,0)</f>
        <v/>
      </c>
      <c r="CV76" s="228">
        <f>IF(CV$11=0,-Assumptions!$F$24,0)</f>
        <v/>
      </c>
      <c r="CW76" s="228">
        <f>IF(CW$11=0,-Assumptions!$F$24,0)</f>
        <v/>
      </c>
      <c r="CX76" s="228">
        <f>IF(CX$11=0,-Assumptions!$F$24,0)</f>
        <v/>
      </c>
      <c r="CY76" s="228">
        <f>IF(CY$11=0,-Assumptions!$F$24,0)</f>
        <v/>
      </c>
      <c r="CZ76" s="228">
        <f>IF(CZ$11=0,-Assumptions!$F$24,0)</f>
        <v/>
      </c>
      <c r="DA76" s="228">
        <f>IF(DA$11=0,-Assumptions!$F$24,0)</f>
        <v/>
      </c>
      <c r="DB76" s="228">
        <f>IF(DB$11=0,-Assumptions!$F$24,0)</f>
        <v/>
      </c>
      <c r="DC76" s="228">
        <f>IF(DC$11=0,-Assumptions!$F$24,0)</f>
        <v/>
      </c>
      <c r="DD76" s="228">
        <f>IF(DD$11=0,-Assumptions!$F$24,0)</f>
        <v/>
      </c>
      <c r="DE76" s="228">
        <f>IF(DE$11=0,-Assumptions!$F$24,0)</f>
        <v/>
      </c>
      <c r="DF76" s="228">
        <f>IF(DF$11=0,-Assumptions!$F$24,0)</f>
        <v/>
      </c>
      <c r="DG76" s="228">
        <f>IF(DG$11=0,-Assumptions!$F$24,0)</f>
        <v/>
      </c>
      <c r="DH76" s="228">
        <f>IF(DH$11=0,-Assumptions!$F$24,0)</f>
        <v/>
      </c>
      <c r="DI76" s="228">
        <f>IF(DI$11=0,-Assumptions!$F$24,0)</f>
        <v/>
      </c>
      <c r="DJ76" s="228">
        <f>IF(DJ$11=0,-Assumptions!$F$24,0)</f>
        <v/>
      </c>
      <c r="DK76" s="228">
        <f>IF(DK$11=0,-Assumptions!$F$24,0)</f>
        <v/>
      </c>
      <c r="DL76" s="228">
        <f>IF(DL$11=0,-Assumptions!$F$24,0)</f>
        <v/>
      </c>
      <c r="DM76" s="228">
        <f>IF(DM$11=0,-Assumptions!$F$24,0)</f>
        <v/>
      </c>
      <c r="DN76" s="228">
        <f>IF(DN$11=0,-Assumptions!$F$24,0)</f>
        <v/>
      </c>
      <c r="DO76" s="228">
        <f>IF(DO$11=0,-Assumptions!$F$24,0)</f>
        <v/>
      </c>
      <c r="DP76" s="228">
        <f>IF(DP$11=0,-Assumptions!$F$24,0)</f>
        <v/>
      </c>
      <c r="DQ76" s="228">
        <f>IF(DQ$11=0,-Assumptions!$F$24,0)</f>
        <v/>
      </c>
      <c r="DR76" s="228">
        <f>IF(DR$11=0,-Assumptions!$F$24,0)</f>
        <v/>
      </c>
      <c r="DS76" s="228">
        <f>IF(DS$11=0,-Assumptions!$F$24,0)</f>
        <v/>
      </c>
      <c r="DT76" s="228">
        <f>IF(DT$11=0,-Assumptions!$F$24,0)</f>
        <v/>
      </c>
    </row>
    <row r="78" ht="15" customHeight="1" s="148">
      <c r="A78" s="110" t="inlineStr">
        <is>
          <t>Hard Costs</t>
        </is>
      </c>
      <c r="C78" s="228">
        <f>SUM(D78:DT78)</f>
        <v/>
      </c>
      <c r="D78" s="228" t="n"/>
      <c r="E78" s="228" t="n"/>
      <c r="F78" s="228" t="n"/>
      <c r="G78" s="228" t="n"/>
      <c r="H78" s="228" t="n"/>
      <c r="I78" s="228" t="n"/>
      <c r="J78" s="228" t="n"/>
      <c r="K78" s="228" t="n"/>
      <c r="L78" s="228" t="n"/>
      <c r="M78" s="228" t="n"/>
      <c r="N78" s="228" t="n"/>
      <c r="O78" s="228" t="n"/>
      <c r="P78" s="228" t="n"/>
      <c r="Q78" s="228" t="n"/>
      <c r="R78" s="228" t="n"/>
      <c r="S78" s="228" t="n"/>
      <c r="T78" s="228" t="n"/>
      <c r="U78" s="228" t="n"/>
      <c r="V78" s="228" t="n"/>
      <c r="W78" s="228" t="n"/>
      <c r="X78" s="228" t="n"/>
      <c r="Y78" s="228" t="n"/>
      <c r="Z78" s="228" t="n"/>
      <c r="AA78" s="228" t="n"/>
      <c r="AB78" s="228" t="n"/>
      <c r="AC78" s="228" t="n"/>
      <c r="AD78" s="228" t="n"/>
      <c r="AE78" s="228" t="n"/>
      <c r="AF78" s="228" t="n"/>
      <c r="AG78" s="228" t="n"/>
      <c r="AH78" s="228" t="n"/>
      <c r="AI78" s="228" t="n"/>
      <c r="AJ78" s="228" t="n"/>
      <c r="AK78" s="228" t="n"/>
      <c r="AL78" s="228" t="n"/>
      <c r="AM78" s="228" t="n"/>
      <c r="AN78" s="228" t="n"/>
      <c r="AO78" s="228" t="n"/>
      <c r="AP78" s="228" t="n"/>
      <c r="AQ78" s="228" t="n"/>
      <c r="AR78" s="228" t="n"/>
      <c r="AS78" s="228" t="n"/>
      <c r="AT78" s="228" t="n"/>
      <c r="AU78" s="228" t="n"/>
      <c r="AV78" s="228" t="n"/>
      <c r="AW78" s="228" t="n"/>
      <c r="AX78" s="228" t="n"/>
      <c r="AY78" s="228" t="n"/>
      <c r="AZ78" s="228" t="n"/>
      <c r="BA78" s="228" t="n"/>
      <c r="BB78" s="228" t="n"/>
      <c r="BC78" s="228" t="n"/>
      <c r="BD78" s="228" t="n"/>
      <c r="BE78" s="228" t="n"/>
      <c r="BF78" s="228" t="n"/>
      <c r="BG78" s="228" t="n"/>
      <c r="BH78" s="228" t="n"/>
      <c r="BI78" s="228" t="n"/>
      <c r="BJ78" s="228" t="n"/>
      <c r="BK78" s="228" t="n"/>
      <c r="BL78" s="228" t="n"/>
      <c r="BM78" s="228" t="n"/>
      <c r="BN78" s="228" t="n"/>
      <c r="BO78" s="228" t="n"/>
      <c r="BP78" s="228" t="n"/>
      <c r="BQ78" s="228" t="n"/>
      <c r="BR78" s="228" t="n"/>
      <c r="BS78" s="228" t="n"/>
      <c r="BT78" s="228" t="n"/>
      <c r="BU78" s="228" t="n"/>
      <c r="BV78" s="228" t="n"/>
      <c r="BW78" s="228" t="n"/>
      <c r="BX78" s="228" t="n"/>
      <c r="BY78" s="228" t="n"/>
      <c r="BZ78" s="228" t="n"/>
      <c r="CA78" s="228" t="n"/>
      <c r="CB78" s="228" t="n"/>
      <c r="CC78" s="228" t="n"/>
      <c r="CD78" s="228" t="n"/>
      <c r="CE78" s="228" t="n"/>
      <c r="CF78" s="228" t="n"/>
      <c r="CG78" s="228" t="n"/>
      <c r="CH78" s="228" t="n"/>
      <c r="CI78" s="228" t="n"/>
      <c r="CJ78" s="228" t="n"/>
      <c r="CK78" s="228" t="n"/>
      <c r="CL78" s="228" t="n"/>
      <c r="CM78" s="228" t="n"/>
      <c r="CN78" s="228" t="n"/>
      <c r="CO78" s="228" t="n"/>
      <c r="CP78" s="228" t="n"/>
      <c r="CQ78" s="228" t="n"/>
      <c r="CR78" s="228" t="n"/>
      <c r="CS78" s="228" t="n"/>
      <c r="CT78" s="228" t="n"/>
      <c r="CU78" s="228" t="n"/>
      <c r="CV78" s="228" t="n"/>
      <c r="CW78" s="228" t="n"/>
      <c r="CX78" s="228" t="n"/>
      <c r="CY78" s="228" t="n"/>
      <c r="CZ78" s="228" t="n"/>
      <c r="DA78" s="228" t="n"/>
      <c r="DB78" s="228" t="n"/>
      <c r="DC78" s="228" t="n"/>
      <c r="DD78" s="228" t="n"/>
      <c r="DE78" s="228" t="n"/>
      <c r="DF78" s="228" t="n"/>
      <c r="DG78" s="228" t="n"/>
      <c r="DH78" s="228" t="n"/>
      <c r="DI78" s="228" t="n"/>
      <c r="DJ78" s="228" t="n"/>
      <c r="DK78" s="228" t="n"/>
      <c r="DL78" s="228" t="n"/>
      <c r="DM78" s="228" t="n"/>
      <c r="DN78" s="228" t="n"/>
      <c r="DO78" s="228" t="n"/>
      <c r="DP78" s="228" t="n"/>
      <c r="DQ78" s="228" t="n"/>
      <c r="DR78" s="228" t="n"/>
      <c r="DS78" s="228" t="n"/>
      <c r="DT78" s="228" t="n"/>
    </row>
    <row r="79" ht="15" customHeight="1" s="148">
      <c r="A79" s="112" t="inlineStr">
        <is>
          <t>Shell Industrial</t>
        </is>
      </c>
      <c r="C79" s="228">
        <f>SUM(D79:DT79)</f>
        <v/>
      </c>
      <c r="D79" s="228">
        <f>IF(AND(D$11&gt;=(12*(YEAR('Renovation Budget'!$F$9)-YEAR(Assumptions!$F$11))+(MONTH('Renovation Budget'!$F$9)-MONTH(Assumptions!$F$11))),D$11&lt;=((12*(YEAR('Renovation Budget'!$F$9)-YEAR(Assumptions!$F$11))+(MONTH('Renovation Budget'!$F$9)-MONTH(Assumptions!$F$11)))+'Renovation Budget'!$G$9-1)),-'Renovation Budget'!$C$9/'Renovation Budget'!$G$9,0)</f>
        <v/>
      </c>
      <c r="E79" s="228">
        <f>IF(AND(E$11&gt;=(12*(YEAR('Renovation Budget'!$F$9)-YEAR(Assumptions!$F$11))+(MONTH('Renovation Budget'!$F$9)-MONTH(Assumptions!$F$11))),E$11&lt;=((12*(YEAR('Renovation Budget'!$F$9)-YEAR(Assumptions!$F$11))+(MONTH('Renovation Budget'!$F$9)-MONTH(Assumptions!$F$11)))+'Renovation Budget'!$G$9-1)),-'Renovation Budget'!$C$9/'Renovation Budget'!$G$9,0)</f>
        <v/>
      </c>
      <c r="F79" s="228">
        <f>IF(AND(F$11&gt;=(12*(YEAR('Renovation Budget'!$F$9)-YEAR(Assumptions!$F$11))+(MONTH('Renovation Budget'!$F$9)-MONTH(Assumptions!$F$11))),F$11&lt;=((12*(YEAR('Renovation Budget'!$F$9)-YEAR(Assumptions!$F$11))+(MONTH('Renovation Budget'!$F$9)-MONTH(Assumptions!$F$11)))+'Renovation Budget'!$G$9-1)),-'Renovation Budget'!$C$9/'Renovation Budget'!$G$9,0)</f>
        <v/>
      </c>
      <c r="G79" s="228">
        <f>IF(AND(G$11&gt;=(12*(YEAR('Renovation Budget'!$F$9)-YEAR(Assumptions!$F$11))+(MONTH('Renovation Budget'!$F$9)-MONTH(Assumptions!$F$11))),G$11&lt;=((12*(YEAR('Renovation Budget'!$F$9)-YEAR(Assumptions!$F$11))+(MONTH('Renovation Budget'!$F$9)-MONTH(Assumptions!$F$11)))+'Renovation Budget'!$G$9-1)),-'Renovation Budget'!$C$9/'Renovation Budget'!$G$9,0)</f>
        <v/>
      </c>
      <c r="H79" s="228">
        <f>IF(AND(H$11&gt;=(12*(YEAR('Renovation Budget'!$F$9)-YEAR(Assumptions!$F$11))+(MONTH('Renovation Budget'!$F$9)-MONTH(Assumptions!$F$11))),H$11&lt;=((12*(YEAR('Renovation Budget'!$F$9)-YEAR(Assumptions!$F$11))+(MONTH('Renovation Budget'!$F$9)-MONTH(Assumptions!$F$11)))+'Renovation Budget'!$G$9-1)),-'Renovation Budget'!$C$9/'Renovation Budget'!$G$9,0)</f>
        <v/>
      </c>
      <c r="I79" s="228">
        <f>IF(AND(I$11&gt;=(12*(YEAR('Renovation Budget'!$F$9)-YEAR(Assumptions!$F$11))+(MONTH('Renovation Budget'!$F$9)-MONTH(Assumptions!$F$11))),I$11&lt;=((12*(YEAR('Renovation Budget'!$F$9)-YEAR(Assumptions!$F$11))+(MONTH('Renovation Budget'!$F$9)-MONTH(Assumptions!$F$11)))+'Renovation Budget'!$G$9-1)),-'Renovation Budget'!$C$9/'Renovation Budget'!$G$9,0)</f>
        <v/>
      </c>
      <c r="J79" s="228">
        <f>IF(AND(J$11&gt;=(12*(YEAR('Renovation Budget'!$F$9)-YEAR(Assumptions!$F$11))+(MONTH('Renovation Budget'!$F$9)-MONTH(Assumptions!$F$11))),J$11&lt;=((12*(YEAR('Renovation Budget'!$F$9)-YEAR(Assumptions!$F$11))+(MONTH('Renovation Budget'!$F$9)-MONTH(Assumptions!$F$11)))+'Renovation Budget'!$G$9-1)),-'Renovation Budget'!$C$9/'Renovation Budget'!$G$9,0)</f>
        <v/>
      </c>
      <c r="K79" s="228">
        <f>IF(AND(K$11&gt;=(12*(YEAR('Renovation Budget'!$F$9)-YEAR(Assumptions!$F$11))+(MONTH('Renovation Budget'!$F$9)-MONTH(Assumptions!$F$11))),K$11&lt;=((12*(YEAR('Renovation Budget'!$F$9)-YEAR(Assumptions!$F$11))+(MONTH('Renovation Budget'!$F$9)-MONTH(Assumptions!$F$11)))+'Renovation Budget'!$G$9-1)),-'Renovation Budget'!$C$9/'Renovation Budget'!$G$9,0)</f>
        <v/>
      </c>
      <c r="L79" s="228">
        <f>IF(AND(L$11&gt;=(12*(YEAR('Renovation Budget'!$F$9)-YEAR(Assumptions!$F$11))+(MONTH('Renovation Budget'!$F$9)-MONTH(Assumptions!$F$11))),L$11&lt;=((12*(YEAR('Renovation Budget'!$F$9)-YEAR(Assumptions!$F$11))+(MONTH('Renovation Budget'!$F$9)-MONTH(Assumptions!$F$11)))+'Renovation Budget'!$G$9-1)),-'Renovation Budget'!$C$9/'Renovation Budget'!$G$9,0)</f>
        <v/>
      </c>
      <c r="M79" s="228">
        <f>IF(AND(M$11&gt;=(12*(YEAR('Renovation Budget'!$F$9)-YEAR(Assumptions!$F$11))+(MONTH('Renovation Budget'!$F$9)-MONTH(Assumptions!$F$11))),M$11&lt;=((12*(YEAR('Renovation Budget'!$F$9)-YEAR(Assumptions!$F$11))+(MONTH('Renovation Budget'!$F$9)-MONTH(Assumptions!$F$11)))+'Renovation Budget'!$G$9-1)),-'Renovation Budget'!$C$9/'Renovation Budget'!$G$9,0)</f>
        <v/>
      </c>
      <c r="N79" s="228">
        <f>IF(AND(N$11&gt;=(12*(YEAR('Renovation Budget'!$F$9)-YEAR(Assumptions!$F$11))+(MONTH('Renovation Budget'!$F$9)-MONTH(Assumptions!$F$11))),N$11&lt;=((12*(YEAR('Renovation Budget'!$F$9)-YEAR(Assumptions!$F$11))+(MONTH('Renovation Budget'!$F$9)-MONTH(Assumptions!$F$11)))+'Renovation Budget'!$G$9-1)),-'Renovation Budget'!$C$9/'Renovation Budget'!$G$9,0)</f>
        <v/>
      </c>
      <c r="O79" s="228">
        <f>IF(AND(O$11&gt;=(12*(YEAR('Renovation Budget'!$F$9)-YEAR(Assumptions!$F$11))+(MONTH('Renovation Budget'!$F$9)-MONTH(Assumptions!$F$11))),O$11&lt;=((12*(YEAR('Renovation Budget'!$F$9)-YEAR(Assumptions!$F$11))+(MONTH('Renovation Budget'!$F$9)-MONTH(Assumptions!$F$11)))+'Renovation Budget'!$G$9-1)),-'Renovation Budget'!$C$9/'Renovation Budget'!$G$9,0)</f>
        <v/>
      </c>
      <c r="P79" s="228">
        <f>IF(AND(P$11&gt;=(12*(YEAR('Renovation Budget'!$F$9)-YEAR(Assumptions!$F$11))+(MONTH('Renovation Budget'!$F$9)-MONTH(Assumptions!$F$11))),P$11&lt;=((12*(YEAR('Renovation Budget'!$F$9)-YEAR(Assumptions!$F$11))+(MONTH('Renovation Budget'!$F$9)-MONTH(Assumptions!$F$11)))+'Renovation Budget'!$G$9-1)),-'Renovation Budget'!$C$9/'Renovation Budget'!$G$9,0)</f>
        <v/>
      </c>
      <c r="Q79" s="228">
        <f>IF(AND(Q$11&gt;=(12*(YEAR('Renovation Budget'!$F$9)-YEAR(Assumptions!$F$11))+(MONTH('Renovation Budget'!$F$9)-MONTH(Assumptions!$F$11))),Q$11&lt;=((12*(YEAR('Renovation Budget'!$F$9)-YEAR(Assumptions!$F$11))+(MONTH('Renovation Budget'!$F$9)-MONTH(Assumptions!$F$11)))+'Renovation Budget'!$G$9-1)),-'Renovation Budget'!$C$9/'Renovation Budget'!$G$9,0)</f>
        <v/>
      </c>
      <c r="R79" s="228">
        <f>IF(AND(R$11&gt;=(12*(YEAR('Renovation Budget'!$F$9)-YEAR(Assumptions!$F$11))+(MONTH('Renovation Budget'!$F$9)-MONTH(Assumptions!$F$11))),R$11&lt;=((12*(YEAR('Renovation Budget'!$F$9)-YEAR(Assumptions!$F$11))+(MONTH('Renovation Budget'!$F$9)-MONTH(Assumptions!$F$11)))+'Renovation Budget'!$G$9-1)),-'Renovation Budget'!$C$9/'Renovation Budget'!$G$9,0)</f>
        <v/>
      </c>
      <c r="S79" s="228">
        <f>IF(AND(S$11&gt;=(12*(YEAR('Renovation Budget'!$F$9)-YEAR(Assumptions!$F$11))+(MONTH('Renovation Budget'!$F$9)-MONTH(Assumptions!$F$11))),S$11&lt;=((12*(YEAR('Renovation Budget'!$F$9)-YEAR(Assumptions!$F$11))+(MONTH('Renovation Budget'!$F$9)-MONTH(Assumptions!$F$11)))+'Renovation Budget'!$G$9-1)),-'Renovation Budget'!$C$9/'Renovation Budget'!$G$9,0)</f>
        <v/>
      </c>
      <c r="T79" s="228">
        <f>IF(AND(T$11&gt;=(12*(YEAR('Renovation Budget'!$F$9)-YEAR(Assumptions!$F$11))+(MONTH('Renovation Budget'!$F$9)-MONTH(Assumptions!$F$11))),T$11&lt;=((12*(YEAR('Renovation Budget'!$F$9)-YEAR(Assumptions!$F$11))+(MONTH('Renovation Budget'!$F$9)-MONTH(Assumptions!$F$11)))+'Renovation Budget'!$G$9-1)),-'Renovation Budget'!$C$9/'Renovation Budget'!$G$9,0)</f>
        <v/>
      </c>
      <c r="U79" s="228">
        <f>IF(AND(U$11&gt;=(12*(YEAR('Renovation Budget'!$F$9)-YEAR(Assumptions!$F$11))+(MONTH('Renovation Budget'!$F$9)-MONTH(Assumptions!$F$11))),U$11&lt;=((12*(YEAR('Renovation Budget'!$F$9)-YEAR(Assumptions!$F$11))+(MONTH('Renovation Budget'!$F$9)-MONTH(Assumptions!$F$11)))+'Renovation Budget'!$G$9-1)),-'Renovation Budget'!$C$9/'Renovation Budget'!$G$9,0)</f>
        <v/>
      </c>
      <c r="V79" s="228">
        <f>IF(AND(V$11&gt;=(12*(YEAR('Renovation Budget'!$F$9)-YEAR(Assumptions!$F$11))+(MONTH('Renovation Budget'!$F$9)-MONTH(Assumptions!$F$11))),V$11&lt;=((12*(YEAR('Renovation Budget'!$F$9)-YEAR(Assumptions!$F$11))+(MONTH('Renovation Budget'!$F$9)-MONTH(Assumptions!$F$11)))+'Renovation Budget'!$G$9-1)),-'Renovation Budget'!$C$9/'Renovation Budget'!$G$9,0)</f>
        <v/>
      </c>
      <c r="W79" s="228">
        <f>IF(AND(W$11&gt;=(12*(YEAR('Renovation Budget'!$F$9)-YEAR(Assumptions!$F$11))+(MONTH('Renovation Budget'!$F$9)-MONTH(Assumptions!$F$11))),W$11&lt;=((12*(YEAR('Renovation Budget'!$F$9)-YEAR(Assumptions!$F$11))+(MONTH('Renovation Budget'!$F$9)-MONTH(Assumptions!$F$11)))+'Renovation Budget'!$G$9-1)),-'Renovation Budget'!$C$9/'Renovation Budget'!$G$9,0)</f>
        <v/>
      </c>
      <c r="X79" s="228">
        <f>IF(AND(X$11&gt;=(12*(YEAR('Renovation Budget'!$F$9)-YEAR(Assumptions!$F$11))+(MONTH('Renovation Budget'!$F$9)-MONTH(Assumptions!$F$11))),X$11&lt;=((12*(YEAR('Renovation Budget'!$F$9)-YEAR(Assumptions!$F$11))+(MONTH('Renovation Budget'!$F$9)-MONTH(Assumptions!$F$11)))+'Renovation Budget'!$G$9-1)),-'Renovation Budget'!$C$9/'Renovation Budget'!$G$9,0)</f>
        <v/>
      </c>
      <c r="Y79" s="228">
        <f>IF(AND(Y$11&gt;=(12*(YEAR('Renovation Budget'!$F$9)-YEAR(Assumptions!$F$11))+(MONTH('Renovation Budget'!$F$9)-MONTH(Assumptions!$F$11))),Y$11&lt;=((12*(YEAR('Renovation Budget'!$F$9)-YEAR(Assumptions!$F$11))+(MONTH('Renovation Budget'!$F$9)-MONTH(Assumptions!$F$11)))+'Renovation Budget'!$G$9-1)),-'Renovation Budget'!$C$9/'Renovation Budget'!$G$9,0)</f>
        <v/>
      </c>
      <c r="Z79" s="228">
        <f>IF(AND(Z$11&gt;=(12*(YEAR('Renovation Budget'!$F$9)-YEAR(Assumptions!$F$11))+(MONTH('Renovation Budget'!$F$9)-MONTH(Assumptions!$F$11))),Z$11&lt;=((12*(YEAR('Renovation Budget'!$F$9)-YEAR(Assumptions!$F$11))+(MONTH('Renovation Budget'!$F$9)-MONTH(Assumptions!$F$11)))+'Renovation Budget'!$G$9-1)),-'Renovation Budget'!$C$9/'Renovation Budget'!$G$9,0)</f>
        <v/>
      </c>
      <c r="AA79" s="228">
        <f>IF(AND(AA$11&gt;=(12*(YEAR('Renovation Budget'!$F$9)-YEAR(Assumptions!$F$11))+(MONTH('Renovation Budget'!$F$9)-MONTH(Assumptions!$F$11))),AA$11&lt;=((12*(YEAR('Renovation Budget'!$F$9)-YEAR(Assumptions!$F$11))+(MONTH('Renovation Budget'!$F$9)-MONTH(Assumptions!$F$11)))+'Renovation Budget'!$G$9-1)),-'Renovation Budget'!$C$9/'Renovation Budget'!$G$9,0)</f>
        <v/>
      </c>
      <c r="AB79" s="228">
        <f>IF(AND(AB$11&gt;=(12*(YEAR('Renovation Budget'!$F$9)-YEAR(Assumptions!$F$11))+(MONTH('Renovation Budget'!$F$9)-MONTH(Assumptions!$F$11))),AB$11&lt;=((12*(YEAR('Renovation Budget'!$F$9)-YEAR(Assumptions!$F$11))+(MONTH('Renovation Budget'!$F$9)-MONTH(Assumptions!$F$11)))+'Renovation Budget'!$G$9-1)),-'Renovation Budget'!$C$9/'Renovation Budget'!$G$9,0)</f>
        <v/>
      </c>
      <c r="AC79" s="228">
        <f>IF(AND(AC$11&gt;=(12*(YEAR('Renovation Budget'!$F$9)-YEAR(Assumptions!$F$11))+(MONTH('Renovation Budget'!$F$9)-MONTH(Assumptions!$F$11))),AC$11&lt;=((12*(YEAR('Renovation Budget'!$F$9)-YEAR(Assumptions!$F$11))+(MONTH('Renovation Budget'!$F$9)-MONTH(Assumptions!$F$11)))+'Renovation Budget'!$G$9-1)),-'Renovation Budget'!$C$9/'Renovation Budget'!$G$9,0)</f>
        <v/>
      </c>
      <c r="AD79" s="228">
        <f>IF(AND(AD$11&gt;=(12*(YEAR('Renovation Budget'!$F$9)-YEAR(Assumptions!$F$11))+(MONTH('Renovation Budget'!$F$9)-MONTH(Assumptions!$F$11))),AD$11&lt;=((12*(YEAR('Renovation Budget'!$F$9)-YEAR(Assumptions!$F$11))+(MONTH('Renovation Budget'!$F$9)-MONTH(Assumptions!$F$11)))+'Renovation Budget'!$G$9-1)),-'Renovation Budget'!$C$9/'Renovation Budget'!$G$9,0)</f>
        <v/>
      </c>
      <c r="AE79" s="228">
        <f>IF(AND(AE$11&gt;=(12*(YEAR('Renovation Budget'!$F$9)-YEAR(Assumptions!$F$11))+(MONTH('Renovation Budget'!$F$9)-MONTH(Assumptions!$F$11))),AE$11&lt;=((12*(YEAR('Renovation Budget'!$F$9)-YEAR(Assumptions!$F$11))+(MONTH('Renovation Budget'!$F$9)-MONTH(Assumptions!$F$11)))+'Renovation Budget'!$G$9-1)),-'Renovation Budget'!$C$9/'Renovation Budget'!$G$9,0)</f>
        <v/>
      </c>
      <c r="AF79" s="228">
        <f>IF(AND(AF$11&gt;=(12*(YEAR('Renovation Budget'!$F$9)-YEAR(Assumptions!$F$11))+(MONTH('Renovation Budget'!$F$9)-MONTH(Assumptions!$F$11))),AF$11&lt;=((12*(YEAR('Renovation Budget'!$F$9)-YEAR(Assumptions!$F$11))+(MONTH('Renovation Budget'!$F$9)-MONTH(Assumptions!$F$11)))+'Renovation Budget'!$G$9-1)),-'Renovation Budget'!$C$9/'Renovation Budget'!$G$9,0)</f>
        <v/>
      </c>
      <c r="AG79" s="228">
        <f>IF(AND(AG$11&gt;=(12*(YEAR('Renovation Budget'!$F$9)-YEAR(Assumptions!$F$11))+(MONTH('Renovation Budget'!$F$9)-MONTH(Assumptions!$F$11))),AG$11&lt;=((12*(YEAR('Renovation Budget'!$F$9)-YEAR(Assumptions!$F$11))+(MONTH('Renovation Budget'!$F$9)-MONTH(Assumptions!$F$11)))+'Renovation Budget'!$G$9-1)),-'Renovation Budget'!$C$9/'Renovation Budget'!$G$9,0)</f>
        <v/>
      </c>
      <c r="AH79" s="228">
        <f>IF(AND(AH$11&gt;=(12*(YEAR('Renovation Budget'!$F$9)-YEAR(Assumptions!$F$11))+(MONTH('Renovation Budget'!$F$9)-MONTH(Assumptions!$F$11))),AH$11&lt;=((12*(YEAR('Renovation Budget'!$F$9)-YEAR(Assumptions!$F$11))+(MONTH('Renovation Budget'!$F$9)-MONTH(Assumptions!$F$11)))+'Renovation Budget'!$G$9-1)),-'Renovation Budget'!$C$9/'Renovation Budget'!$G$9,0)</f>
        <v/>
      </c>
      <c r="AI79" s="228">
        <f>IF(AND(AI$11&gt;=(12*(YEAR('Renovation Budget'!$F$9)-YEAR(Assumptions!$F$11))+(MONTH('Renovation Budget'!$F$9)-MONTH(Assumptions!$F$11))),AI$11&lt;=((12*(YEAR('Renovation Budget'!$F$9)-YEAR(Assumptions!$F$11))+(MONTH('Renovation Budget'!$F$9)-MONTH(Assumptions!$F$11)))+'Renovation Budget'!$G$9-1)),-'Renovation Budget'!$C$9/'Renovation Budget'!$G$9,0)</f>
        <v/>
      </c>
      <c r="AJ79" s="228">
        <f>IF(AND(AJ$11&gt;=(12*(YEAR('Renovation Budget'!$F$9)-YEAR(Assumptions!$F$11))+(MONTH('Renovation Budget'!$F$9)-MONTH(Assumptions!$F$11))),AJ$11&lt;=((12*(YEAR('Renovation Budget'!$F$9)-YEAR(Assumptions!$F$11))+(MONTH('Renovation Budget'!$F$9)-MONTH(Assumptions!$F$11)))+'Renovation Budget'!$G$9-1)),-'Renovation Budget'!$C$9/'Renovation Budget'!$G$9,0)</f>
        <v/>
      </c>
      <c r="AK79" s="228">
        <f>IF(AND(AK$11&gt;=(12*(YEAR('Renovation Budget'!$F$9)-YEAR(Assumptions!$F$11))+(MONTH('Renovation Budget'!$F$9)-MONTH(Assumptions!$F$11))),AK$11&lt;=((12*(YEAR('Renovation Budget'!$F$9)-YEAR(Assumptions!$F$11))+(MONTH('Renovation Budget'!$F$9)-MONTH(Assumptions!$F$11)))+'Renovation Budget'!$G$9-1)),-'Renovation Budget'!$C$9/'Renovation Budget'!$G$9,0)</f>
        <v/>
      </c>
      <c r="AL79" s="228">
        <f>IF(AND(AL$11&gt;=(12*(YEAR('Renovation Budget'!$F$9)-YEAR(Assumptions!$F$11))+(MONTH('Renovation Budget'!$F$9)-MONTH(Assumptions!$F$11))),AL$11&lt;=((12*(YEAR('Renovation Budget'!$F$9)-YEAR(Assumptions!$F$11))+(MONTH('Renovation Budget'!$F$9)-MONTH(Assumptions!$F$11)))+'Renovation Budget'!$G$9-1)),-'Renovation Budget'!$C$9/'Renovation Budget'!$G$9,0)</f>
        <v/>
      </c>
      <c r="AM79" s="228">
        <f>IF(AND(AM$11&gt;=(12*(YEAR('Renovation Budget'!$F$9)-YEAR(Assumptions!$F$11))+(MONTH('Renovation Budget'!$F$9)-MONTH(Assumptions!$F$11))),AM$11&lt;=((12*(YEAR('Renovation Budget'!$F$9)-YEAR(Assumptions!$F$11))+(MONTH('Renovation Budget'!$F$9)-MONTH(Assumptions!$F$11)))+'Renovation Budget'!$G$9-1)),-'Renovation Budget'!$C$9/'Renovation Budget'!$G$9,0)</f>
        <v/>
      </c>
      <c r="AN79" s="228">
        <f>IF(AND(AN$11&gt;=(12*(YEAR('Renovation Budget'!$F$9)-YEAR(Assumptions!$F$11))+(MONTH('Renovation Budget'!$F$9)-MONTH(Assumptions!$F$11))),AN$11&lt;=((12*(YEAR('Renovation Budget'!$F$9)-YEAR(Assumptions!$F$11))+(MONTH('Renovation Budget'!$F$9)-MONTH(Assumptions!$F$11)))+'Renovation Budget'!$G$9-1)),-'Renovation Budget'!$C$9/'Renovation Budget'!$G$9,0)</f>
        <v/>
      </c>
      <c r="AO79" s="228">
        <f>IF(AND(AO$11&gt;=(12*(YEAR('Renovation Budget'!$F$9)-YEAR(Assumptions!$F$11))+(MONTH('Renovation Budget'!$F$9)-MONTH(Assumptions!$F$11))),AO$11&lt;=((12*(YEAR('Renovation Budget'!$F$9)-YEAR(Assumptions!$F$11))+(MONTH('Renovation Budget'!$F$9)-MONTH(Assumptions!$F$11)))+'Renovation Budget'!$G$9-1)),-'Renovation Budget'!$C$9/'Renovation Budget'!$G$9,0)</f>
        <v/>
      </c>
      <c r="AP79" s="228">
        <f>IF(AND(AP$11&gt;=(12*(YEAR('Renovation Budget'!$F$9)-YEAR(Assumptions!$F$11))+(MONTH('Renovation Budget'!$F$9)-MONTH(Assumptions!$F$11))),AP$11&lt;=((12*(YEAR('Renovation Budget'!$F$9)-YEAR(Assumptions!$F$11))+(MONTH('Renovation Budget'!$F$9)-MONTH(Assumptions!$F$11)))+'Renovation Budget'!$G$9-1)),-'Renovation Budget'!$C$9/'Renovation Budget'!$G$9,0)</f>
        <v/>
      </c>
      <c r="AQ79" s="228">
        <f>IF(AND(AQ$11&gt;=(12*(YEAR('Renovation Budget'!$F$9)-YEAR(Assumptions!$F$11))+(MONTH('Renovation Budget'!$F$9)-MONTH(Assumptions!$F$11))),AQ$11&lt;=((12*(YEAR('Renovation Budget'!$F$9)-YEAR(Assumptions!$F$11))+(MONTH('Renovation Budget'!$F$9)-MONTH(Assumptions!$F$11)))+'Renovation Budget'!$G$9-1)),-'Renovation Budget'!$C$9/'Renovation Budget'!$G$9,0)</f>
        <v/>
      </c>
      <c r="AR79" s="228">
        <f>IF(AND(AR$11&gt;=(12*(YEAR('Renovation Budget'!$F$9)-YEAR(Assumptions!$F$11))+(MONTH('Renovation Budget'!$F$9)-MONTH(Assumptions!$F$11))),AR$11&lt;=((12*(YEAR('Renovation Budget'!$F$9)-YEAR(Assumptions!$F$11))+(MONTH('Renovation Budget'!$F$9)-MONTH(Assumptions!$F$11)))+'Renovation Budget'!$G$9-1)),-'Renovation Budget'!$C$9/'Renovation Budget'!$G$9,0)</f>
        <v/>
      </c>
      <c r="AS79" s="228">
        <f>IF(AND(AS$11&gt;=(12*(YEAR('Renovation Budget'!$F$9)-YEAR(Assumptions!$F$11))+(MONTH('Renovation Budget'!$F$9)-MONTH(Assumptions!$F$11))),AS$11&lt;=((12*(YEAR('Renovation Budget'!$F$9)-YEAR(Assumptions!$F$11))+(MONTH('Renovation Budget'!$F$9)-MONTH(Assumptions!$F$11)))+'Renovation Budget'!$G$9-1)),-'Renovation Budget'!$C$9/'Renovation Budget'!$G$9,0)</f>
        <v/>
      </c>
      <c r="AT79" s="228">
        <f>IF(AND(AT$11&gt;=(12*(YEAR('Renovation Budget'!$F$9)-YEAR(Assumptions!$F$11))+(MONTH('Renovation Budget'!$F$9)-MONTH(Assumptions!$F$11))),AT$11&lt;=((12*(YEAR('Renovation Budget'!$F$9)-YEAR(Assumptions!$F$11))+(MONTH('Renovation Budget'!$F$9)-MONTH(Assumptions!$F$11)))+'Renovation Budget'!$G$9-1)),-'Renovation Budget'!$C$9/'Renovation Budget'!$G$9,0)</f>
        <v/>
      </c>
      <c r="AU79" s="228">
        <f>IF(AND(AU$11&gt;=(12*(YEAR('Renovation Budget'!$F$9)-YEAR(Assumptions!$F$11))+(MONTH('Renovation Budget'!$F$9)-MONTH(Assumptions!$F$11))),AU$11&lt;=((12*(YEAR('Renovation Budget'!$F$9)-YEAR(Assumptions!$F$11))+(MONTH('Renovation Budget'!$F$9)-MONTH(Assumptions!$F$11)))+'Renovation Budget'!$G$9-1)),-'Renovation Budget'!$C$9/'Renovation Budget'!$G$9,0)</f>
        <v/>
      </c>
      <c r="AV79" s="228">
        <f>IF(AND(AV$11&gt;=(12*(YEAR('Renovation Budget'!$F$9)-YEAR(Assumptions!$F$11))+(MONTH('Renovation Budget'!$F$9)-MONTH(Assumptions!$F$11))),AV$11&lt;=((12*(YEAR('Renovation Budget'!$F$9)-YEAR(Assumptions!$F$11))+(MONTH('Renovation Budget'!$F$9)-MONTH(Assumptions!$F$11)))+'Renovation Budget'!$G$9-1)),-'Renovation Budget'!$C$9/'Renovation Budget'!$G$9,0)</f>
        <v/>
      </c>
      <c r="AW79" s="228">
        <f>IF(AND(AW$11&gt;=(12*(YEAR('Renovation Budget'!$F$9)-YEAR(Assumptions!$F$11))+(MONTH('Renovation Budget'!$F$9)-MONTH(Assumptions!$F$11))),AW$11&lt;=((12*(YEAR('Renovation Budget'!$F$9)-YEAR(Assumptions!$F$11))+(MONTH('Renovation Budget'!$F$9)-MONTH(Assumptions!$F$11)))+'Renovation Budget'!$G$9-1)),-'Renovation Budget'!$C$9/'Renovation Budget'!$G$9,0)</f>
        <v/>
      </c>
      <c r="AX79" s="228">
        <f>IF(AND(AX$11&gt;=(12*(YEAR('Renovation Budget'!$F$9)-YEAR(Assumptions!$F$11))+(MONTH('Renovation Budget'!$F$9)-MONTH(Assumptions!$F$11))),AX$11&lt;=((12*(YEAR('Renovation Budget'!$F$9)-YEAR(Assumptions!$F$11))+(MONTH('Renovation Budget'!$F$9)-MONTH(Assumptions!$F$11)))+'Renovation Budget'!$G$9-1)),-'Renovation Budget'!$C$9/'Renovation Budget'!$G$9,0)</f>
        <v/>
      </c>
      <c r="AY79" s="228">
        <f>IF(AND(AY$11&gt;=(12*(YEAR('Renovation Budget'!$F$9)-YEAR(Assumptions!$F$11))+(MONTH('Renovation Budget'!$F$9)-MONTH(Assumptions!$F$11))),AY$11&lt;=((12*(YEAR('Renovation Budget'!$F$9)-YEAR(Assumptions!$F$11))+(MONTH('Renovation Budget'!$F$9)-MONTH(Assumptions!$F$11)))+'Renovation Budget'!$G$9-1)),-'Renovation Budget'!$C$9/'Renovation Budget'!$G$9,0)</f>
        <v/>
      </c>
      <c r="AZ79" s="228">
        <f>IF(AND(AZ$11&gt;=(12*(YEAR('Renovation Budget'!$F$9)-YEAR(Assumptions!$F$11))+(MONTH('Renovation Budget'!$F$9)-MONTH(Assumptions!$F$11))),AZ$11&lt;=((12*(YEAR('Renovation Budget'!$F$9)-YEAR(Assumptions!$F$11))+(MONTH('Renovation Budget'!$F$9)-MONTH(Assumptions!$F$11)))+'Renovation Budget'!$G$9-1)),-'Renovation Budget'!$C$9/'Renovation Budget'!$G$9,0)</f>
        <v/>
      </c>
      <c r="BA79" s="228">
        <f>IF(AND(BA$11&gt;=(12*(YEAR('Renovation Budget'!$F$9)-YEAR(Assumptions!$F$11))+(MONTH('Renovation Budget'!$F$9)-MONTH(Assumptions!$F$11))),BA$11&lt;=((12*(YEAR('Renovation Budget'!$F$9)-YEAR(Assumptions!$F$11))+(MONTH('Renovation Budget'!$F$9)-MONTH(Assumptions!$F$11)))+'Renovation Budget'!$G$9-1)),-'Renovation Budget'!$C$9/'Renovation Budget'!$G$9,0)</f>
        <v/>
      </c>
      <c r="BB79" s="228">
        <f>IF(AND(BB$11&gt;=(12*(YEAR('Renovation Budget'!$F$9)-YEAR(Assumptions!$F$11))+(MONTH('Renovation Budget'!$F$9)-MONTH(Assumptions!$F$11))),BB$11&lt;=((12*(YEAR('Renovation Budget'!$F$9)-YEAR(Assumptions!$F$11))+(MONTH('Renovation Budget'!$F$9)-MONTH(Assumptions!$F$11)))+'Renovation Budget'!$G$9-1)),-'Renovation Budget'!$C$9/'Renovation Budget'!$G$9,0)</f>
        <v/>
      </c>
      <c r="BC79" s="228">
        <f>IF(AND(BC$11&gt;=(12*(YEAR('Renovation Budget'!$F$9)-YEAR(Assumptions!$F$11))+(MONTH('Renovation Budget'!$F$9)-MONTH(Assumptions!$F$11))),BC$11&lt;=((12*(YEAR('Renovation Budget'!$F$9)-YEAR(Assumptions!$F$11))+(MONTH('Renovation Budget'!$F$9)-MONTH(Assumptions!$F$11)))+'Renovation Budget'!$G$9-1)),-'Renovation Budget'!$C$9/'Renovation Budget'!$G$9,0)</f>
        <v/>
      </c>
      <c r="BD79" s="228">
        <f>IF(AND(BD$11&gt;=(12*(YEAR('Renovation Budget'!$F$9)-YEAR(Assumptions!$F$11))+(MONTH('Renovation Budget'!$F$9)-MONTH(Assumptions!$F$11))),BD$11&lt;=((12*(YEAR('Renovation Budget'!$F$9)-YEAR(Assumptions!$F$11))+(MONTH('Renovation Budget'!$F$9)-MONTH(Assumptions!$F$11)))+'Renovation Budget'!$G$9-1)),-'Renovation Budget'!$C$9/'Renovation Budget'!$G$9,0)</f>
        <v/>
      </c>
      <c r="BE79" s="228">
        <f>IF(AND(BE$11&gt;=(12*(YEAR('Renovation Budget'!$F$9)-YEAR(Assumptions!$F$11))+(MONTH('Renovation Budget'!$F$9)-MONTH(Assumptions!$F$11))),BE$11&lt;=((12*(YEAR('Renovation Budget'!$F$9)-YEAR(Assumptions!$F$11))+(MONTH('Renovation Budget'!$F$9)-MONTH(Assumptions!$F$11)))+'Renovation Budget'!$G$9-1)),-'Renovation Budget'!$C$9/'Renovation Budget'!$G$9,0)</f>
        <v/>
      </c>
      <c r="BF79" s="228">
        <f>IF(AND(BF$11&gt;=(12*(YEAR('Renovation Budget'!$F$9)-YEAR(Assumptions!$F$11))+(MONTH('Renovation Budget'!$F$9)-MONTH(Assumptions!$F$11))),BF$11&lt;=((12*(YEAR('Renovation Budget'!$F$9)-YEAR(Assumptions!$F$11))+(MONTH('Renovation Budget'!$F$9)-MONTH(Assumptions!$F$11)))+'Renovation Budget'!$G$9-1)),-'Renovation Budget'!$C$9/'Renovation Budget'!$G$9,0)</f>
        <v/>
      </c>
      <c r="BG79" s="228">
        <f>IF(AND(BG$11&gt;=(12*(YEAR('Renovation Budget'!$F$9)-YEAR(Assumptions!$F$11))+(MONTH('Renovation Budget'!$F$9)-MONTH(Assumptions!$F$11))),BG$11&lt;=((12*(YEAR('Renovation Budget'!$F$9)-YEAR(Assumptions!$F$11))+(MONTH('Renovation Budget'!$F$9)-MONTH(Assumptions!$F$11)))+'Renovation Budget'!$G$9-1)),-'Renovation Budget'!$C$9/'Renovation Budget'!$G$9,0)</f>
        <v/>
      </c>
      <c r="BH79" s="228">
        <f>IF(AND(BH$11&gt;=(12*(YEAR('Renovation Budget'!$F$9)-YEAR(Assumptions!$F$11))+(MONTH('Renovation Budget'!$F$9)-MONTH(Assumptions!$F$11))),BH$11&lt;=((12*(YEAR('Renovation Budget'!$F$9)-YEAR(Assumptions!$F$11))+(MONTH('Renovation Budget'!$F$9)-MONTH(Assumptions!$F$11)))+'Renovation Budget'!$G$9-1)),-'Renovation Budget'!$C$9/'Renovation Budget'!$G$9,0)</f>
        <v/>
      </c>
      <c r="BI79" s="228">
        <f>IF(AND(BI$11&gt;=(12*(YEAR('Renovation Budget'!$F$9)-YEAR(Assumptions!$F$11))+(MONTH('Renovation Budget'!$F$9)-MONTH(Assumptions!$F$11))),BI$11&lt;=((12*(YEAR('Renovation Budget'!$F$9)-YEAR(Assumptions!$F$11))+(MONTH('Renovation Budget'!$F$9)-MONTH(Assumptions!$F$11)))+'Renovation Budget'!$G$9-1)),-'Renovation Budget'!$C$9/'Renovation Budget'!$G$9,0)</f>
        <v/>
      </c>
      <c r="BJ79" s="228">
        <f>IF(AND(BJ$11&gt;=(12*(YEAR('Renovation Budget'!$F$9)-YEAR(Assumptions!$F$11))+(MONTH('Renovation Budget'!$F$9)-MONTH(Assumptions!$F$11))),BJ$11&lt;=((12*(YEAR('Renovation Budget'!$F$9)-YEAR(Assumptions!$F$11))+(MONTH('Renovation Budget'!$F$9)-MONTH(Assumptions!$F$11)))+'Renovation Budget'!$G$9-1)),-'Renovation Budget'!$C$9/'Renovation Budget'!$G$9,0)</f>
        <v/>
      </c>
      <c r="BK79" s="228">
        <f>IF(AND(BK$11&gt;=(12*(YEAR('Renovation Budget'!$F$9)-YEAR(Assumptions!$F$11))+(MONTH('Renovation Budget'!$F$9)-MONTH(Assumptions!$F$11))),BK$11&lt;=((12*(YEAR('Renovation Budget'!$F$9)-YEAR(Assumptions!$F$11))+(MONTH('Renovation Budget'!$F$9)-MONTH(Assumptions!$F$11)))+'Renovation Budget'!$G$9-1)),-'Renovation Budget'!$C$9/'Renovation Budget'!$G$9,0)</f>
        <v/>
      </c>
      <c r="BL79" s="228">
        <f>IF(AND(BL$11&gt;=(12*(YEAR('Renovation Budget'!$F$9)-YEAR(Assumptions!$F$11))+(MONTH('Renovation Budget'!$F$9)-MONTH(Assumptions!$F$11))),BL$11&lt;=((12*(YEAR('Renovation Budget'!$F$9)-YEAR(Assumptions!$F$11))+(MONTH('Renovation Budget'!$F$9)-MONTH(Assumptions!$F$11)))+'Renovation Budget'!$G$9-1)),-'Renovation Budget'!$C$9/'Renovation Budget'!$G$9,0)</f>
        <v/>
      </c>
      <c r="BM79" s="228">
        <f>IF(AND(BM$11&gt;=(12*(YEAR('Renovation Budget'!$F$9)-YEAR(Assumptions!$F$11))+(MONTH('Renovation Budget'!$F$9)-MONTH(Assumptions!$F$11))),BM$11&lt;=((12*(YEAR('Renovation Budget'!$F$9)-YEAR(Assumptions!$F$11))+(MONTH('Renovation Budget'!$F$9)-MONTH(Assumptions!$F$11)))+'Renovation Budget'!$G$9-1)),-'Renovation Budget'!$C$9/'Renovation Budget'!$G$9,0)</f>
        <v/>
      </c>
      <c r="BN79" s="228">
        <f>IF(AND(BN$11&gt;=(12*(YEAR('Renovation Budget'!$F$9)-YEAR(Assumptions!$F$11))+(MONTH('Renovation Budget'!$F$9)-MONTH(Assumptions!$F$11))),BN$11&lt;=((12*(YEAR('Renovation Budget'!$F$9)-YEAR(Assumptions!$F$11))+(MONTH('Renovation Budget'!$F$9)-MONTH(Assumptions!$F$11)))+'Renovation Budget'!$G$9-1)),-'Renovation Budget'!$C$9/'Renovation Budget'!$G$9,0)</f>
        <v/>
      </c>
      <c r="BO79" s="228">
        <f>IF(AND(BO$11&gt;=(12*(YEAR('Renovation Budget'!$F$9)-YEAR(Assumptions!$F$11))+(MONTH('Renovation Budget'!$F$9)-MONTH(Assumptions!$F$11))),BO$11&lt;=((12*(YEAR('Renovation Budget'!$F$9)-YEAR(Assumptions!$F$11))+(MONTH('Renovation Budget'!$F$9)-MONTH(Assumptions!$F$11)))+'Renovation Budget'!$G$9-1)),-'Renovation Budget'!$C$9/'Renovation Budget'!$G$9,0)</f>
        <v/>
      </c>
      <c r="BP79" s="228">
        <f>IF(AND(BP$11&gt;=(12*(YEAR('Renovation Budget'!$F$9)-YEAR(Assumptions!$F$11))+(MONTH('Renovation Budget'!$F$9)-MONTH(Assumptions!$F$11))),BP$11&lt;=((12*(YEAR('Renovation Budget'!$F$9)-YEAR(Assumptions!$F$11))+(MONTH('Renovation Budget'!$F$9)-MONTH(Assumptions!$F$11)))+'Renovation Budget'!$G$9-1)),-'Renovation Budget'!$C$9/'Renovation Budget'!$G$9,0)</f>
        <v/>
      </c>
      <c r="BQ79" s="228">
        <f>IF(AND(BQ$11&gt;=(12*(YEAR('Renovation Budget'!$F$9)-YEAR(Assumptions!$F$11))+(MONTH('Renovation Budget'!$F$9)-MONTH(Assumptions!$F$11))),BQ$11&lt;=((12*(YEAR('Renovation Budget'!$F$9)-YEAR(Assumptions!$F$11))+(MONTH('Renovation Budget'!$F$9)-MONTH(Assumptions!$F$11)))+'Renovation Budget'!$G$9-1)),-'Renovation Budget'!$C$9/'Renovation Budget'!$G$9,0)</f>
        <v/>
      </c>
      <c r="BR79" s="228">
        <f>IF(AND(BR$11&gt;=(12*(YEAR('Renovation Budget'!$F$9)-YEAR(Assumptions!$F$11))+(MONTH('Renovation Budget'!$F$9)-MONTH(Assumptions!$F$11))),BR$11&lt;=((12*(YEAR('Renovation Budget'!$F$9)-YEAR(Assumptions!$F$11))+(MONTH('Renovation Budget'!$F$9)-MONTH(Assumptions!$F$11)))+'Renovation Budget'!$G$9-1)),-'Renovation Budget'!$C$9/'Renovation Budget'!$G$9,0)</f>
        <v/>
      </c>
      <c r="BS79" s="228">
        <f>IF(AND(BS$11&gt;=(12*(YEAR('Renovation Budget'!$F$9)-YEAR(Assumptions!$F$11))+(MONTH('Renovation Budget'!$F$9)-MONTH(Assumptions!$F$11))),BS$11&lt;=((12*(YEAR('Renovation Budget'!$F$9)-YEAR(Assumptions!$F$11))+(MONTH('Renovation Budget'!$F$9)-MONTH(Assumptions!$F$11)))+'Renovation Budget'!$G$9-1)),-'Renovation Budget'!$C$9/'Renovation Budget'!$G$9,0)</f>
        <v/>
      </c>
      <c r="BT79" s="228">
        <f>IF(AND(BT$11&gt;=(12*(YEAR('Renovation Budget'!$F$9)-YEAR(Assumptions!$F$11))+(MONTH('Renovation Budget'!$F$9)-MONTH(Assumptions!$F$11))),BT$11&lt;=((12*(YEAR('Renovation Budget'!$F$9)-YEAR(Assumptions!$F$11))+(MONTH('Renovation Budget'!$F$9)-MONTH(Assumptions!$F$11)))+'Renovation Budget'!$G$9-1)),-'Renovation Budget'!$C$9/'Renovation Budget'!$G$9,0)</f>
        <v/>
      </c>
      <c r="BU79" s="228">
        <f>IF(AND(BU$11&gt;=(12*(YEAR('Renovation Budget'!$F$9)-YEAR(Assumptions!$F$11))+(MONTH('Renovation Budget'!$F$9)-MONTH(Assumptions!$F$11))),BU$11&lt;=((12*(YEAR('Renovation Budget'!$F$9)-YEAR(Assumptions!$F$11))+(MONTH('Renovation Budget'!$F$9)-MONTH(Assumptions!$F$11)))+'Renovation Budget'!$G$9-1)),-'Renovation Budget'!$C$9/'Renovation Budget'!$G$9,0)</f>
        <v/>
      </c>
      <c r="BV79" s="228">
        <f>IF(AND(BV$11&gt;=(12*(YEAR('Renovation Budget'!$F$9)-YEAR(Assumptions!$F$11))+(MONTH('Renovation Budget'!$F$9)-MONTH(Assumptions!$F$11))),BV$11&lt;=((12*(YEAR('Renovation Budget'!$F$9)-YEAR(Assumptions!$F$11))+(MONTH('Renovation Budget'!$F$9)-MONTH(Assumptions!$F$11)))+'Renovation Budget'!$G$9-1)),-'Renovation Budget'!$C$9/'Renovation Budget'!$G$9,0)</f>
        <v/>
      </c>
      <c r="BW79" s="228">
        <f>IF(AND(BW$11&gt;=(12*(YEAR('Renovation Budget'!$F$9)-YEAR(Assumptions!$F$11))+(MONTH('Renovation Budget'!$F$9)-MONTH(Assumptions!$F$11))),BW$11&lt;=((12*(YEAR('Renovation Budget'!$F$9)-YEAR(Assumptions!$F$11))+(MONTH('Renovation Budget'!$F$9)-MONTH(Assumptions!$F$11)))+'Renovation Budget'!$G$9-1)),-'Renovation Budget'!$C$9/'Renovation Budget'!$G$9,0)</f>
        <v/>
      </c>
      <c r="BX79" s="228">
        <f>IF(AND(BX$11&gt;=(12*(YEAR('Renovation Budget'!$F$9)-YEAR(Assumptions!$F$11))+(MONTH('Renovation Budget'!$F$9)-MONTH(Assumptions!$F$11))),BX$11&lt;=((12*(YEAR('Renovation Budget'!$F$9)-YEAR(Assumptions!$F$11))+(MONTH('Renovation Budget'!$F$9)-MONTH(Assumptions!$F$11)))+'Renovation Budget'!$G$9-1)),-'Renovation Budget'!$C$9/'Renovation Budget'!$G$9,0)</f>
        <v/>
      </c>
      <c r="BY79" s="228">
        <f>IF(AND(BY$11&gt;=(12*(YEAR('Renovation Budget'!$F$9)-YEAR(Assumptions!$F$11))+(MONTH('Renovation Budget'!$F$9)-MONTH(Assumptions!$F$11))),BY$11&lt;=((12*(YEAR('Renovation Budget'!$F$9)-YEAR(Assumptions!$F$11))+(MONTH('Renovation Budget'!$F$9)-MONTH(Assumptions!$F$11)))+'Renovation Budget'!$G$9-1)),-'Renovation Budget'!$C$9/'Renovation Budget'!$G$9,0)</f>
        <v/>
      </c>
      <c r="BZ79" s="228">
        <f>IF(AND(BZ$11&gt;=(12*(YEAR('Renovation Budget'!$F$9)-YEAR(Assumptions!$F$11))+(MONTH('Renovation Budget'!$F$9)-MONTH(Assumptions!$F$11))),BZ$11&lt;=((12*(YEAR('Renovation Budget'!$F$9)-YEAR(Assumptions!$F$11))+(MONTH('Renovation Budget'!$F$9)-MONTH(Assumptions!$F$11)))+'Renovation Budget'!$G$9-1)),-'Renovation Budget'!$C$9/'Renovation Budget'!$G$9,0)</f>
        <v/>
      </c>
      <c r="CA79" s="228">
        <f>IF(AND(CA$11&gt;=(12*(YEAR('Renovation Budget'!$F$9)-YEAR(Assumptions!$F$11))+(MONTH('Renovation Budget'!$F$9)-MONTH(Assumptions!$F$11))),CA$11&lt;=((12*(YEAR('Renovation Budget'!$F$9)-YEAR(Assumptions!$F$11))+(MONTH('Renovation Budget'!$F$9)-MONTH(Assumptions!$F$11)))+'Renovation Budget'!$G$9-1)),-'Renovation Budget'!$C$9/'Renovation Budget'!$G$9,0)</f>
        <v/>
      </c>
      <c r="CB79" s="228">
        <f>IF(AND(CB$11&gt;=(12*(YEAR('Renovation Budget'!$F$9)-YEAR(Assumptions!$F$11))+(MONTH('Renovation Budget'!$F$9)-MONTH(Assumptions!$F$11))),CB$11&lt;=((12*(YEAR('Renovation Budget'!$F$9)-YEAR(Assumptions!$F$11))+(MONTH('Renovation Budget'!$F$9)-MONTH(Assumptions!$F$11)))+'Renovation Budget'!$G$9-1)),-'Renovation Budget'!$C$9/'Renovation Budget'!$G$9,0)</f>
        <v/>
      </c>
      <c r="CC79" s="228">
        <f>IF(AND(CC$11&gt;=(12*(YEAR('Renovation Budget'!$F$9)-YEAR(Assumptions!$F$11))+(MONTH('Renovation Budget'!$F$9)-MONTH(Assumptions!$F$11))),CC$11&lt;=((12*(YEAR('Renovation Budget'!$F$9)-YEAR(Assumptions!$F$11))+(MONTH('Renovation Budget'!$F$9)-MONTH(Assumptions!$F$11)))+'Renovation Budget'!$G$9-1)),-'Renovation Budget'!$C$9/'Renovation Budget'!$G$9,0)</f>
        <v/>
      </c>
      <c r="CD79" s="228">
        <f>IF(AND(CD$11&gt;=(12*(YEAR('Renovation Budget'!$F$9)-YEAR(Assumptions!$F$11))+(MONTH('Renovation Budget'!$F$9)-MONTH(Assumptions!$F$11))),CD$11&lt;=((12*(YEAR('Renovation Budget'!$F$9)-YEAR(Assumptions!$F$11))+(MONTH('Renovation Budget'!$F$9)-MONTH(Assumptions!$F$11)))+'Renovation Budget'!$G$9-1)),-'Renovation Budget'!$C$9/'Renovation Budget'!$G$9,0)</f>
        <v/>
      </c>
      <c r="CE79" s="228">
        <f>IF(AND(CE$11&gt;=(12*(YEAR('Renovation Budget'!$F$9)-YEAR(Assumptions!$F$11))+(MONTH('Renovation Budget'!$F$9)-MONTH(Assumptions!$F$11))),CE$11&lt;=((12*(YEAR('Renovation Budget'!$F$9)-YEAR(Assumptions!$F$11))+(MONTH('Renovation Budget'!$F$9)-MONTH(Assumptions!$F$11)))+'Renovation Budget'!$G$9-1)),-'Renovation Budget'!$C$9/'Renovation Budget'!$G$9,0)</f>
        <v/>
      </c>
      <c r="CF79" s="228">
        <f>IF(AND(CF$11&gt;=(12*(YEAR('Renovation Budget'!$F$9)-YEAR(Assumptions!$F$11))+(MONTH('Renovation Budget'!$F$9)-MONTH(Assumptions!$F$11))),CF$11&lt;=((12*(YEAR('Renovation Budget'!$F$9)-YEAR(Assumptions!$F$11))+(MONTH('Renovation Budget'!$F$9)-MONTH(Assumptions!$F$11)))+'Renovation Budget'!$G$9-1)),-'Renovation Budget'!$C$9/'Renovation Budget'!$G$9,0)</f>
        <v/>
      </c>
      <c r="CG79" s="228">
        <f>IF(AND(CG$11&gt;=(12*(YEAR('Renovation Budget'!$F$9)-YEAR(Assumptions!$F$11))+(MONTH('Renovation Budget'!$F$9)-MONTH(Assumptions!$F$11))),CG$11&lt;=((12*(YEAR('Renovation Budget'!$F$9)-YEAR(Assumptions!$F$11))+(MONTH('Renovation Budget'!$F$9)-MONTH(Assumptions!$F$11)))+'Renovation Budget'!$G$9-1)),-'Renovation Budget'!$C$9/'Renovation Budget'!$G$9,0)</f>
        <v/>
      </c>
      <c r="CH79" s="228">
        <f>IF(AND(CH$11&gt;=(12*(YEAR('Renovation Budget'!$F$9)-YEAR(Assumptions!$F$11))+(MONTH('Renovation Budget'!$F$9)-MONTH(Assumptions!$F$11))),CH$11&lt;=((12*(YEAR('Renovation Budget'!$F$9)-YEAR(Assumptions!$F$11))+(MONTH('Renovation Budget'!$F$9)-MONTH(Assumptions!$F$11)))+'Renovation Budget'!$G$9-1)),-'Renovation Budget'!$C$9/'Renovation Budget'!$G$9,0)</f>
        <v/>
      </c>
      <c r="CI79" s="228">
        <f>IF(AND(CI$11&gt;=(12*(YEAR('Renovation Budget'!$F$9)-YEAR(Assumptions!$F$11))+(MONTH('Renovation Budget'!$F$9)-MONTH(Assumptions!$F$11))),CI$11&lt;=((12*(YEAR('Renovation Budget'!$F$9)-YEAR(Assumptions!$F$11))+(MONTH('Renovation Budget'!$F$9)-MONTH(Assumptions!$F$11)))+'Renovation Budget'!$G$9-1)),-'Renovation Budget'!$C$9/'Renovation Budget'!$G$9,0)</f>
        <v/>
      </c>
      <c r="CJ79" s="228">
        <f>IF(AND(CJ$11&gt;=(12*(YEAR('Renovation Budget'!$F$9)-YEAR(Assumptions!$F$11))+(MONTH('Renovation Budget'!$F$9)-MONTH(Assumptions!$F$11))),CJ$11&lt;=((12*(YEAR('Renovation Budget'!$F$9)-YEAR(Assumptions!$F$11))+(MONTH('Renovation Budget'!$F$9)-MONTH(Assumptions!$F$11)))+'Renovation Budget'!$G$9-1)),-'Renovation Budget'!$C$9/'Renovation Budget'!$G$9,0)</f>
        <v/>
      </c>
      <c r="CK79" s="228">
        <f>IF(AND(CK$11&gt;=(12*(YEAR('Renovation Budget'!$F$9)-YEAR(Assumptions!$F$11))+(MONTH('Renovation Budget'!$F$9)-MONTH(Assumptions!$F$11))),CK$11&lt;=((12*(YEAR('Renovation Budget'!$F$9)-YEAR(Assumptions!$F$11))+(MONTH('Renovation Budget'!$F$9)-MONTH(Assumptions!$F$11)))+'Renovation Budget'!$G$9-1)),-'Renovation Budget'!$C$9/'Renovation Budget'!$G$9,0)</f>
        <v/>
      </c>
      <c r="CL79" s="228">
        <f>IF(AND(CL$11&gt;=(12*(YEAR('Renovation Budget'!$F$9)-YEAR(Assumptions!$F$11))+(MONTH('Renovation Budget'!$F$9)-MONTH(Assumptions!$F$11))),CL$11&lt;=((12*(YEAR('Renovation Budget'!$F$9)-YEAR(Assumptions!$F$11))+(MONTH('Renovation Budget'!$F$9)-MONTH(Assumptions!$F$11)))+'Renovation Budget'!$G$9-1)),-'Renovation Budget'!$C$9/'Renovation Budget'!$G$9,0)</f>
        <v/>
      </c>
      <c r="CM79" s="228">
        <f>IF(AND(CM$11&gt;=(12*(YEAR('Renovation Budget'!$F$9)-YEAR(Assumptions!$F$11))+(MONTH('Renovation Budget'!$F$9)-MONTH(Assumptions!$F$11))),CM$11&lt;=((12*(YEAR('Renovation Budget'!$F$9)-YEAR(Assumptions!$F$11))+(MONTH('Renovation Budget'!$F$9)-MONTH(Assumptions!$F$11)))+'Renovation Budget'!$G$9-1)),-'Renovation Budget'!$C$9/'Renovation Budget'!$G$9,0)</f>
        <v/>
      </c>
      <c r="CN79" s="228">
        <f>IF(AND(CN$11&gt;=(12*(YEAR('Renovation Budget'!$F$9)-YEAR(Assumptions!$F$11))+(MONTH('Renovation Budget'!$F$9)-MONTH(Assumptions!$F$11))),CN$11&lt;=((12*(YEAR('Renovation Budget'!$F$9)-YEAR(Assumptions!$F$11))+(MONTH('Renovation Budget'!$F$9)-MONTH(Assumptions!$F$11)))+'Renovation Budget'!$G$9-1)),-'Renovation Budget'!$C$9/'Renovation Budget'!$G$9,0)</f>
        <v/>
      </c>
      <c r="CO79" s="228">
        <f>IF(AND(CO$11&gt;=(12*(YEAR('Renovation Budget'!$F$9)-YEAR(Assumptions!$F$11))+(MONTH('Renovation Budget'!$F$9)-MONTH(Assumptions!$F$11))),CO$11&lt;=((12*(YEAR('Renovation Budget'!$F$9)-YEAR(Assumptions!$F$11))+(MONTH('Renovation Budget'!$F$9)-MONTH(Assumptions!$F$11)))+'Renovation Budget'!$G$9-1)),-'Renovation Budget'!$C$9/'Renovation Budget'!$G$9,0)</f>
        <v/>
      </c>
      <c r="CP79" s="228">
        <f>IF(AND(CP$11&gt;=(12*(YEAR('Renovation Budget'!$F$9)-YEAR(Assumptions!$F$11))+(MONTH('Renovation Budget'!$F$9)-MONTH(Assumptions!$F$11))),CP$11&lt;=((12*(YEAR('Renovation Budget'!$F$9)-YEAR(Assumptions!$F$11))+(MONTH('Renovation Budget'!$F$9)-MONTH(Assumptions!$F$11)))+'Renovation Budget'!$G$9-1)),-'Renovation Budget'!$C$9/'Renovation Budget'!$G$9,0)</f>
        <v/>
      </c>
      <c r="CQ79" s="228">
        <f>IF(AND(CQ$11&gt;=(12*(YEAR('Renovation Budget'!$F$9)-YEAR(Assumptions!$F$11))+(MONTH('Renovation Budget'!$F$9)-MONTH(Assumptions!$F$11))),CQ$11&lt;=((12*(YEAR('Renovation Budget'!$F$9)-YEAR(Assumptions!$F$11))+(MONTH('Renovation Budget'!$F$9)-MONTH(Assumptions!$F$11)))+'Renovation Budget'!$G$9-1)),-'Renovation Budget'!$C$9/'Renovation Budget'!$G$9,0)</f>
        <v/>
      </c>
      <c r="CR79" s="228">
        <f>IF(AND(CR$11&gt;=(12*(YEAR('Renovation Budget'!$F$9)-YEAR(Assumptions!$F$11))+(MONTH('Renovation Budget'!$F$9)-MONTH(Assumptions!$F$11))),CR$11&lt;=((12*(YEAR('Renovation Budget'!$F$9)-YEAR(Assumptions!$F$11))+(MONTH('Renovation Budget'!$F$9)-MONTH(Assumptions!$F$11)))+'Renovation Budget'!$G$9-1)),-'Renovation Budget'!$C$9/'Renovation Budget'!$G$9,0)</f>
        <v/>
      </c>
      <c r="CS79" s="228">
        <f>IF(AND(CS$11&gt;=(12*(YEAR('Renovation Budget'!$F$9)-YEAR(Assumptions!$F$11))+(MONTH('Renovation Budget'!$F$9)-MONTH(Assumptions!$F$11))),CS$11&lt;=((12*(YEAR('Renovation Budget'!$F$9)-YEAR(Assumptions!$F$11))+(MONTH('Renovation Budget'!$F$9)-MONTH(Assumptions!$F$11)))+'Renovation Budget'!$G$9-1)),-'Renovation Budget'!$C$9/'Renovation Budget'!$G$9,0)</f>
        <v/>
      </c>
      <c r="CT79" s="228">
        <f>IF(AND(CT$11&gt;=(12*(YEAR('Renovation Budget'!$F$9)-YEAR(Assumptions!$F$11))+(MONTH('Renovation Budget'!$F$9)-MONTH(Assumptions!$F$11))),CT$11&lt;=((12*(YEAR('Renovation Budget'!$F$9)-YEAR(Assumptions!$F$11))+(MONTH('Renovation Budget'!$F$9)-MONTH(Assumptions!$F$11)))+'Renovation Budget'!$G$9-1)),-'Renovation Budget'!$C$9/'Renovation Budget'!$G$9,0)</f>
        <v/>
      </c>
      <c r="CU79" s="228">
        <f>IF(AND(CU$11&gt;=(12*(YEAR('Renovation Budget'!$F$9)-YEAR(Assumptions!$F$11))+(MONTH('Renovation Budget'!$F$9)-MONTH(Assumptions!$F$11))),CU$11&lt;=((12*(YEAR('Renovation Budget'!$F$9)-YEAR(Assumptions!$F$11))+(MONTH('Renovation Budget'!$F$9)-MONTH(Assumptions!$F$11)))+'Renovation Budget'!$G$9-1)),-'Renovation Budget'!$C$9/'Renovation Budget'!$G$9,0)</f>
        <v/>
      </c>
      <c r="CV79" s="228">
        <f>IF(AND(CV$11&gt;=(12*(YEAR('Renovation Budget'!$F$9)-YEAR(Assumptions!$F$11))+(MONTH('Renovation Budget'!$F$9)-MONTH(Assumptions!$F$11))),CV$11&lt;=((12*(YEAR('Renovation Budget'!$F$9)-YEAR(Assumptions!$F$11))+(MONTH('Renovation Budget'!$F$9)-MONTH(Assumptions!$F$11)))+'Renovation Budget'!$G$9-1)),-'Renovation Budget'!$C$9/'Renovation Budget'!$G$9,0)</f>
        <v/>
      </c>
      <c r="CW79" s="228">
        <f>IF(AND(CW$11&gt;=(12*(YEAR('Renovation Budget'!$F$9)-YEAR(Assumptions!$F$11))+(MONTH('Renovation Budget'!$F$9)-MONTH(Assumptions!$F$11))),CW$11&lt;=((12*(YEAR('Renovation Budget'!$F$9)-YEAR(Assumptions!$F$11))+(MONTH('Renovation Budget'!$F$9)-MONTH(Assumptions!$F$11)))+'Renovation Budget'!$G$9-1)),-'Renovation Budget'!$C$9/'Renovation Budget'!$G$9,0)</f>
        <v/>
      </c>
      <c r="CX79" s="228">
        <f>IF(AND(CX$11&gt;=(12*(YEAR('Renovation Budget'!$F$9)-YEAR(Assumptions!$F$11))+(MONTH('Renovation Budget'!$F$9)-MONTH(Assumptions!$F$11))),CX$11&lt;=((12*(YEAR('Renovation Budget'!$F$9)-YEAR(Assumptions!$F$11))+(MONTH('Renovation Budget'!$F$9)-MONTH(Assumptions!$F$11)))+'Renovation Budget'!$G$9-1)),-'Renovation Budget'!$C$9/'Renovation Budget'!$G$9,0)</f>
        <v/>
      </c>
      <c r="CY79" s="228">
        <f>IF(AND(CY$11&gt;=(12*(YEAR('Renovation Budget'!$F$9)-YEAR(Assumptions!$F$11))+(MONTH('Renovation Budget'!$F$9)-MONTH(Assumptions!$F$11))),CY$11&lt;=((12*(YEAR('Renovation Budget'!$F$9)-YEAR(Assumptions!$F$11))+(MONTH('Renovation Budget'!$F$9)-MONTH(Assumptions!$F$11)))+'Renovation Budget'!$G$9-1)),-'Renovation Budget'!$C$9/'Renovation Budget'!$G$9,0)</f>
        <v/>
      </c>
      <c r="CZ79" s="228">
        <f>IF(AND(CZ$11&gt;=(12*(YEAR('Renovation Budget'!$F$9)-YEAR(Assumptions!$F$11))+(MONTH('Renovation Budget'!$F$9)-MONTH(Assumptions!$F$11))),CZ$11&lt;=((12*(YEAR('Renovation Budget'!$F$9)-YEAR(Assumptions!$F$11))+(MONTH('Renovation Budget'!$F$9)-MONTH(Assumptions!$F$11)))+'Renovation Budget'!$G$9-1)),-'Renovation Budget'!$C$9/'Renovation Budget'!$G$9,0)</f>
        <v/>
      </c>
      <c r="DA79" s="228">
        <f>IF(AND(DA$11&gt;=(12*(YEAR('Renovation Budget'!$F$9)-YEAR(Assumptions!$F$11))+(MONTH('Renovation Budget'!$F$9)-MONTH(Assumptions!$F$11))),DA$11&lt;=((12*(YEAR('Renovation Budget'!$F$9)-YEAR(Assumptions!$F$11))+(MONTH('Renovation Budget'!$F$9)-MONTH(Assumptions!$F$11)))+'Renovation Budget'!$G$9-1)),-'Renovation Budget'!$C$9/'Renovation Budget'!$G$9,0)</f>
        <v/>
      </c>
      <c r="DB79" s="228">
        <f>IF(AND(DB$11&gt;=(12*(YEAR('Renovation Budget'!$F$9)-YEAR(Assumptions!$F$11))+(MONTH('Renovation Budget'!$F$9)-MONTH(Assumptions!$F$11))),DB$11&lt;=((12*(YEAR('Renovation Budget'!$F$9)-YEAR(Assumptions!$F$11))+(MONTH('Renovation Budget'!$F$9)-MONTH(Assumptions!$F$11)))+'Renovation Budget'!$G$9-1)),-'Renovation Budget'!$C$9/'Renovation Budget'!$G$9,0)</f>
        <v/>
      </c>
      <c r="DC79" s="228">
        <f>IF(AND(DC$11&gt;=(12*(YEAR('Renovation Budget'!$F$9)-YEAR(Assumptions!$F$11))+(MONTH('Renovation Budget'!$F$9)-MONTH(Assumptions!$F$11))),DC$11&lt;=((12*(YEAR('Renovation Budget'!$F$9)-YEAR(Assumptions!$F$11))+(MONTH('Renovation Budget'!$F$9)-MONTH(Assumptions!$F$11)))+'Renovation Budget'!$G$9-1)),-'Renovation Budget'!$C$9/'Renovation Budget'!$G$9,0)</f>
        <v/>
      </c>
      <c r="DD79" s="228">
        <f>IF(AND(DD$11&gt;=(12*(YEAR('Renovation Budget'!$F$9)-YEAR(Assumptions!$F$11))+(MONTH('Renovation Budget'!$F$9)-MONTH(Assumptions!$F$11))),DD$11&lt;=((12*(YEAR('Renovation Budget'!$F$9)-YEAR(Assumptions!$F$11))+(MONTH('Renovation Budget'!$F$9)-MONTH(Assumptions!$F$11)))+'Renovation Budget'!$G$9-1)),-'Renovation Budget'!$C$9/'Renovation Budget'!$G$9,0)</f>
        <v/>
      </c>
      <c r="DE79" s="228">
        <f>IF(AND(DE$11&gt;=(12*(YEAR('Renovation Budget'!$F$9)-YEAR(Assumptions!$F$11))+(MONTH('Renovation Budget'!$F$9)-MONTH(Assumptions!$F$11))),DE$11&lt;=((12*(YEAR('Renovation Budget'!$F$9)-YEAR(Assumptions!$F$11))+(MONTH('Renovation Budget'!$F$9)-MONTH(Assumptions!$F$11)))+'Renovation Budget'!$G$9-1)),-'Renovation Budget'!$C$9/'Renovation Budget'!$G$9,0)</f>
        <v/>
      </c>
      <c r="DF79" s="228">
        <f>IF(AND(DF$11&gt;=(12*(YEAR('Renovation Budget'!$F$9)-YEAR(Assumptions!$F$11))+(MONTH('Renovation Budget'!$F$9)-MONTH(Assumptions!$F$11))),DF$11&lt;=((12*(YEAR('Renovation Budget'!$F$9)-YEAR(Assumptions!$F$11))+(MONTH('Renovation Budget'!$F$9)-MONTH(Assumptions!$F$11)))+'Renovation Budget'!$G$9-1)),-'Renovation Budget'!$C$9/'Renovation Budget'!$G$9,0)</f>
        <v/>
      </c>
      <c r="DG79" s="228">
        <f>IF(AND(DG$11&gt;=(12*(YEAR('Renovation Budget'!$F$9)-YEAR(Assumptions!$F$11))+(MONTH('Renovation Budget'!$F$9)-MONTH(Assumptions!$F$11))),DG$11&lt;=((12*(YEAR('Renovation Budget'!$F$9)-YEAR(Assumptions!$F$11))+(MONTH('Renovation Budget'!$F$9)-MONTH(Assumptions!$F$11)))+'Renovation Budget'!$G$9-1)),-'Renovation Budget'!$C$9/'Renovation Budget'!$G$9,0)</f>
        <v/>
      </c>
      <c r="DH79" s="228">
        <f>IF(AND(DH$11&gt;=(12*(YEAR('Renovation Budget'!$F$9)-YEAR(Assumptions!$F$11))+(MONTH('Renovation Budget'!$F$9)-MONTH(Assumptions!$F$11))),DH$11&lt;=((12*(YEAR('Renovation Budget'!$F$9)-YEAR(Assumptions!$F$11))+(MONTH('Renovation Budget'!$F$9)-MONTH(Assumptions!$F$11)))+'Renovation Budget'!$G$9-1)),-'Renovation Budget'!$C$9/'Renovation Budget'!$G$9,0)</f>
        <v/>
      </c>
      <c r="DI79" s="228">
        <f>IF(AND(DI$11&gt;=(12*(YEAR('Renovation Budget'!$F$9)-YEAR(Assumptions!$F$11))+(MONTH('Renovation Budget'!$F$9)-MONTH(Assumptions!$F$11))),DI$11&lt;=((12*(YEAR('Renovation Budget'!$F$9)-YEAR(Assumptions!$F$11))+(MONTH('Renovation Budget'!$F$9)-MONTH(Assumptions!$F$11)))+'Renovation Budget'!$G$9-1)),-'Renovation Budget'!$C$9/'Renovation Budget'!$G$9,0)</f>
        <v/>
      </c>
      <c r="DJ79" s="228">
        <f>IF(AND(DJ$11&gt;=(12*(YEAR('Renovation Budget'!$F$9)-YEAR(Assumptions!$F$11))+(MONTH('Renovation Budget'!$F$9)-MONTH(Assumptions!$F$11))),DJ$11&lt;=((12*(YEAR('Renovation Budget'!$F$9)-YEAR(Assumptions!$F$11))+(MONTH('Renovation Budget'!$F$9)-MONTH(Assumptions!$F$11)))+'Renovation Budget'!$G$9-1)),-'Renovation Budget'!$C$9/'Renovation Budget'!$G$9,0)</f>
        <v/>
      </c>
      <c r="DK79" s="228">
        <f>IF(AND(DK$11&gt;=(12*(YEAR('Renovation Budget'!$F$9)-YEAR(Assumptions!$F$11))+(MONTH('Renovation Budget'!$F$9)-MONTH(Assumptions!$F$11))),DK$11&lt;=((12*(YEAR('Renovation Budget'!$F$9)-YEAR(Assumptions!$F$11))+(MONTH('Renovation Budget'!$F$9)-MONTH(Assumptions!$F$11)))+'Renovation Budget'!$G$9-1)),-'Renovation Budget'!$C$9/'Renovation Budget'!$G$9,0)</f>
        <v/>
      </c>
      <c r="DL79" s="228">
        <f>IF(AND(DL$11&gt;=(12*(YEAR('Renovation Budget'!$F$9)-YEAR(Assumptions!$F$11))+(MONTH('Renovation Budget'!$F$9)-MONTH(Assumptions!$F$11))),DL$11&lt;=((12*(YEAR('Renovation Budget'!$F$9)-YEAR(Assumptions!$F$11))+(MONTH('Renovation Budget'!$F$9)-MONTH(Assumptions!$F$11)))+'Renovation Budget'!$G$9-1)),-'Renovation Budget'!$C$9/'Renovation Budget'!$G$9,0)</f>
        <v/>
      </c>
      <c r="DM79" s="228">
        <f>IF(AND(DM$11&gt;=(12*(YEAR('Renovation Budget'!$F$9)-YEAR(Assumptions!$F$11))+(MONTH('Renovation Budget'!$F$9)-MONTH(Assumptions!$F$11))),DM$11&lt;=((12*(YEAR('Renovation Budget'!$F$9)-YEAR(Assumptions!$F$11))+(MONTH('Renovation Budget'!$F$9)-MONTH(Assumptions!$F$11)))+'Renovation Budget'!$G$9-1)),-'Renovation Budget'!$C$9/'Renovation Budget'!$G$9,0)</f>
        <v/>
      </c>
      <c r="DN79" s="228">
        <f>IF(AND(DN$11&gt;=(12*(YEAR('Renovation Budget'!$F$9)-YEAR(Assumptions!$F$11))+(MONTH('Renovation Budget'!$F$9)-MONTH(Assumptions!$F$11))),DN$11&lt;=((12*(YEAR('Renovation Budget'!$F$9)-YEAR(Assumptions!$F$11))+(MONTH('Renovation Budget'!$F$9)-MONTH(Assumptions!$F$11)))+'Renovation Budget'!$G$9-1)),-'Renovation Budget'!$C$9/'Renovation Budget'!$G$9,0)</f>
        <v/>
      </c>
      <c r="DO79" s="228">
        <f>IF(AND(DO$11&gt;=(12*(YEAR('Renovation Budget'!$F$9)-YEAR(Assumptions!$F$11))+(MONTH('Renovation Budget'!$F$9)-MONTH(Assumptions!$F$11))),DO$11&lt;=((12*(YEAR('Renovation Budget'!$F$9)-YEAR(Assumptions!$F$11))+(MONTH('Renovation Budget'!$F$9)-MONTH(Assumptions!$F$11)))+'Renovation Budget'!$G$9-1)),-'Renovation Budget'!$C$9/'Renovation Budget'!$G$9,0)</f>
        <v/>
      </c>
      <c r="DP79" s="228">
        <f>IF(AND(DP$11&gt;=(12*(YEAR('Renovation Budget'!$F$9)-YEAR(Assumptions!$F$11))+(MONTH('Renovation Budget'!$F$9)-MONTH(Assumptions!$F$11))),DP$11&lt;=((12*(YEAR('Renovation Budget'!$F$9)-YEAR(Assumptions!$F$11))+(MONTH('Renovation Budget'!$F$9)-MONTH(Assumptions!$F$11)))+'Renovation Budget'!$G$9-1)),-'Renovation Budget'!$C$9/'Renovation Budget'!$G$9,0)</f>
        <v/>
      </c>
      <c r="DQ79" s="228">
        <f>IF(AND(DQ$11&gt;=(12*(YEAR('Renovation Budget'!$F$9)-YEAR(Assumptions!$F$11))+(MONTH('Renovation Budget'!$F$9)-MONTH(Assumptions!$F$11))),DQ$11&lt;=((12*(YEAR('Renovation Budget'!$F$9)-YEAR(Assumptions!$F$11))+(MONTH('Renovation Budget'!$F$9)-MONTH(Assumptions!$F$11)))+'Renovation Budget'!$G$9-1)),-'Renovation Budget'!$C$9/'Renovation Budget'!$G$9,0)</f>
        <v/>
      </c>
      <c r="DR79" s="228">
        <f>IF(AND(DR$11&gt;=(12*(YEAR('Renovation Budget'!$F$9)-YEAR(Assumptions!$F$11))+(MONTH('Renovation Budget'!$F$9)-MONTH(Assumptions!$F$11))),DR$11&lt;=((12*(YEAR('Renovation Budget'!$F$9)-YEAR(Assumptions!$F$11))+(MONTH('Renovation Budget'!$F$9)-MONTH(Assumptions!$F$11)))+'Renovation Budget'!$G$9-1)),-'Renovation Budget'!$C$9/'Renovation Budget'!$G$9,0)</f>
        <v/>
      </c>
      <c r="DS79" s="228">
        <f>IF(AND(DS$11&gt;=(12*(YEAR('Renovation Budget'!$F$9)-YEAR(Assumptions!$F$11))+(MONTH('Renovation Budget'!$F$9)-MONTH(Assumptions!$F$11))),DS$11&lt;=((12*(YEAR('Renovation Budget'!$F$9)-YEAR(Assumptions!$F$11))+(MONTH('Renovation Budget'!$F$9)-MONTH(Assumptions!$F$11)))+'Renovation Budget'!$G$9-1)),-'Renovation Budget'!$C$9/'Renovation Budget'!$G$9,0)</f>
        <v/>
      </c>
      <c r="DT79" s="228">
        <f>IF(AND(DT$11&gt;=(12*(YEAR('Renovation Budget'!$F$9)-YEAR(Assumptions!$F$11))+(MONTH('Renovation Budget'!$F$9)-MONTH(Assumptions!$F$11))),DT$11&lt;=((12*(YEAR('Renovation Budget'!$F$9)-YEAR(Assumptions!$F$11))+(MONTH('Renovation Budget'!$F$9)-MONTH(Assumptions!$F$11)))+'Renovation Budget'!$G$9-1)),-'Renovation Budget'!$C$9/'Renovation Budget'!$G$9,0)</f>
        <v/>
      </c>
    </row>
    <row r="80" ht="15" customHeight="1" s="148">
      <c r="A80" s="112" t="inlineStr">
        <is>
          <t>Sitework</t>
        </is>
      </c>
      <c r="C80" s="228">
        <f>SUM(D80:DT80)</f>
        <v/>
      </c>
      <c r="D80" s="228">
        <f>IF(AND(D$11&gt;=(12*(YEAR('Renovation Budget'!$F$10)-YEAR(Assumptions!$F$11))+(MONTH('Renovation Budget'!$F$10)-MONTH(Assumptions!$F$11))),D$11&lt;=((12*(YEAR('Renovation Budget'!$F$10)-YEAR(Assumptions!$F$11))+(MONTH('Renovation Budget'!$F$10)-MONTH(Assumptions!$F$11)))+'Renovation Budget'!$G$10-1)),-'Renovation Budget'!$C$10/'Renovation Budget'!$G$10,0)</f>
        <v/>
      </c>
      <c r="E80" s="228">
        <f>IF(AND(E$11&gt;=(12*(YEAR('Renovation Budget'!$F$10)-YEAR(Assumptions!$F$11))+(MONTH('Renovation Budget'!$F$10)-MONTH(Assumptions!$F$11))),E$11&lt;=((12*(YEAR('Renovation Budget'!$F$10)-YEAR(Assumptions!$F$11))+(MONTH('Renovation Budget'!$F$10)-MONTH(Assumptions!$F$11)))+'Renovation Budget'!$G$10-1)),-'Renovation Budget'!$C$10/'Renovation Budget'!$G$10,0)</f>
        <v/>
      </c>
      <c r="F80" s="228">
        <f>IF(AND(F$11&gt;=(12*(YEAR('Renovation Budget'!$F$10)-YEAR(Assumptions!$F$11))+(MONTH('Renovation Budget'!$F$10)-MONTH(Assumptions!$F$11))),F$11&lt;=((12*(YEAR('Renovation Budget'!$F$10)-YEAR(Assumptions!$F$11))+(MONTH('Renovation Budget'!$F$10)-MONTH(Assumptions!$F$11)))+'Renovation Budget'!$G$10-1)),-'Renovation Budget'!$C$10/'Renovation Budget'!$G$10,0)</f>
        <v/>
      </c>
      <c r="G80" s="228">
        <f>IF(AND(G$11&gt;=(12*(YEAR('Renovation Budget'!$F$10)-YEAR(Assumptions!$F$11))+(MONTH('Renovation Budget'!$F$10)-MONTH(Assumptions!$F$11))),G$11&lt;=((12*(YEAR('Renovation Budget'!$F$10)-YEAR(Assumptions!$F$11))+(MONTH('Renovation Budget'!$F$10)-MONTH(Assumptions!$F$11)))+'Renovation Budget'!$G$10-1)),-'Renovation Budget'!$C$10/'Renovation Budget'!$G$10,0)</f>
        <v/>
      </c>
      <c r="H80" s="228">
        <f>IF(AND(H$11&gt;=(12*(YEAR('Renovation Budget'!$F$10)-YEAR(Assumptions!$F$11))+(MONTH('Renovation Budget'!$F$10)-MONTH(Assumptions!$F$11))),H$11&lt;=((12*(YEAR('Renovation Budget'!$F$10)-YEAR(Assumptions!$F$11))+(MONTH('Renovation Budget'!$F$10)-MONTH(Assumptions!$F$11)))+'Renovation Budget'!$G$10-1)),-'Renovation Budget'!$C$10/'Renovation Budget'!$G$10,0)</f>
        <v/>
      </c>
      <c r="I80" s="228">
        <f>IF(AND(I$11&gt;=(12*(YEAR('Renovation Budget'!$F$10)-YEAR(Assumptions!$F$11))+(MONTH('Renovation Budget'!$F$10)-MONTH(Assumptions!$F$11))),I$11&lt;=((12*(YEAR('Renovation Budget'!$F$10)-YEAR(Assumptions!$F$11))+(MONTH('Renovation Budget'!$F$10)-MONTH(Assumptions!$F$11)))+'Renovation Budget'!$G$10-1)),-'Renovation Budget'!$C$10/'Renovation Budget'!$G$10,0)</f>
        <v/>
      </c>
      <c r="J80" s="228">
        <f>IF(AND(J$11&gt;=(12*(YEAR('Renovation Budget'!$F$10)-YEAR(Assumptions!$F$11))+(MONTH('Renovation Budget'!$F$10)-MONTH(Assumptions!$F$11))),J$11&lt;=((12*(YEAR('Renovation Budget'!$F$10)-YEAR(Assumptions!$F$11))+(MONTH('Renovation Budget'!$F$10)-MONTH(Assumptions!$F$11)))+'Renovation Budget'!$G$10-1)),-'Renovation Budget'!$C$10/'Renovation Budget'!$G$10,0)</f>
        <v/>
      </c>
      <c r="K80" s="228">
        <f>IF(AND(K$11&gt;=(12*(YEAR('Renovation Budget'!$F$10)-YEAR(Assumptions!$F$11))+(MONTH('Renovation Budget'!$F$10)-MONTH(Assumptions!$F$11))),K$11&lt;=((12*(YEAR('Renovation Budget'!$F$10)-YEAR(Assumptions!$F$11))+(MONTH('Renovation Budget'!$F$10)-MONTH(Assumptions!$F$11)))+'Renovation Budget'!$G$10-1)),-'Renovation Budget'!$C$10/'Renovation Budget'!$G$10,0)</f>
        <v/>
      </c>
      <c r="L80" s="228">
        <f>IF(AND(L$11&gt;=(12*(YEAR('Renovation Budget'!$F$10)-YEAR(Assumptions!$F$11))+(MONTH('Renovation Budget'!$F$10)-MONTH(Assumptions!$F$11))),L$11&lt;=((12*(YEAR('Renovation Budget'!$F$10)-YEAR(Assumptions!$F$11))+(MONTH('Renovation Budget'!$F$10)-MONTH(Assumptions!$F$11)))+'Renovation Budget'!$G$10-1)),-'Renovation Budget'!$C$10/'Renovation Budget'!$G$10,0)</f>
        <v/>
      </c>
      <c r="M80" s="228">
        <f>IF(AND(M$11&gt;=(12*(YEAR('Renovation Budget'!$F$10)-YEAR(Assumptions!$F$11))+(MONTH('Renovation Budget'!$F$10)-MONTH(Assumptions!$F$11))),M$11&lt;=((12*(YEAR('Renovation Budget'!$F$10)-YEAR(Assumptions!$F$11))+(MONTH('Renovation Budget'!$F$10)-MONTH(Assumptions!$F$11)))+'Renovation Budget'!$G$10-1)),-'Renovation Budget'!$C$10/'Renovation Budget'!$G$10,0)</f>
        <v/>
      </c>
      <c r="N80" s="228">
        <f>IF(AND(N$11&gt;=(12*(YEAR('Renovation Budget'!$F$10)-YEAR(Assumptions!$F$11))+(MONTH('Renovation Budget'!$F$10)-MONTH(Assumptions!$F$11))),N$11&lt;=((12*(YEAR('Renovation Budget'!$F$10)-YEAR(Assumptions!$F$11))+(MONTH('Renovation Budget'!$F$10)-MONTH(Assumptions!$F$11)))+'Renovation Budget'!$G$10-1)),-'Renovation Budget'!$C$10/'Renovation Budget'!$G$10,0)</f>
        <v/>
      </c>
      <c r="O80" s="228">
        <f>IF(AND(O$11&gt;=(12*(YEAR('Renovation Budget'!$F$10)-YEAR(Assumptions!$F$11))+(MONTH('Renovation Budget'!$F$10)-MONTH(Assumptions!$F$11))),O$11&lt;=((12*(YEAR('Renovation Budget'!$F$10)-YEAR(Assumptions!$F$11))+(MONTH('Renovation Budget'!$F$10)-MONTH(Assumptions!$F$11)))+'Renovation Budget'!$G$10-1)),-'Renovation Budget'!$C$10/'Renovation Budget'!$G$10,0)</f>
        <v/>
      </c>
      <c r="P80" s="228">
        <f>IF(AND(P$11&gt;=(12*(YEAR('Renovation Budget'!$F$10)-YEAR(Assumptions!$F$11))+(MONTH('Renovation Budget'!$F$10)-MONTH(Assumptions!$F$11))),P$11&lt;=((12*(YEAR('Renovation Budget'!$F$10)-YEAR(Assumptions!$F$11))+(MONTH('Renovation Budget'!$F$10)-MONTH(Assumptions!$F$11)))+'Renovation Budget'!$G$10-1)),-'Renovation Budget'!$C$10/'Renovation Budget'!$G$10,0)</f>
        <v/>
      </c>
      <c r="Q80" s="228">
        <f>IF(AND(Q$11&gt;=(12*(YEAR('Renovation Budget'!$F$10)-YEAR(Assumptions!$F$11))+(MONTH('Renovation Budget'!$F$10)-MONTH(Assumptions!$F$11))),Q$11&lt;=((12*(YEAR('Renovation Budget'!$F$10)-YEAR(Assumptions!$F$11))+(MONTH('Renovation Budget'!$F$10)-MONTH(Assumptions!$F$11)))+'Renovation Budget'!$G$10-1)),-'Renovation Budget'!$C$10/'Renovation Budget'!$G$10,0)</f>
        <v/>
      </c>
      <c r="R80" s="228">
        <f>IF(AND(R$11&gt;=(12*(YEAR('Renovation Budget'!$F$10)-YEAR(Assumptions!$F$11))+(MONTH('Renovation Budget'!$F$10)-MONTH(Assumptions!$F$11))),R$11&lt;=((12*(YEAR('Renovation Budget'!$F$10)-YEAR(Assumptions!$F$11))+(MONTH('Renovation Budget'!$F$10)-MONTH(Assumptions!$F$11)))+'Renovation Budget'!$G$10-1)),-'Renovation Budget'!$C$10/'Renovation Budget'!$G$10,0)</f>
        <v/>
      </c>
      <c r="S80" s="228">
        <f>IF(AND(S$11&gt;=(12*(YEAR('Renovation Budget'!$F$10)-YEAR(Assumptions!$F$11))+(MONTH('Renovation Budget'!$F$10)-MONTH(Assumptions!$F$11))),S$11&lt;=((12*(YEAR('Renovation Budget'!$F$10)-YEAR(Assumptions!$F$11))+(MONTH('Renovation Budget'!$F$10)-MONTH(Assumptions!$F$11)))+'Renovation Budget'!$G$10-1)),-'Renovation Budget'!$C$10/'Renovation Budget'!$G$10,0)</f>
        <v/>
      </c>
      <c r="T80" s="228">
        <f>IF(AND(T$11&gt;=(12*(YEAR('Renovation Budget'!$F$10)-YEAR(Assumptions!$F$11))+(MONTH('Renovation Budget'!$F$10)-MONTH(Assumptions!$F$11))),T$11&lt;=((12*(YEAR('Renovation Budget'!$F$10)-YEAR(Assumptions!$F$11))+(MONTH('Renovation Budget'!$F$10)-MONTH(Assumptions!$F$11)))+'Renovation Budget'!$G$10-1)),-'Renovation Budget'!$C$10/'Renovation Budget'!$G$10,0)</f>
        <v/>
      </c>
      <c r="U80" s="228">
        <f>IF(AND(U$11&gt;=(12*(YEAR('Renovation Budget'!$F$10)-YEAR(Assumptions!$F$11))+(MONTH('Renovation Budget'!$F$10)-MONTH(Assumptions!$F$11))),U$11&lt;=((12*(YEAR('Renovation Budget'!$F$10)-YEAR(Assumptions!$F$11))+(MONTH('Renovation Budget'!$F$10)-MONTH(Assumptions!$F$11)))+'Renovation Budget'!$G$10-1)),-'Renovation Budget'!$C$10/'Renovation Budget'!$G$10,0)</f>
        <v/>
      </c>
      <c r="V80" s="228">
        <f>IF(AND(V$11&gt;=(12*(YEAR('Renovation Budget'!$F$10)-YEAR(Assumptions!$F$11))+(MONTH('Renovation Budget'!$F$10)-MONTH(Assumptions!$F$11))),V$11&lt;=((12*(YEAR('Renovation Budget'!$F$10)-YEAR(Assumptions!$F$11))+(MONTH('Renovation Budget'!$F$10)-MONTH(Assumptions!$F$11)))+'Renovation Budget'!$G$10-1)),-'Renovation Budget'!$C$10/'Renovation Budget'!$G$10,0)</f>
        <v/>
      </c>
      <c r="W80" s="228">
        <f>IF(AND(W$11&gt;=(12*(YEAR('Renovation Budget'!$F$10)-YEAR(Assumptions!$F$11))+(MONTH('Renovation Budget'!$F$10)-MONTH(Assumptions!$F$11))),W$11&lt;=((12*(YEAR('Renovation Budget'!$F$10)-YEAR(Assumptions!$F$11))+(MONTH('Renovation Budget'!$F$10)-MONTH(Assumptions!$F$11)))+'Renovation Budget'!$G$10-1)),-'Renovation Budget'!$C$10/'Renovation Budget'!$G$10,0)</f>
        <v/>
      </c>
      <c r="X80" s="228">
        <f>IF(AND(X$11&gt;=(12*(YEAR('Renovation Budget'!$F$10)-YEAR(Assumptions!$F$11))+(MONTH('Renovation Budget'!$F$10)-MONTH(Assumptions!$F$11))),X$11&lt;=((12*(YEAR('Renovation Budget'!$F$10)-YEAR(Assumptions!$F$11))+(MONTH('Renovation Budget'!$F$10)-MONTH(Assumptions!$F$11)))+'Renovation Budget'!$G$10-1)),-'Renovation Budget'!$C$10/'Renovation Budget'!$G$10,0)</f>
        <v/>
      </c>
      <c r="Y80" s="228">
        <f>IF(AND(Y$11&gt;=(12*(YEAR('Renovation Budget'!$F$10)-YEAR(Assumptions!$F$11))+(MONTH('Renovation Budget'!$F$10)-MONTH(Assumptions!$F$11))),Y$11&lt;=((12*(YEAR('Renovation Budget'!$F$10)-YEAR(Assumptions!$F$11))+(MONTH('Renovation Budget'!$F$10)-MONTH(Assumptions!$F$11)))+'Renovation Budget'!$G$10-1)),-'Renovation Budget'!$C$10/'Renovation Budget'!$G$10,0)</f>
        <v/>
      </c>
      <c r="Z80" s="228">
        <f>IF(AND(Z$11&gt;=(12*(YEAR('Renovation Budget'!$F$10)-YEAR(Assumptions!$F$11))+(MONTH('Renovation Budget'!$F$10)-MONTH(Assumptions!$F$11))),Z$11&lt;=((12*(YEAR('Renovation Budget'!$F$10)-YEAR(Assumptions!$F$11))+(MONTH('Renovation Budget'!$F$10)-MONTH(Assumptions!$F$11)))+'Renovation Budget'!$G$10-1)),-'Renovation Budget'!$C$10/'Renovation Budget'!$G$10,0)</f>
        <v/>
      </c>
      <c r="AA80" s="228">
        <f>IF(AND(AA$11&gt;=(12*(YEAR('Renovation Budget'!$F$10)-YEAR(Assumptions!$F$11))+(MONTH('Renovation Budget'!$F$10)-MONTH(Assumptions!$F$11))),AA$11&lt;=((12*(YEAR('Renovation Budget'!$F$10)-YEAR(Assumptions!$F$11))+(MONTH('Renovation Budget'!$F$10)-MONTH(Assumptions!$F$11)))+'Renovation Budget'!$G$10-1)),-'Renovation Budget'!$C$10/'Renovation Budget'!$G$10,0)</f>
        <v/>
      </c>
      <c r="AB80" s="228">
        <f>IF(AND(AB$11&gt;=(12*(YEAR('Renovation Budget'!$F$10)-YEAR(Assumptions!$F$11))+(MONTH('Renovation Budget'!$F$10)-MONTH(Assumptions!$F$11))),AB$11&lt;=((12*(YEAR('Renovation Budget'!$F$10)-YEAR(Assumptions!$F$11))+(MONTH('Renovation Budget'!$F$10)-MONTH(Assumptions!$F$11)))+'Renovation Budget'!$G$10-1)),-'Renovation Budget'!$C$10/'Renovation Budget'!$G$10,0)</f>
        <v/>
      </c>
      <c r="AC80" s="228">
        <f>IF(AND(AC$11&gt;=(12*(YEAR('Renovation Budget'!$F$10)-YEAR(Assumptions!$F$11))+(MONTH('Renovation Budget'!$F$10)-MONTH(Assumptions!$F$11))),AC$11&lt;=((12*(YEAR('Renovation Budget'!$F$10)-YEAR(Assumptions!$F$11))+(MONTH('Renovation Budget'!$F$10)-MONTH(Assumptions!$F$11)))+'Renovation Budget'!$G$10-1)),-'Renovation Budget'!$C$10/'Renovation Budget'!$G$10,0)</f>
        <v/>
      </c>
      <c r="AD80" s="228">
        <f>IF(AND(AD$11&gt;=(12*(YEAR('Renovation Budget'!$F$10)-YEAR(Assumptions!$F$11))+(MONTH('Renovation Budget'!$F$10)-MONTH(Assumptions!$F$11))),AD$11&lt;=((12*(YEAR('Renovation Budget'!$F$10)-YEAR(Assumptions!$F$11))+(MONTH('Renovation Budget'!$F$10)-MONTH(Assumptions!$F$11)))+'Renovation Budget'!$G$10-1)),-'Renovation Budget'!$C$10/'Renovation Budget'!$G$10,0)</f>
        <v/>
      </c>
      <c r="AE80" s="228">
        <f>IF(AND(AE$11&gt;=(12*(YEAR('Renovation Budget'!$F$10)-YEAR(Assumptions!$F$11))+(MONTH('Renovation Budget'!$F$10)-MONTH(Assumptions!$F$11))),AE$11&lt;=((12*(YEAR('Renovation Budget'!$F$10)-YEAR(Assumptions!$F$11))+(MONTH('Renovation Budget'!$F$10)-MONTH(Assumptions!$F$11)))+'Renovation Budget'!$G$10-1)),-'Renovation Budget'!$C$10/'Renovation Budget'!$G$10,0)</f>
        <v/>
      </c>
      <c r="AF80" s="228">
        <f>IF(AND(AF$11&gt;=(12*(YEAR('Renovation Budget'!$F$10)-YEAR(Assumptions!$F$11))+(MONTH('Renovation Budget'!$F$10)-MONTH(Assumptions!$F$11))),AF$11&lt;=((12*(YEAR('Renovation Budget'!$F$10)-YEAR(Assumptions!$F$11))+(MONTH('Renovation Budget'!$F$10)-MONTH(Assumptions!$F$11)))+'Renovation Budget'!$G$10-1)),-'Renovation Budget'!$C$10/'Renovation Budget'!$G$10,0)</f>
        <v/>
      </c>
      <c r="AG80" s="228">
        <f>IF(AND(AG$11&gt;=(12*(YEAR('Renovation Budget'!$F$10)-YEAR(Assumptions!$F$11))+(MONTH('Renovation Budget'!$F$10)-MONTH(Assumptions!$F$11))),AG$11&lt;=((12*(YEAR('Renovation Budget'!$F$10)-YEAR(Assumptions!$F$11))+(MONTH('Renovation Budget'!$F$10)-MONTH(Assumptions!$F$11)))+'Renovation Budget'!$G$10-1)),-'Renovation Budget'!$C$10/'Renovation Budget'!$G$10,0)</f>
        <v/>
      </c>
      <c r="AH80" s="228">
        <f>IF(AND(AH$11&gt;=(12*(YEAR('Renovation Budget'!$F$10)-YEAR(Assumptions!$F$11))+(MONTH('Renovation Budget'!$F$10)-MONTH(Assumptions!$F$11))),AH$11&lt;=((12*(YEAR('Renovation Budget'!$F$10)-YEAR(Assumptions!$F$11))+(MONTH('Renovation Budget'!$F$10)-MONTH(Assumptions!$F$11)))+'Renovation Budget'!$G$10-1)),-'Renovation Budget'!$C$10/'Renovation Budget'!$G$10,0)</f>
        <v/>
      </c>
      <c r="AI80" s="228">
        <f>IF(AND(AI$11&gt;=(12*(YEAR('Renovation Budget'!$F$10)-YEAR(Assumptions!$F$11))+(MONTH('Renovation Budget'!$F$10)-MONTH(Assumptions!$F$11))),AI$11&lt;=((12*(YEAR('Renovation Budget'!$F$10)-YEAR(Assumptions!$F$11))+(MONTH('Renovation Budget'!$F$10)-MONTH(Assumptions!$F$11)))+'Renovation Budget'!$G$10-1)),-'Renovation Budget'!$C$10/'Renovation Budget'!$G$10,0)</f>
        <v/>
      </c>
      <c r="AJ80" s="228">
        <f>IF(AND(AJ$11&gt;=(12*(YEAR('Renovation Budget'!$F$10)-YEAR(Assumptions!$F$11))+(MONTH('Renovation Budget'!$F$10)-MONTH(Assumptions!$F$11))),AJ$11&lt;=((12*(YEAR('Renovation Budget'!$F$10)-YEAR(Assumptions!$F$11))+(MONTH('Renovation Budget'!$F$10)-MONTH(Assumptions!$F$11)))+'Renovation Budget'!$G$10-1)),-'Renovation Budget'!$C$10/'Renovation Budget'!$G$10,0)</f>
        <v/>
      </c>
      <c r="AK80" s="228">
        <f>IF(AND(AK$11&gt;=(12*(YEAR('Renovation Budget'!$F$10)-YEAR(Assumptions!$F$11))+(MONTH('Renovation Budget'!$F$10)-MONTH(Assumptions!$F$11))),AK$11&lt;=((12*(YEAR('Renovation Budget'!$F$10)-YEAR(Assumptions!$F$11))+(MONTH('Renovation Budget'!$F$10)-MONTH(Assumptions!$F$11)))+'Renovation Budget'!$G$10-1)),-'Renovation Budget'!$C$10/'Renovation Budget'!$G$10,0)</f>
        <v/>
      </c>
      <c r="AL80" s="228">
        <f>IF(AND(AL$11&gt;=(12*(YEAR('Renovation Budget'!$F$10)-YEAR(Assumptions!$F$11))+(MONTH('Renovation Budget'!$F$10)-MONTH(Assumptions!$F$11))),AL$11&lt;=((12*(YEAR('Renovation Budget'!$F$10)-YEAR(Assumptions!$F$11))+(MONTH('Renovation Budget'!$F$10)-MONTH(Assumptions!$F$11)))+'Renovation Budget'!$G$10-1)),-'Renovation Budget'!$C$10/'Renovation Budget'!$G$10,0)</f>
        <v/>
      </c>
      <c r="AM80" s="228">
        <f>IF(AND(AM$11&gt;=(12*(YEAR('Renovation Budget'!$F$10)-YEAR(Assumptions!$F$11))+(MONTH('Renovation Budget'!$F$10)-MONTH(Assumptions!$F$11))),AM$11&lt;=((12*(YEAR('Renovation Budget'!$F$10)-YEAR(Assumptions!$F$11))+(MONTH('Renovation Budget'!$F$10)-MONTH(Assumptions!$F$11)))+'Renovation Budget'!$G$10-1)),-'Renovation Budget'!$C$10/'Renovation Budget'!$G$10,0)</f>
        <v/>
      </c>
      <c r="AN80" s="228">
        <f>IF(AND(AN$11&gt;=(12*(YEAR('Renovation Budget'!$F$10)-YEAR(Assumptions!$F$11))+(MONTH('Renovation Budget'!$F$10)-MONTH(Assumptions!$F$11))),AN$11&lt;=((12*(YEAR('Renovation Budget'!$F$10)-YEAR(Assumptions!$F$11))+(MONTH('Renovation Budget'!$F$10)-MONTH(Assumptions!$F$11)))+'Renovation Budget'!$G$10-1)),-'Renovation Budget'!$C$10/'Renovation Budget'!$G$10,0)</f>
        <v/>
      </c>
      <c r="AO80" s="228">
        <f>IF(AND(AO$11&gt;=(12*(YEAR('Renovation Budget'!$F$10)-YEAR(Assumptions!$F$11))+(MONTH('Renovation Budget'!$F$10)-MONTH(Assumptions!$F$11))),AO$11&lt;=((12*(YEAR('Renovation Budget'!$F$10)-YEAR(Assumptions!$F$11))+(MONTH('Renovation Budget'!$F$10)-MONTH(Assumptions!$F$11)))+'Renovation Budget'!$G$10-1)),-'Renovation Budget'!$C$10/'Renovation Budget'!$G$10,0)</f>
        <v/>
      </c>
      <c r="AP80" s="228">
        <f>IF(AND(AP$11&gt;=(12*(YEAR('Renovation Budget'!$F$10)-YEAR(Assumptions!$F$11))+(MONTH('Renovation Budget'!$F$10)-MONTH(Assumptions!$F$11))),AP$11&lt;=((12*(YEAR('Renovation Budget'!$F$10)-YEAR(Assumptions!$F$11))+(MONTH('Renovation Budget'!$F$10)-MONTH(Assumptions!$F$11)))+'Renovation Budget'!$G$10-1)),-'Renovation Budget'!$C$10/'Renovation Budget'!$G$10,0)</f>
        <v/>
      </c>
      <c r="AQ80" s="228">
        <f>IF(AND(AQ$11&gt;=(12*(YEAR('Renovation Budget'!$F$10)-YEAR(Assumptions!$F$11))+(MONTH('Renovation Budget'!$F$10)-MONTH(Assumptions!$F$11))),AQ$11&lt;=((12*(YEAR('Renovation Budget'!$F$10)-YEAR(Assumptions!$F$11))+(MONTH('Renovation Budget'!$F$10)-MONTH(Assumptions!$F$11)))+'Renovation Budget'!$G$10-1)),-'Renovation Budget'!$C$10/'Renovation Budget'!$G$10,0)</f>
        <v/>
      </c>
      <c r="AR80" s="228">
        <f>IF(AND(AR$11&gt;=(12*(YEAR('Renovation Budget'!$F$10)-YEAR(Assumptions!$F$11))+(MONTH('Renovation Budget'!$F$10)-MONTH(Assumptions!$F$11))),AR$11&lt;=((12*(YEAR('Renovation Budget'!$F$10)-YEAR(Assumptions!$F$11))+(MONTH('Renovation Budget'!$F$10)-MONTH(Assumptions!$F$11)))+'Renovation Budget'!$G$10-1)),-'Renovation Budget'!$C$10/'Renovation Budget'!$G$10,0)</f>
        <v/>
      </c>
      <c r="AS80" s="228">
        <f>IF(AND(AS$11&gt;=(12*(YEAR('Renovation Budget'!$F$10)-YEAR(Assumptions!$F$11))+(MONTH('Renovation Budget'!$F$10)-MONTH(Assumptions!$F$11))),AS$11&lt;=((12*(YEAR('Renovation Budget'!$F$10)-YEAR(Assumptions!$F$11))+(MONTH('Renovation Budget'!$F$10)-MONTH(Assumptions!$F$11)))+'Renovation Budget'!$G$10-1)),-'Renovation Budget'!$C$10/'Renovation Budget'!$G$10,0)</f>
        <v/>
      </c>
      <c r="AT80" s="228">
        <f>IF(AND(AT$11&gt;=(12*(YEAR('Renovation Budget'!$F$10)-YEAR(Assumptions!$F$11))+(MONTH('Renovation Budget'!$F$10)-MONTH(Assumptions!$F$11))),AT$11&lt;=((12*(YEAR('Renovation Budget'!$F$10)-YEAR(Assumptions!$F$11))+(MONTH('Renovation Budget'!$F$10)-MONTH(Assumptions!$F$11)))+'Renovation Budget'!$G$10-1)),-'Renovation Budget'!$C$10/'Renovation Budget'!$G$10,0)</f>
        <v/>
      </c>
      <c r="AU80" s="228">
        <f>IF(AND(AU$11&gt;=(12*(YEAR('Renovation Budget'!$F$10)-YEAR(Assumptions!$F$11))+(MONTH('Renovation Budget'!$F$10)-MONTH(Assumptions!$F$11))),AU$11&lt;=((12*(YEAR('Renovation Budget'!$F$10)-YEAR(Assumptions!$F$11))+(MONTH('Renovation Budget'!$F$10)-MONTH(Assumptions!$F$11)))+'Renovation Budget'!$G$10-1)),-'Renovation Budget'!$C$10/'Renovation Budget'!$G$10,0)</f>
        <v/>
      </c>
      <c r="AV80" s="228">
        <f>IF(AND(AV$11&gt;=(12*(YEAR('Renovation Budget'!$F$10)-YEAR(Assumptions!$F$11))+(MONTH('Renovation Budget'!$F$10)-MONTH(Assumptions!$F$11))),AV$11&lt;=((12*(YEAR('Renovation Budget'!$F$10)-YEAR(Assumptions!$F$11))+(MONTH('Renovation Budget'!$F$10)-MONTH(Assumptions!$F$11)))+'Renovation Budget'!$G$10-1)),-'Renovation Budget'!$C$10/'Renovation Budget'!$G$10,0)</f>
        <v/>
      </c>
      <c r="AW80" s="228">
        <f>IF(AND(AW$11&gt;=(12*(YEAR('Renovation Budget'!$F$10)-YEAR(Assumptions!$F$11))+(MONTH('Renovation Budget'!$F$10)-MONTH(Assumptions!$F$11))),AW$11&lt;=((12*(YEAR('Renovation Budget'!$F$10)-YEAR(Assumptions!$F$11))+(MONTH('Renovation Budget'!$F$10)-MONTH(Assumptions!$F$11)))+'Renovation Budget'!$G$10-1)),-'Renovation Budget'!$C$10/'Renovation Budget'!$G$10,0)</f>
        <v/>
      </c>
      <c r="AX80" s="228">
        <f>IF(AND(AX$11&gt;=(12*(YEAR('Renovation Budget'!$F$10)-YEAR(Assumptions!$F$11))+(MONTH('Renovation Budget'!$F$10)-MONTH(Assumptions!$F$11))),AX$11&lt;=((12*(YEAR('Renovation Budget'!$F$10)-YEAR(Assumptions!$F$11))+(MONTH('Renovation Budget'!$F$10)-MONTH(Assumptions!$F$11)))+'Renovation Budget'!$G$10-1)),-'Renovation Budget'!$C$10/'Renovation Budget'!$G$10,0)</f>
        <v/>
      </c>
      <c r="AY80" s="228">
        <f>IF(AND(AY$11&gt;=(12*(YEAR('Renovation Budget'!$F$10)-YEAR(Assumptions!$F$11))+(MONTH('Renovation Budget'!$F$10)-MONTH(Assumptions!$F$11))),AY$11&lt;=((12*(YEAR('Renovation Budget'!$F$10)-YEAR(Assumptions!$F$11))+(MONTH('Renovation Budget'!$F$10)-MONTH(Assumptions!$F$11)))+'Renovation Budget'!$G$10-1)),-'Renovation Budget'!$C$10/'Renovation Budget'!$G$10,0)</f>
        <v/>
      </c>
      <c r="AZ80" s="228">
        <f>IF(AND(AZ$11&gt;=(12*(YEAR('Renovation Budget'!$F$10)-YEAR(Assumptions!$F$11))+(MONTH('Renovation Budget'!$F$10)-MONTH(Assumptions!$F$11))),AZ$11&lt;=((12*(YEAR('Renovation Budget'!$F$10)-YEAR(Assumptions!$F$11))+(MONTH('Renovation Budget'!$F$10)-MONTH(Assumptions!$F$11)))+'Renovation Budget'!$G$10-1)),-'Renovation Budget'!$C$10/'Renovation Budget'!$G$10,0)</f>
        <v/>
      </c>
      <c r="BA80" s="228">
        <f>IF(AND(BA$11&gt;=(12*(YEAR('Renovation Budget'!$F$10)-YEAR(Assumptions!$F$11))+(MONTH('Renovation Budget'!$F$10)-MONTH(Assumptions!$F$11))),BA$11&lt;=((12*(YEAR('Renovation Budget'!$F$10)-YEAR(Assumptions!$F$11))+(MONTH('Renovation Budget'!$F$10)-MONTH(Assumptions!$F$11)))+'Renovation Budget'!$G$10-1)),-'Renovation Budget'!$C$10/'Renovation Budget'!$G$10,0)</f>
        <v/>
      </c>
      <c r="BB80" s="228">
        <f>IF(AND(BB$11&gt;=(12*(YEAR('Renovation Budget'!$F$10)-YEAR(Assumptions!$F$11))+(MONTH('Renovation Budget'!$F$10)-MONTH(Assumptions!$F$11))),BB$11&lt;=((12*(YEAR('Renovation Budget'!$F$10)-YEAR(Assumptions!$F$11))+(MONTH('Renovation Budget'!$F$10)-MONTH(Assumptions!$F$11)))+'Renovation Budget'!$G$10-1)),-'Renovation Budget'!$C$10/'Renovation Budget'!$G$10,0)</f>
        <v/>
      </c>
      <c r="BC80" s="228">
        <f>IF(AND(BC$11&gt;=(12*(YEAR('Renovation Budget'!$F$10)-YEAR(Assumptions!$F$11))+(MONTH('Renovation Budget'!$F$10)-MONTH(Assumptions!$F$11))),BC$11&lt;=((12*(YEAR('Renovation Budget'!$F$10)-YEAR(Assumptions!$F$11))+(MONTH('Renovation Budget'!$F$10)-MONTH(Assumptions!$F$11)))+'Renovation Budget'!$G$10-1)),-'Renovation Budget'!$C$10/'Renovation Budget'!$G$10,0)</f>
        <v/>
      </c>
      <c r="BD80" s="228">
        <f>IF(AND(BD$11&gt;=(12*(YEAR('Renovation Budget'!$F$10)-YEAR(Assumptions!$F$11))+(MONTH('Renovation Budget'!$F$10)-MONTH(Assumptions!$F$11))),BD$11&lt;=((12*(YEAR('Renovation Budget'!$F$10)-YEAR(Assumptions!$F$11))+(MONTH('Renovation Budget'!$F$10)-MONTH(Assumptions!$F$11)))+'Renovation Budget'!$G$10-1)),-'Renovation Budget'!$C$10/'Renovation Budget'!$G$10,0)</f>
        <v/>
      </c>
      <c r="BE80" s="228">
        <f>IF(AND(BE$11&gt;=(12*(YEAR('Renovation Budget'!$F$10)-YEAR(Assumptions!$F$11))+(MONTH('Renovation Budget'!$F$10)-MONTH(Assumptions!$F$11))),BE$11&lt;=((12*(YEAR('Renovation Budget'!$F$10)-YEAR(Assumptions!$F$11))+(MONTH('Renovation Budget'!$F$10)-MONTH(Assumptions!$F$11)))+'Renovation Budget'!$G$10-1)),-'Renovation Budget'!$C$10/'Renovation Budget'!$G$10,0)</f>
        <v/>
      </c>
      <c r="BF80" s="228">
        <f>IF(AND(BF$11&gt;=(12*(YEAR('Renovation Budget'!$F$10)-YEAR(Assumptions!$F$11))+(MONTH('Renovation Budget'!$F$10)-MONTH(Assumptions!$F$11))),BF$11&lt;=((12*(YEAR('Renovation Budget'!$F$10)-YEAR(Assumptions!$F$11))+(MONTH('Renovation Budget'!$F$10)-MONTH(Assumptions!$F$11)))+'Renovation Budget'!$G$10-1)),-'Renovation Budget'!$C$10/'Renovation Budget'!$G$10,0)</f>
        <v/>
      </c>
      <c r="BG80" s="228">
        <f>IF(AND(BG$11&gt;=(12*(YEAR('Renovation Budget'!$F$10)-YEAR(Assumptions!$F$11))+(MONTH('Renovation Budget'!$F$10)-MONTH(Assumptions!$F$11))),BG$11&lt;=((12*(YEAR('Renovation Budget'!$F$10)-YEAR(Assumptions!$F$11))+(MONTH('Renovation Budget'!$F$10)-MONTH(Assumptions!$F$11)))+'Renovation Budget'!$G$10-1)),-'Renovation Budget'!$C$10/'Renovation Budget'!$G$10,0)</f>
        <v/>
      </c>
      <c r="BH80" s="228">
        <f>IF(AND(BH$11&gt;=(12*(YEAR('Renovation Budget'!$F$10)-YEAR(Assumptions!$F$11))+(MONTH('Renovation Budget'!$F$10)-MONTH(Assumptions!$F$11))),BH$11&lt;=((12*(YEAR('Renovation Budget'!$F$10)-YEAR(Assumptions!$F$11))+(MONTH('Renovation Budget'!$F$10)-MONTH(Assumptions!$F$11)))+'Renovation Budget'!$G$10-1)),-'Renovation Budget'!$C$10/'Renovation Budget'!$G$10,0)</f>
        <v/>
      </c>
      <c r="BI80" s="228">
        <f>IF(AND(BI$11&gt;=(12*(YEAR('Renovation Budget'!$F$10)-YEAR(Assumptions!$F$11))+(MONTH('Renovation Budget'!$F$10)-MONTH(Assumptions!$F$11))),BI$11&lt;=((12*(YEAR('Renovation Budget'!$F$10)-YEAR(Assumptions!$F$11))+(MONTH('Renovation Budget'!$F$10)-MONTH(Assumptions!$F$11)))+'Renovation Budget'!$G$10-1)),-'Renovation Budget'!$C$10/'Renovation Budget'!$G$10,0)</f>
        <v/>
      </c>
      <c r="BJ80" s="228">
        <f>IF(AND(BJ$11&gt;=(12*(YEAR('Renovation Budget'!$F$10)-YEAR(Assumptions!$F$11))+(MONTH('Renovation Budget'!$F$10)-MONTH(Assumptions!$F$11))),BJ$11&lt;=((12*(YEAR('Renovation Budget'!$F$10)-YEAR(Assumptions!$F$11))+(MONTH('Renovation Budget'!$F$10)-MONTH(Assumptions!$F$11)))+'Renovation Budget'!$G$10-1)),-'Renovation Budget'!$C$10/'Renovation Budget'!$G$10,0)</f>
        <v/>
      </c>
      <c r="BK80" s="228">
        <f>IF(AND(BK$11&gt;=(12*(YEAR('Renovation Budget'!$F$10)-YEAR(Assumptions!$F$11))+(MONTH('Renovation Budget'!$F$10)-MONTH(Assumptions!$F$11))),BK$11&lt;=((12*(YEAR('Renovation Budget'!$F$10)-YEAR(Assumptions!$F$11))+(MONTH('Renovation Budget'!$F$10)-MONTH(Assumptions!$F$11)))+'Renovation Budget'!$G$10-1)),-'Renovation Budget'!$C$10/'Renovation Budget'!$G$10,0)</f>
        <v/>
      </c>
      <c r="BL80" s="228">
        <f>IF(AND(BL$11&gt;=(12*(YEAR('Renovation Budget'!$F$10)-YEAR(Assumptions!$F$11))+(MONTH('Renovation Budget'!$F$10)-MONTH(Assumptions!$F$11))),BL$11&lt;=((12*(YEAR('Renovation Budget'!$F$10)-YEAR(Assumptions!$F$11))+(MONTH('Renovation Budget'!$F$10)-MONTH(Assumptions!$F$11)))+'Renovation Budget'!$G$10-1)),-'Renovation Budget'!$C$10/'Renovation Budget'!$G$10,0)</f>
        <v/>
      </c>
      <c r="BM80" s="228">
        <f>IF(AND(BM$11&gt;=(12*(YEAR('Renovation Budget'!$F$10)-YEAR(Assumptions!$F$11))+(MONTH('Renovation Budget'!$F$10)-MONTH(Assumptions!$F$11))),BM$11&lt;=((12*(YEAR('Renovation Budget'!$F$10)-YEAR(Assumptions!$F$11))+(MONTH('Renovation Budget'!$F$10)-MONTH(Assumptions!$F$11)))+'Renovation Budget'!$G$10-1)),-'Renovation Budget'!$C$10/'Renovation Budget'!$G$10,0)</f>
        <v/>
      </c>
      <c r="BN80" s="228">
        <f>IF(AND(BN$11&gt;=(12*(YEAR('Renovation Budget'!$F$10)-YEAR(Assumptions!$F$11))+(MONTH('Renovation Budget'!$F$10)-MONTH(Assumptions!$F$11))),BN$11&lt;=((12*(YEAR('Renovation Budget'!$F$10)-YEAR(Assumptions!$F$11))+(MONTH('Renovation Budget'!$F$10)-MONTH(Assumptions!$F$11)))+'Renovation Budget'!$G$10-1)),-'Renovation Budget'!$C$10/'Renovation Budget'!$G$10,0)</f>
        <v/>
      </c>
      <c r="BO80" s="228">
        <f>IF(AND(BO$11&gt;=(12*(YEAR('Renovation Budget'!$F$10)-YEAR(Assumptions!$F$11))+(MONTH('Renovation Budget'!$F$10)-MONTH(Assumptions!$F$11))),BO$11&lt;=((12*(YEAR('Renovation Budget'!$F$10)-YEAR(Assumptions!$F$11))+(MONTH('Renovation Budget'!$F$10)-MONTH(Assumptions!$F$11)))+'Renovation Budget'!$G$10-1)),-'Renovation Budget'!$C$10/'Renovation Budget'!$G$10,0)</f>
        <v/>
      </c>
      <c r="BP80" s="228">
        <f>IF(AND(BP$11&gt;=(12*(YEAR('Renovation Budget'!$F$10)-YEAR(Assumptions!$F$11))+(MONTH('Renovation Budget'!$F$10)-MONTH(Assumptions!$F$11))),BP$11&lt;=((12*(YEAR('Renovation Budget'!$F$10)-YEAR(Assumptions!$F$11))+(MONTH('Renovation Budget'!$F$10)-MONTH(Assumptions!$F$11)))+'Renovation Budget'!$G$10-1)),-'Renovation Budget'!$C$10/'Renovation Budget'!$G$10,0)</f>
        <v/>
      </c>
      <c r="BQ80" s="228">
        <f>IF(AND(BQ$11&gt;=(12*(YEAR('Renovation Budget'!$F$10)-YEAR(Assumptions!$F$11))+(MONTH('Renovation Budget'!$F$10)-MONTH(Assumptions!$F$11))),BQ$11&lt;=((12*(YEAR('Renovation Budget'!$F$10)-YEAR(Assumptions!$F$11))+(MONTH('Renovation Budget'!$F$10)-MONTH(Assumptions!$F$11)))+'Renovation Budget'!$G$10-1)),-'Renovation Budget'!$C$10/'Renovation Budget'!$G$10,0)</f>
        <v/>
      </c>
      <c r="BR80" s="228">
        <f>IF(AND(BR$11&gt;=(12*(YEAR('Renovation Budget'!$F$10)-YEAR(Assumptions!$F$11))+(MONTH('Renovation Budget'!$F$10)-MONTH(Assumptions!$F$11))),BR$11&lt;=((12*(YEAR('Renovation Budget'!$F$10)-YEAR(Assumptions!$F$11))+(MONTH('Renovation Budget'!$F$10)-MONTH(Assumptions!$F$11)))+'Renovation Budget'!$G$10-1)),-'Renovation Budget'!$C$10/'Renovation Budget'!$G$10,0)</f>
        <v/>
      </c>
      <c r="BS80" s="228">
        <f>IF(AND(BS$11&gt;=(12*(YEAR('Renovation Budget'!$F$10)-YEAR(Assumptions!$F$11))+(MONTH('Renovation Budget'!$F$10)-MONTH(Assumptions!$F$11))),BS$11&lt;=((12*(YEAR('Renovation Budget'!$F$10)-YEAR(Assumptions!$F$11))+(MONTH('Renovation Budget'!$F$10)-MONTH(Assumptions!$F$11)))+'Renovation Budget'!$G$10-1)),-'Renovation Budget'!$C$10/'Renovation Budget'!$G$10,0)</f>
        <v/>
      </c>
      <c r="BT80" s="228">
        <f>IF(AND(BT$11&gt;=(12*(YEAR('Renovation Budget'!$F$10)-YEAR(Assumptions!$F$11))+(MONTH('Renovation Budget'!$F$10)-MONTH(Assumptions!$F$11))),BT$11&lt;=((12*(YEAR('Renovation Budget'!$F$10)-YEAR(Assumptions!$F$11))+(MONTH('Renovation Budget'!$F$10)-MONTH(Assumptions!$F$11)))+'Renovation Budget'!$G$10-1)),-'Renovation Budget'!$C$10/'Renovation Budget'!$G$10,0)</f>
        <v/>
      </c>
      <c r="BU80" s="228">
        <f>IF(AND(BU$11&gt;=(12*(YEAR('Renovation Budget'!$F$10)-YEAR(Assumptions!$F$11))+(MONTH('Renovation Budget'!$F$10)-MONTH(Assumptions!$F$11))),BU$11&lt;=((12*(YEAR('Renovation Budget'!$F$10)-YEAR(Assumptions!$F$11))+(MONTH('Renovation Budget'!$F$10)-MONTH(Assumptions!$F$11)))+'Renovation Budget'!$G$10-1)),-'Renovation Budget'!$C$10/'Renovation Budget'!$G$10,0)</f>
        <v/>
      </c>
      <c r="BV80" s="228">
        <f>IF(AND(BV$11&gt;=(12*(YEAR('Renovation Budget'!$F$10)-YEAR(Assumptions!$F$11))+(MONTH('Renovation Budget'!$F$10)-MONTH(Assumptions!$F$11))),BV$11&lt;=((12*(YEAR('Renovation Budget'!$F$10)-YEAR(Assumptions!$F$11))+(MONTH('Renovation Budget'!$F$10)-MONTH(Assumptions!$F$11)))+'Renovation Budget'!$G$10-1)),-'Renovation Budget'!$C$10/'Renovation Budget'!$G$10,0)</f>
        <v/>
      </c>
      <c r="BW80" s="228">
        <f>IF(AND(BW$11&gt;=(12*(YEAR('Renovation Budget'!$F$10)-YEAR(Assumptions!$F$11))+(MONTH('Renovation Budget'!$F$10)-MONTH(Assumptions!$F$11))),BW$11&lt;=((12*(YEAR('Renovation Budget'!$F$10)-YEAR(Assumptions!$F$11))+(MONTH('Renovation Budget'!$F$10)-MONTH(Assumptions!$F$11)))+'Renovation Budget'!$G$10-1)),-'Renovation Budget'!$C$10/'Renovation Budget'!$G$10,0)</f>
        <v/>
      </c>
      <c r="BX80" s="228">
        <f>IF(AND(BX$11&gt;=(12*(YEAR('Renovation Budget'!$F$10)-YEAR(Assumptions!$F$11))+(MONTH('Renovation Budget'!$F$10)-MONTH(Assumptions!$F$11))),BX$11&lt;=((12*(YEAR('Renovation Budget'!$F$10)-YEAR(Assumptions!$F$11))+(MONTH('Renovation Budget'!$F$10)-MONTH(Assumptions!$F$11)))+'Renovation Budget'!$G$10-1)),-'Renovation Budget'!$C$10/'Renovation Budget'!$G$10,0)</f>
        <v/>
      </c>
      <c r="BY80" s="228">
        <f>IF(AND(BY$11&gt;=(12*(YEAR('Renovation Budget'!$F$10)-YEAR(Assumptions!$F$11))+(MONTH('Renovation Budget'!$F$10)-MONTH(Assumptions!$F$11))),BY$11&lt;=((12*(YEAR('Renovation Budget'!$F$10)-YEAR(Assumptions!$F$11))+(MONTH('Renovation Budget'!$F$10)-MONTH(Assumptions!$F$11)))+'Renovation Budget'!$G$10-1)),-'Renovation Budget'!$C$10/'Renovation Budget'!$G$10,0)</f>
        <v/>
      </c>
      <c r="BZ80" s="228">
        <f>IF(AND(BZ$11&gt;=(12*(YEAR('Renovation Budget'!$F$10)-YEAR(Assumptions!$F$11))+(MONTH('Renovation Budget'!$F$10)-MONTH(Assumptions!$F$11))),BZ$11&lt;=((12*(YEAR('Renovation Budget'!$F$10)-YEAR(Assumptions!$F$11))+(MONTH('Renovation Budget'!$F$10)-MONTH(Assumptions!$F$11)))+'Renovation Budget'!$G$10-1)),-'Renovation Budget'!$C$10/'Renovation Budget'!$G$10,0)</f>
        <v/>
      </c>
      <c r="CA80" s="228">
        <f>IF(AND(CA$11&gt;=(12*(YEAR('Renovation Budget'!$F$10)-YEAR(Assumptions!$F$11))+(MONTH('Renovation Budget'!$F$10)-MONTH(Assumptions!$F$11))),CA$11&lt;=((12*(YEAR('Renovation Budget'!$F$10)-YEAR(Assumptions!$F$11))+(MONTH('Renovation Budget'!$F$10)-MONTH(Assumptions!$F$11)))+'Renovation Budget'!$G$10-1)),-'Renovation Budget'!$C$10/'Renovation Budget'!$G$10,0)</f>
        <v/>
      </c>
      <c r="CB80" s="228">
        <f>IF(AND(CB$11&gt;=(12*(YEAR('Renovation Budget'!$F$10)-YEAR(Assumptions!$F$11))+(MONTH('Renovation Budget'!$F$10)-MONTH(Assumptions!$F$11))),CB$11&lt;=((12*(YEAR('Renovation Budget'!$F$10)-YEAR(Assumptions!$F$11))+(MONTH('Renovation Budget'!$F$10)-MONTH(Assumptions!$F$11)))+'Renovation Budget'!$G$10-1)),-'Renovation Budget'!$C$10/'Renovation Budget'!$G$10,0)</f>
        <v/>
      </c>
      <c r="CC80" s="228">
        <f>IF(AND(CC$11&gt;=(12*(YEAR('Renovation Budget'!$F$10)-YEAR(Assumptions!$F$11))+(MONTH('Renovation Budget'!$F$10)-MONTH(Assumptions!$F$11))),CC$11&lt;=((12*(YEAR('Renovation Budget'!$F$10)-YEAR(Assumptions!$F$11))+(MONTH('Renovation Budget'!$F$10)-MONTH(Assumptions!$F$11)))+'Renovation Budget'!$G$10-1)),-'Renovation Budget'!$C$10/'Renovation Budget'!$G$10,0)</f>
        <v/>
      </c>
      <c r="CD80" s="228">
        <f>IF(AND(CD$11&gt;=(12*(YEAR('Renovation Budget'!$F$10)-YEAR(Assumptions!$F$11))+(MONTH('Renovation Budget'!$F$10)-MONTH(Assumptions!$F$11))),CD$11&lt;=((12*(YEAR('Renovation Budget'!$F$10)-YEAR(Assumptions!$F$11))+(MONTH('Renovation Budget'!$F$10)-MONTH(Assumptions!$F$11)))+'Renovation Budget'!$G$10-1)),-'Renovation Budget'!$C$10/'Renovation Budget'!$G$10,0)</f>
        <v/>
      </c>
      <c r="CE80" s="228">
        <f>IF(AND(CE$11&gt;=(12*(YEAR('Renovation Budget'!$F$10)-YEAR(Assumptions!$F$11))+(MONTH('Renovation Budget'!$F$10)-MONTH(Assumptions!$F$11))),CE$11&lt;=((12*(YEAR('Renovation Budget'!$F$10)-YEAR(Assumptions!$F$11))+(MONTH('Renovation Budget'!$F$10)-MONTH(Assumptions!$F$11)))+'Renovation Budget'!$G$10-1)),-'Renovation Budget'!$C$10/'Renovation Budget'!$G$10,0)</f>
        <v/>
      </c>
      <c r="CF80" s="228">
        <f>IF(AND(CF$11&gt;=(12*(YEAR('Renovation Budget'!$F$10)-YEAR(Assumptions!$F$11))+(MONTH('Renovation Budget'!$F$10)-MONTH(Assumptions!$F$11))),CF$11&lt;=((12*(YEAR('Renovation Budget'!$F$10)-YEAR(Assumptions!$F$11))+(MONTH('Renovation Budget'!$F$10)-MONTH(Assumptions!$F$11)))+'Renovation Budget'!$G$10-1)),-'Renovation Budget'!$C$10/'Renovation Budget'!$G$10,0)</f>
        <v/>
      </c>
      <c r="CG80" s="228">
        <f>IF(AND(CG$11&gt;=(12*(YEAR('Renovation Budget'!$F$10)-YEAR(Assumptions!$F$11))+(MONTH('Renovation Budget'!$F$10)-MONTH(Assumptions!$F$11))),CG$11&lt;=((12*(YEAR('Renovation Budget'!$F$10)-YEAR(Assumptions!$F$11))+(MONTH('Renovation Budget'!$F$10)-MONTH(Assumptions!$F$11)))+'Renovation Budget'!$G$10-1)),-'Renovation Budget'!$C$10/'Renovation Budget'!$G$10,0)</f>
        <v/>
      </c>
      <c r="CH80" s="228">
        <f>IF(AND(CH$11&gt;=(12*(YEAR('Renovation Budget'!$F$10)-YEAR(Assumptions!$F$11))+(MONTH('Renovation Budget'!$F$10)-MONTH(Assumptions!$F$11))),CH$11&lt;=((12*(YEAR('Renovation Budget'!$F$10)-YEAR(Assumptions!$F$11))+(MONTH('Renovation Budget'!$F$10)-MONTH(Assumptions!$F$11)))+'Renovation Budget'!$G$10-1)),-'Renovation Budget'!$C$10/'Renovation Budget'!$G$10,0)</f>
        <v/>
      </c>
      <c r="CI80" s="228">
        <f>IF(AND(CI$11&gt;=(12*(YEAR('Renovation Budget'!$F$10)-YEAR(Assumptions!$F$11))+(MONTH('Renovation Budget'!$F$10)-MONTH(Assumptions!$F$11))),CI$11&lt;=((12*(YEAR('Renovation Budget'!$F$10)-YEAR(Assumptions!$F$11))+(MONTH('Renovation Budget'!$F$10)-MONTH(Assumptions!$F$11)))+'Renovation Budget'!$G$10-1)),-'Renovation Budget'!$C$10/'Renovation Budget'!$G$10,0)</f>
        <v/>
      </c>
      <c r="CJ80" s="228">
        <f>IF(AND(CJ$11&gt;=(12*(YEAR('Renovation Budget'!$F$10)-YEAR(Assumptions!$F$11))+(MONTH('Renovation Budget'!$F$10)-MONTH(Assumptions!$F$11))),CJ$11&lt;=((12*(YEAR('Renovation Budget'!$F$10)-YEAR(Assumptions!$F$11))+(MONTH('Renovation Budget'!$F$10)-MONTH(Assumptions!$F$11)))+'Renovation Budget'!$G$10-1)),-'Renovation Budget'!$C$10/'Renovation Budget'!$G$10,0)</f>
        <v/>
      </c>
      <c r="CK80" s="228">
        <f>IF(AND(CK$11&gt;=(12*(YEAR('Renovation Budget'!$F$10)-YEAR(Assumptions!$F$11))+(MONTH('Renovation Budget'!$F$10)-MONTH(Assumptions!$F$11))),CK$11&lt;=((12*(YEAR('Renovation Budget'!$F$10)-YEAR(Assumptions!$F$11))+(MONTH('Renovation Budget'!$F$10)-MONTH(Assumptions!$F$11)))+'Renovation Budget'!$G$10-1)),-'Renovation Budget'!$C$10/'Renovation Budget'!$G$10,0)</f>
        <v/>
      </c>
      <c r="CL80" s="228">
        <f>IF(AND(CL$11&gt;=(12*(YEAR('Renovation Budget'!$F$10)-YEAR(Assumptions!$F$11))+(MONTH('Renovation Budget'!$F$10)-MONTH(Assumptions!$F$11))),CL$11&lt;=((12*(YEAR('Renovation Budget'!$F$10)-YEAR(Assumptions!$F$11))+(MONTH('Renovation Budget'!$F$10)-MONTH(Assumptions!$F$11)))+'Renovation Budget'!$G$10-1)),-'Renovation Budget'!$C$10/'Renovation Budget'!$G$10,0)</f>
        <v/>
      </c>
      <c r="CM80" s="228">
        <f>IF(AND(CM$11&gt;=(12*(YEAR('Renovation Budget'!$F$10)-YEAR(Assumptions!$F$11))+(MONTH('Renovation Budget'!$F$10)-MONTH(Assumptions!$F$11))),CM$11&lt;=((12*(YEAR('Renovation Budget'!$F$10)-YEAR(Assumptions!$F$11))+(MONTH('Renovation Budget'!$F$10)-MONTH(Assumptions!$F$11)))+'Renovation Budget'!$G$10-1)),-'Renovation Budget'!$C$10/'Renovation Budget'!$G$10,0)</f>
        <v/>
      </c>
      <c r="CN80" s="228">
        <f>IF(AND(CN$11&gt;=(12*(YEAR('Renovation Budget'!$F$10)-YEAR(Assumptions!$F$11))+(MONTH('Renovation Budget'!$F$10)-MONTH(Assumptions!$F$11))),CN$11&lt;=((12*(YEAR('Renovation Budget'!$F$10)-YEAR(Assumptions!$F$11))+(MONTH('Renovation Budget'!$F$10)-MONTH(Assumptions!$F$11)))+'Renovation Budget'!$G$10-1)),-'Renovation Budget'!$C$10/'Renovation Budget'!$G$10,0)</f>
        <v/>
      </c>
      <c r="CO80" s="228">
        <f>IF(AND(CO$11&gt;=(12*(YEAR('Renovation Budget'!$F$10)-YEAR(Assumptions!$F$11))+(MONTH('Renovation Budget'!$F$10)-MONTH(Assumptions!$F$11))),CO$11&lt;=((12*(YEAR('Renovation Budget'!$F$10)-YEAR(Assumptions!$F$11))+(MONTH('Renovation Budget'!$F$10)-MONTH(Assumptions!$F$11)))+'Renovation Budget'!$G$10-1)),-'Renovation Budget'!$C$10/'Renovation Budget'!$G$10,0)</f>
        <v/>
      </c>
      <c r="CP80" s="228">
        <f>IF(AND(CP$11&gt;=(12*(YEAR('Renovation Budget'!$F$10)-YEAR(Assumptions!$F$11))+(MONTH('Renovation Budget'!$F$10)-MONTH(Assumptions!$F$11))),CP$11&lt;=((12*(YEAR('Renovation Budget'!$F$10)-YEAR(Assumptions!$F$11))+(MONTH('Renovation Budget'!$F$10)-MONTH(Assumptions!$F$11)))+'Renovation Budget'!$G$10-1)),-'Renovation Budget'!$C$10/'Renovation Budget'!$G$10,0)</f>
        <v/>
      </c>
      <c r="CQ80" s="228">
        <f>IF(AND(CQ$11&gt;=(12*(YEAR('Renovation Budget'!$F$10)-YEAR(Assumptions!$F$11))+(MONTH('Renovation Budget'!$F$10)-MONTH(Assumptions!$F$11))),CQ$11&lt;=((12*(YEAR('Renovation Budget'!$F$10)-YEAR(Assumptions!$F$11))+(MONTH('Renovation Budget'!$F$10)-MONTH(Assumptions!$F$11)))+'Renovation Budget'!$G$10-1)),-'Renovation Budget'!$C$10/'Renovation Budget'!$G$10,0)</f>
        <v/>
      </c>
      <c r="CR80" s="228">
        <f>IF(AND(CR$11&gt;=(12*(YEAR('Renovation Budget'!$F$10)-YEAR(Assumptions!$F$11))+(MONTH('Renovation Budget'!$F$10)-MONTH(Assumptions!$F$11))),CR$11&lt;=((12*(YEAR('Renovation Budget'!$F$10)-YEAR(Assumptions!$F$11))+(MONTH('Renovation Budget'!$F$10)-MONTH(Assumptions!$F$11)))+'Renovation Budget'!$G$10-1)),-'Renovation Budget'!$C$10/'Renovation Budget'!$G$10,0)</f>
        <v/>
      </c>
      <c r="CS80" s="228">
        <f>IF(AND(CS$11&gt;=(12*(YEAR('Renovation Budget'!$F$10)-YEAR(Assumptions!$F$11))+(MONTH('Renovation Budget'!$F$10)-MONTH(Assumptions!$F$11))),CS$11&lt;=((12*(YEAR('Renovation Budget'!$F$10)-YEAR(Assumptions!$F$11))+(MONTH('Renovation Budget'!$F$10)-MONTH(Assumptions!$F$11)))+'Renovation Budget'!$G$10-1)),-'Renovation Budget'!$C$10/'Renovation Budget'!$G$10,0)</f>
        <v/>
      </c>
      <c r="CT80" s="228">
        <f>IF(AND(CT$11&gt;=(12*(YEAR('Renovation Budget'!$F$10)-YEAR(Assumptions!$F$11))+(MONTH('Renovation Budget'!$F$10)-MONTH(Assumptions!$F$11))),CT$11&lt;=((12*(YEAR('Renovation Budget'!$F$10)-YEAR(Assumptions!$F$11))+(MONTH('Renovation Budget'!$F$10)-MONTH(Assumptions!$F$11)))+'Renovation Budget'!$G$10-1)),-'Renovation Budget'!$C$10/'Renovation Budget'!$G$10,0)</f>
        <v/>
      </c>
      <c r="CU80" s="228">
        <f>IF(AND(CU$11&gt;=(12*(YEAR('Renovation Budget'!$F$10)-YEAR(Assumptions!$F$11))+(MONTH('Renovation Budget'!$F$10)-MONTH(Assumptions!$F$11))),CU$11&lt;=((12*(YEAR('Renovation Budget'!$F$10)-YEAR(Assumptions!$F$11))+(MONTH('Renovation Budget'!$F$10)-MONTH(Assumptions!$F$11)))+'Renovation Budget'!$G$10-1)),-'Renovation Budget'!$C$10/'Renovation Budget'!$G$10,0)</f>
        <v/>
      </c>
      <c r="CV80" s="228">
        <f>IF(AND(CV$11&gt;=(12*(YEAR('Renovation Budget'!$F$10)-YEAR(Assumptions!$F$11))+(MONTH('Renovation Budget'!$F$10)-MONTH(Assumptions!$F$11))),CV$11&lt;=((12*(YEAR('Renovation Budget'!$F$10)-YEAR(Assumptions!$F$11))+(MONTH('Renovation Budget'!$F$10)-MONTH(Assumptions!$F$11)))+'Renovation Budget'!$G$10-1)),-'Renovation Budget'!$C$10/'Renovation Budget'!$G$10,0)</f>
        <v/>
      </c>
      <c r="CW80" s="228">
        <f>IF(AND(CW$11&gt;=(12*(YEAR('Renovation Budget'!$F$10)-YEAR(Assumptions!$F$11))+(MONTH('Renovation Budget'!$F$10)-MONTH(Assumptions!$F$11))),CW$11&lt;=((12*(YEAR('Renovation Budget'!$F$10)-YEAR(Assumptions!$F$11))+(MONTH('Renovation Budget'!$F$10)-MONTH(Assumptions!$F$11)))+'Renovation Budget'!$G$10-1)),-'Renovation Budget'!$C$10/'Renovation Budget'!$G$10,0)</f>
        <v/>
      </c>
      <c r="CX80" s="228">
        <f>IF(AND(CX$11&gt;=(12*(YEAR('Renovation Budget'!$F$10)-YEAR(Assumptions!$F$11))+(MONTH('Renovation Budget'!$F$10)-MONTH(Assumptions!$F$11))),CX$11&lt;=((12*(YEAR('Renovation Budget'!$F$10)-YEAR(Assumptions!$F$11))+(MONTH('Renovation Budget'!$F$10)-MONTH(Assumptions!$F$11)))+'Renovation Budget'!$G$10-1)),-'Renovation Budget'!$C$10/'Renovation Budget'!$G$10,0)</f>
        <v/>
      </c>
      <c r="CY80" s="228">
        <f>IF(AND(CY$11&gt;=(12*(YEAR('Renovation Budget'!$F$10)-YEAR(Assumptions!$F$11))+(MONTH('Renovation Budget'!$F$10)-MONTH(Assumptions!$F$11))),CY$11&lt;=((12*(YEAR('Renovation Budget'!$F$10)-YEAR(Assumptions!$F$11))+(MONTH('Renovation Budget'!$F$10)-MONTH(Assumptions!$F$11)))+'Renovation Budget'!$G$10-1)),-'Renovation Budget'!$C$10/'Renovation Budget'!$G$10,0)</f>
        <v/>
      </c>
      <c r="CZ80" s="228">
        <f>IF(AND(CZ$11&gt;=(12*(YEAR('Renovation Budget'!$F$10)-YEAR(Assumptions!$F$11))+(MONTH('Renovation Budget'!$F$10)-MONTH(Assumptions!$F$11))),CZ$11&lt;=((12*(YEAR('Renovation Budget'!$F$10)-YEAR(Assumptions!$F$11))+(MONTH('Renovation Budget'!$F$10)-MONTH(Assumptions!$F$11)))+'Renovation Budget'!$G$10-1)),-'Renovation Budget'!$C$10/'Renovation Budget'!$G$10,0)</f>
        <v/>
      </c>
      <c r="DA80" s="228">
        <f>IF(AND(DA$11&gt;=(12*(YEAR('Renovation Budget'!$F$10)-YEAR(Assumptions!$F$11))+(MONTH('Renovation Budget'!$F$10)-MONTH(Assumptions!$F$11))),DA$11&lt;=((12*(YEAR('Renovation Budget'!$F$10)-YEAR(Assumptions!$F$11))+(MONTH('Renovation Budget'!$F$10)-MONTH(Assumptions!$F$11)))+'Renovation Budget'!$G$10-1)),-'Renovation Budget'!$C$10/'Renovation Budget'!$G$10,0)</f>
        <v/>
      </c>
      <c r="DB80" s="228">
        <f>IF(AND(DB$11&gt;=(12*(YEAR('Renovation Budget'!$F$10)-YEAR(Assumptions!$F$11))+(MONTH('Renovation Budget'!$F$10)-MONTH(Assumptions!$F$11))),DB$11&lt;=((12*(YEAR('Renovation Budget'!$F$10)-YEAR(Assumptions!$F$11))+(MONTH('Renovation Budget'!$F$10)-MONTH(Assumptions!$F$11)))+'Renovation Budget'!$G$10-1)),-'Renovation Budget'!$C$10/'Renovation Budget'!$G$10,0)</f>
        <v/>
      </c>
      <c r="DC80" s="228">
        <f>IF(AND(DC$11&gt;=(12*(YEAR('Renovation Budget'!$F$10)-YEAR(Assumptions!$F$11))+(MONTH('Renovation Budget'!$F$10)-MONTH(Assumptions!$F$11))),DC$11&lt;=((12*(YEAR('Renovation Budget'!$F$10)-YEAR(Assumptions!$F$11))+(MONTH('Renovation Budget'!$F$10)-MONTH(Assumptions!$F$11)))+'Renovation Budget'!$G$10-1)),-'Renovation Budget'!$C$10/'Renovation Budget'!$G$10,0)</f>
        <v/>
      </c>
      <c r="DD80" s="228">
        <f>IF(AND(DD$11&gt;=(12*(YEAR('Renovation Budget'!$F$10)-YEAR(Assumptions!$F$11))+(MONTH('Renovation Budget'!$F$10)-MONTH(Assumptions!$F$11))),DD$11&lt;=((12*(YEAR('Renovation Budget'!$F$10)-YEAR(Assumptions!$F$11))+(MONTH('Renovation Budget'!$F$10)-MONTH(Assumptions!$F$11)))+'Renovation Budget'!$G$10-1)),-'Renovation Budget'!$C$10/'Renovation Budget'!$G$10,0)</f>
        <v/>
      </c>
      <c r="DE80" s="228">
        <f>IF(AND(DE$11&gt;=(12*(YEAR('Renovation Budget'!$F$10)-YEAR(Assumptions!$F$11))+(MONTH('Renovation Budget'!$F$10)-MONTH(Assumptions!$F$11))),DE$11&lt;=((12*(YEAR('Renovation Budget'!$F$10)-YEAR(Assumptions!$F$11))+(MONTH('Renovation Budget'!$F$10)-MONTH(Assumptions!$F$11)))+'Renovation Budget'!$G$10-1)),-'Renovation Budget'!$C$10/'Renovation Budget'!$G$10,0)</f>
        <v/>
      </c>
      <c r="DF80" s="228">
        <f>IF(AND(DF$11&gt;=(12*(YEAR('Renovation Budget'!$F$10)-YEAR(Assumptions!$F$11))+(MONTH('Renovation Budget'!$F$10)-MONTH(Assumptions!$F$11))),DF$11&lt;=((12*(YEAR('Renovation Budget'!$F$10)-YEAR(Assumptions!$F$11))+(MONTH('Renovation Budget'!$F$10)-MONTH(Assumptions!$F$11)))+'Renovation Budget'!$G$10-1)),-'Renovation Budget'!$C$10/'Renovation Budget'!$G$10,0)</f>
        <v/>
      </c>
      <c r="DG80" s="228">
        <f>IF(AND(DG$11&gt;=(12*(YEAR('Renovation Budget'!$F$10)-YEAR(Assumptions!$F$11))+(MONTH('Renovation Budget'!$F$10)-MONTH(Assumptions!$F$11))),DG$11&lt;=((12*(YEAR('Renovation Budget'!$F$10)-YEAR(Assumptions!$F$11))+(MONTH('Renovation Budget'!$F$10)-MONTH(Assumptions!$F$11)))+'Renovation Budget'!$G$10-1)),-'Renovation Budget'!$C$10/'Renovation Budget'!$G$10,0)</f>
        <v/>
      </c>
      <c r="DH80" s="228">
        <f>IF(AND(DH$11&gt;=(12*(YEAR('Renovation Budget'!$F$10)-YEAR(Assumptions!$F$11))+(MONTH('Renovation Budget'!$F$10)-MONTH(Assumptions!$F$11))),DH$11&lt;=((12*(YEAR('Renovation Budget'!$F$10)-YEAR(Assumptions!$F$11))+(MONTH('Renovation Budget'!$F$10)-MONTH(Assumptions!$F$11)))+'Renovation Budget'!$G$10-1)),-'Renovation Budget'!$C$10/'Renovation Budget'!$G$10,0)</f>
        <v/>
      </c>
      <c r="DI80" s="228">
        <f>IF(AND(DI$11&gt;=(12*(YEAR('Renovation Budget'!$F$10)-YEAR(Assumptions!$F$11))+(MONTH('Renovation Budget'!$F$10)-MONTH(Assumptions!$F$11))),DI$11&lt;=((12*(YEAR('Renovation Budget'!$F$10)-YEAR(Assumptions!$F$11))+(MONTH('Renovation Budget'!$F$10)-MONTH(Assumptions!$F$11)))+'Renovation Budget'!$G$10-1)),-'Renovation Budget'!$C$10/'Renovation Budget'!$G$10,0)</f>
        <v/>
      </c>
      <c r="DJ80" s="228">
        <f>IF(AND(DJ$11&gt;=(12*(YEAR('Renovation Budget'!$F$10)-YEAR(Assumptions!$F$11))+(MONTH('Renovation Budget'!$F$10)-MONTH(Assumptions!$F$11))),DJ$11&lt;=((12*(YEAR('Renovation Budget'!$F$10)-YEAR(Assumptions!$F$11))+(MONTH('Renovation Budget'!$F$10)-MONTH(Assumptions!$F$11)))+'Renovation Budget'!$G$10-1)),-'Renovation Budget'!$C$10/'Renovation Budget'!$G$10,0)</f>
        <v/>
      </c>
      <c r="DK80" s="228">
        <f>IF(AND(DK$11&gt;=(12*(YEAR('Renovation Budget'!$F$10)-YEAR(Assumptions!$F$11))+(MONTH('Renovation Budget'!$F$10)-MONTH(Assumptions!$F$11))),DK$11&lt;=((12*(YEAR('Renovation Budget'!$F$10)-YEAR(Assumptions!$F$11))+(MONTH('Renovation Budget'!$F$10)-MONTH(Assumptions!$F$11)))+'Renovation Budget'!$G$10-1)),-'Renovation Budget'!$C$10/'Renovation Budget'!$G$10,0)</f>
        <v/>
      </c>
      <c r="DL80" s="228">
        <f>IF(AND(DL$11&gt;=(12*(YEAR('Renovation Budget'!$F$10)-YEAR(Assumptions!$F$11))+(MONTH('Renovation Budget'!$F$10)-MONTH(Assumptions!$F$11))),DL$11&lt;=((12*(YEAR('Renovation Budget'!$F$10)-YEAR(Assumptions!$F$11))+(MONTH('Renovation Budget'!$F$10)-MONTH(Assumptions!$F$11)))+'Renovation Budget'!$G$10-1)),-'Renovation Budget'!$C$10/'Renovation Budget'!$G$10,0)</f>
        <v/>
      </c>
      <c r="DM80" s="228">
        <f>IF(AND(DM$11&gt;=(12*(YEAR('Renovation Budget'!$F$10)-YEAR(Assumptions!$F$11))+(MONTH('Renovation Budget'!$F$10)-MONTH(Assumptions!$F$11))),DM$11&lt;=((12*(YEAR('Renovation Budget'!$F$10)-YEAR(Assumptions!$F$11))+(MONTH('Renovation Budget'!$F$10)-MONTH(Assumptions!$F$11)))+'Renovation Budget'!$G$10-1)),-'Renovation Budget'!$C$10/'Renovation Budget'!$G$10,0)</f>
        <v/>
      </c>
      <c r="DN80" s="228">
        <f>IF(AND(DN$11&gt;=(12*(YEAR('Renovation Budget'!$F$10)-YEAR(Assumptions!$F$11))+(MONTH('Renovation Budget'!$F$10)-MONTH(Assumptions!$F$11))),DN$11&lt;=((12*(YEAR('Renovation Budget'!$F$10)-YEAR(Assumptions!$F$11))+(MONTH('Renovation Budget'!$F$10)-MONTH(Assumptions!$F$11)))+'Renovation Budget'!$G$10-1)),-'Renovation Budget'!$C$10/'Renovation Budget'!$G$10,0)</f>
        <v/>
      </c>
      <c r="DO80" s="228">
        <f>IF(AND(DO$11&gt;=(12*(YEAR('Renovation Budget'!$F$10)-YEAR(Assumptions!$F$11))+(MONTH('Renovation Budget'!$F$10)-MONTH(Assumptions!$F$11))),DO$11&lt;=((12*(YEAR('Renovation Budget'!$F$10)-YEAR(Assumptions!$F$11))+(MONTH('Renovation Budget'!$F$10)-MONTH(Assumptions!$F$11)))+'Renovation Budget'!$G$10-1)),-'Renovation Budget'!$C$10/'Renovation Budget'!$G$10,0)</f>
        <v/>
      </c>
      <c r="DP80" s="228">
        <f>IF(AND(DP$11&gt;=(12*(YEAR('Renovation Budget'!$F$10)-YEAR(Assumptions!$F$11))+(MONTH('Renovation Budget'!$F$10)-MONTH(Assumptions!$F$11))),DP$11&lt;=((12*(YEAR('Renovation Budget'!$F$10)-YEAR(Assumptions!$F$11))+(MONTH('Renovation Budget'!$F$10)-MONTH(Assumptions!$F$11)))+'Renovation Budget'!$G$10-1)),-'Renovation Budget'!$C$10/'Renovation Budget'!$G$10,0)</f>
        <v/>
      </c>
      <c r="DQ80" s="228">
        <f>IF(AND(DQ$11&gt;=(12*(YEAR('Renovation Budget'!$F$10)-YEAR(Assumptions!$F$11))+(MONTH('Renovation Budget'!$F$10)-MONTH(Assumptions!$F$11))),DQ$11&lt;=((12*(YEAR('Renovation Budget'!$F$10)-YEAR(Assumptions!$F$11))+(MONTH('Renovation Budget'!$F$10)-MONTH(Assumptions!$F$11)))+'Renovation Budget'!$G$10-1)),-'Renovation Budget'!$C$10/'Renovation Budget'!$G$10,0)</f>
        <v/>
      </c>
      <c r="DR80" s="228">
        <f>IF(AND(DR$11&gt;=(12*(YEAR('Renovation Budget'!$F$10)-YEAR(Assumptions!$F$11))+(MONTH('Renovation Budget'!$F$10)-MONTH(Assumptions!$F$11))),DR$11&lt;=((12*(YEAR('Renovation Budget'!$F$10)-YEAR(Assumptions!$F$11))+(MONTH('Renovation Budget'!$F$10)-MONTH(Assumptions!$F$11)))+'Renovation Budget'!$G$10-1)),-'Renovation Budget'!$C$10/'Renovation Budget'!$G$10,0)</f>
        <v/>
      </c>
      <c r="DS80" s="228">
        <f>IF(AND(DS$11&gt;=(12*(YEAR('Renovation Budget'!$F$10)-YEAR(Assumptions!$F$11))+(MONTH('Renovation Budget'!$F$10)-MONTH(Assumptions!$F$11))),DS$11&lt;=((12*(YEAR('Renovation Budget'!$F$10)-YEAR(Assumptions!$F$11))+(MONTH('Renovation Budget'!$F$10)-MONTH(Assumptions!$F$11)))+'Renovation Budget'!$G$10-1)),-'Renovation Budget'!$C$10/'Renovation Budget'!$G$10,0)</f>
        <v/>
      </c>
      <c r="DT80" s="228">
        <f>IF(AND(DT$11&gt;=(12*(YEAR('Renovation Budget'!$F$10)-YEAR(Assumptions!$F$11))+(MONTH('Renovation Budget'!$F$10)-MONTH(Assumptions!$F$11))),DT$11&lt;=((12*(YEAR('Renovation Budget'!$F$10)-YEAR(Assumptions!$F$11))+(MONTH('Renovation Budget'!$F$10)-MONTH(Assumptions!$F$11)))+'Renovation Budget'!$G$10-1)),-'Renovation Budget'!$C$10/'Renovation Budget'!$G$10,0)</f>
        <v/>
      </c>
    </row>
    <row r="81" ht="15" customHeight="1" s="148">
      <c r="A81" s="112" t="inlineStr">
        <is>
          <t>Landscape (Ground Level)</t>
        </is>
      </c>
      <c r="C81" s="228">
        <f>SUM(D81:DT81)</f>
        <v/>
      </c>
      <c r="D81" s="228">
        <f>IF(AND(D$11&gt;=(12*(YEAR('Renovation Budget'!$F$11)-YEAR(Assumptions!$F$11))+(MONTH('Renovation Budget'!$F$11)-MONTH(Assumptions!$F$11))),D$11&lt;=((12*(YEAR('Renovation Budget'!$F$11)-YEAR(Assumptions!$F$11))+(MONTH('Renovation Budget'!$F$11)-MONTH(Assumptions!$F$11)))+'Renovation Budget'!$G$11-1)),-'Renovation Budget'!$C$11/'Renovation Budget'!$G$11,0)</f>
        <v/>
      </c>
      <c r="E81" s="228">
        <f>IF(AND(E$11&gt;=(12*(YEAR('Renovation Budget'!$F$11)-YEAR(Assumptions!$F$11))+(MONTH('Renovation Budget'!$F$11)-MONTH(Assumptions!$F$11))),E$11&lt;=((12*(YEAR('Renovation Budget'!$F$11)-YEAR(Assumptions!$F$11))+(MONTH('Renovation Budget'!$F$11)-MONTH(Assumptions!$F$11)))+'Renovation Budget'!$G$11-1)),-'Renovation Budget'!$C$11/'Renovation Budget'!$G$11,0)</f>
        <v/>
      </c>
      <c r="F81" s="228">
        <f>IF(AND(F$11&gt;=(12*(YEAR('Renovation Budget'!$F$11)-YEAR(Assumptions!$F$11))+(MONTH('Renovation Budget'!$F$11)-MONTH(Assumptions!$F$11))),F$11&lt;=((12*(YEAR('Renovation Budget'!$F$11)-YEAR(Assumptions!$F$11))+(MONTH('Renovation Budget'!$F$11)-MONTH(Assumptions!$F$11)))+'Renovation Budget'!$G$11-1)),-'Renovation Budget'!$C$11/'Renovation Budget'!$G$11,0)</f>
        <v/>
      </c>
      <c r="G81" s="228">
        <f>IF(AND(G$11&gt;=(12*(YEAR('Renovation Budget'!$F$11)-YEAR(Assumptions!$F$11))+(MONTH('Renovation Budget'!$F$11)-MONTH(Assumptions!$F$11))),G$11&lt;=((12*(YEAR('Renovation Budget'!$F$11)-YEAR(Assumptions!$F$11))+(MONTH('Renovation Budget'!$F$11)-MONTH(Assumptions!$F$11)))+'Renovation Budget'!$G$11-1)),-'Renovation Budget'!$C$11/'Renovation Budget'!$G$11,0)</f>
        <v/>
      </c>
      <c r="H81" s="228">
        <f>IF(AND(H$11&gt;=(12*(YEAR('Renovation Budget'!$F$11)-YEAR(Assumptions!$F$11))+(MONTH('Renovation Budget'!$F$11)-MONTH(Assumptions!$F$11))),H$11&lt;=((12*(YEAR('Renovation Budget'!$F$11)-YEAR(Assumptions!$F$11))+(MONTH('Renovation Budget'!$F$11)-MONTH(Assumptions!$F$11)))+'Renovation Budget'!$G$11-1)),-'Renovation Budget'!$C$11/'Renovation Budget'!$G$11,0)</f>
        <v/>
      </c>
      <c r="I81" s="228">
        <f>IF(AND(I$11&gt;=(12*(YEAR('Renovation Budget'!$F$11)-YEAR(Assumptions!$F$11))+(MONTH('Renovation Budget'!$F$11)-MONTH(Assumptions!$F$11))),I$11&lt;=((12*(YEAR('Renovation Budget'!$F$11)-YEAR(Assumptions!$F$11))+(MONTH('Renovation Budget'!$F$11)-MONTH(Assumptions!$F$11)))+'Renovation Budget'!$G$11-1)),-'Renovation Budget'!$C$11/'Renovation Budget'!$G$11,0)</f>
        <v/>
      </c>
      <c r="J81" s="228">
        <f>IF(AND(J$11&gt;=(12*(YEAR('Renovation Budget'!$F$11)-YEAR(Assumptions!$F$11))+(MONTH('Renovation Budget'!$F$11)-MONTH(Assumptions!$F$11))),J$11&lt;=((12*(YEAR('Renovation Budget'!$F$11)-YEAR(Assumptions!$F$11))+(MONTH('Renovation Budget'!$F$11)-MONTH(Assumptions!$F$11)))+'Renovation Budget'!$G$11-1)),-'Renovation Budget'!$C$11/'Renovation Budget'!$G$11,0)</f>
        <v/>
      </c>
      <c r="K81" s="228">
        <f>IF(AND(K$11&gt;=(12*(YEAR('Renovation Budget'!$F$11)-YEAR(Assumptions!$F$11))+(MONTH('Renovation Budget'!$F$11)-MONTH(Assumptions!$F$11))),K$11&lt;=((12*(YEAR('Renovation Budget'!$F$11)-YEAR(Assumptions!$F$11))+(MONTH('Renovation Budget'!$F$11)-MONTH(Assumptions!$F$11)))+'Renovation Budget'!$G$11-1)),-'Renovation Budget'!$C$11/'Renovation Budget'!$G$11,0)</f>
        <v/>
      </c>
      <c r="L81" s="228">
        <f>IF(AND(L$11&gt;=(12*(YEAR('Renovation Budget'!$F$11)-YEAR(Assumptions!$F$11))+(MONTH('Renovation Budget'!$F$11)-MONTH(Assumptions!$F$11))),L$11&lt;=((12*(YEAR('Renovation Budget'!$F$11)-YEAR(Assumptions!$F$11))+(MONTH('Renovation Budget'!$F$11)-MONTH(Assumptions!$F$11)))+'Renovation Budget'!$G$11-1)),-'Renovation Budget'!$C$11/'Renovation Budget'!$G$11,0)</f>
        <v/>
      </c>
      <c r="M81" s="228">
        <f>IF(AND(M$11&gt;=(12*(YEAR('Renovation Budget'!$F$11)-YEAR(Assumptions!$F$11))+(MONTH('Renovation Budget'!$F$11)-MONTH(Assumptions!$F$11))),M$11&lt;=((12*(YEAR('Renovation Budget'!$F$11)-YEAR(Assumptions!$F$11))+(MONTH('Renovation Budget'!$F$11)-MONTH(Assumptions!$F$11)))+'Renovation Budget'!$G$11-1)),-'Renovation Budget'!$C$11/'Renovation Budget'!$G$11,0)</f>
        <v/>
      </c>
      <c r="N81" s="228">
        <f>IF(AND(N$11&gt;=(12*(YEAR('Renovation Budget'!$F$11)-YEAR(Assumptions!$F$11))+(MONTH('Renovation Budget'!$F$11)-MONTH(Assumptions!$F$11))),N$11&lt;=((12*(YEAR('Renovation Budget'!$F$11)-YEAR(Assumptions!$F$11))+(MONTH('Renovation Budget'!$F$11)-MONTH(Assumptions!$F$11)))+'Renovation Budget'!$G$11-1)),-'Renovation Budget'!$C$11/'Renovation Budget'!$G$11,0)</f>
        <v/>
      </c>
      <c r="O81" s="228">
        <f>IF(AND(O$11&gt;=(12*(YEAR('Renovation Budget'!$F$11)-YEAR(Assumptions!$F$11))+(MONTH('Renovation Budget'!$F$11)-MONTH(Assumptions!$F$11))),O$11&lt;=((12*(YEAR('Renovation Budget'!$F$11)-YEAR(Assumptions!$F$11))+(MONTH('Renovation Budget'!$F$11)-MONTH(Assumptions!$F$11)))+'Renovation Budget'!$G$11-1)),-'Renovation Budget'!$C$11/'Renovation Budget'!$G$11,0)</f>
        <v/>
      </c>
      <c r="P81" s="228">
        <f>IF(AND(P$11&gt;=(12*(YEAR('Renovation Budget'!$F$11)-YEAR(Assumptions!$F$11))+(MONTH('Renovation Budget'!$F$11)-MONTH(Assumptions!$F$11))),P$11&lt;=((12*(YEAR('Renovation Budget'!$F$11)-YEAR(Assumptions!$F$11))+(MONTH('Renovation Budget'!$F$11)-MONTH(Assumptions!$F$11)))+'Renovation Budget'!$G$11-1)),-'Renovation Budget'!$C$11/'Renovation Budget'!$G$11,0)</f>
        <v/>
      </c>
      <c r="Q81" s="228">
        <f>IF(AND(Q$11&gt;=(12*(YEAR('Renovation Budget'!$F$11)-YEAR(Assumptions!$F$11))+(MONTH('Renovation Budget'!$F$11)-MONTH(Assumptions!$F$11))),Q$11&lt;=((12*(YEAR('Renovation Budget'!$F$11)-YEAR(Assumptions!$F$11))+(MONTH('Renovation Budget'!$F$11)-MONTH(Assumptions!$F$11)))+'Renovation Budget'!$G$11-1)),-'Renovation Budget'!$C$11/'Renovation Budget'!$G$11,0)</f>
        <v/>
      </c>
      <c r="R81" s="228">
        <f>IF(AND(R$11&gt;=(12*(YEAR('Renovation Budget'!$F$11)-YEAR(Assumptions!$F$11))+(MONTH('Renovation Budget'!$F$11)-MONTH(Assumptions!$F$11))),R$11&lt;=((12*(YEAR('Renovation Budget'!$F$11)-YEAR(Assumptions!$F$11))+(MONTH('Renovation Budget'!$F$11)-MONTH(Assumptions!$F$11)))+'Renovation Budget'!$G$11-1)),-'Renovation Budget'!$C$11/'Renovation Budget'!$G$11,0)</f>
        <v/>
      </c>
      <c r="S81" s="228">
        <f>IF(AND(S$11&gt;=(12*(YEAR('Renovation Budget'!$F$11)-YEAR(Assumptions!$F$11))+(MONTH('Renovation Budget'!$F$11)-MONTH(Assumptions!$F$11))),S$11&lt;=((12*(YEAR('Renovation Budget'!$F$11)-YEAR(Assumptions!$F$11))+(MONTH('Renovation Budget'!$F$11)-MONTH(Assumptions!$F$11)))+'Renovation Budget'!$G$11-1)),-'Renovation Budget'!$C$11/'Renovation Budget'!$G$11,0)</f>
        <v/>
      </c>
      <c r="T81" s="228">
        <f>IF(AND(T$11&gt;=(12*(YEAR('Renovation Budget'!$F$11)-YEAR(Assumptions!$F$11))+(MONTH('Renovation Budget'!$F$11)-MONTH(Assumptions!$F$11))),T$11&lt;=((12*(YEAR('Renovation Budget'!$F$11)-YEAR(Assumptions!$F$11))+(MONTH('Renovation Budget'!$F$11)-MONTH(Assumptions!$F$11)))+'Renovation Budget'!$G$11-1)),-'Renovation Budget'!$C$11/'Renovation Budget'!$G$11,0)</f>
        <v/>
      </c>
      <c r="U81" s="228">
        <f>IF(AND(U$11&gt;=(12*(YEAR('Renovation Budget'!$F$11)-YEAR(Assumptions!$F$11))+(MONTH('Renovation Budget'!$F$11)-MONTH(Assumptions!$F$11))),U$11&lt;=((12*(YEAR('Renovation Budget'!$F$11)-YEAR(Assumptions!$F$11))+(MONTH('Renovation Budget'!$F$11)-MONTH(Assumptions!$F$11)))+'Renovation Budget'!$G$11-1)),-'Renovation Budget'!$C$11/'Renovation Budget'!$G$11,0)</f>
        <v/>
      </c>
      <c r="V81" s="228">
        <f>IF(AND(V$11&gt;=(12*(YEAR('Renovation Budget'!$F$11)-YEAR(Assumptions!$F$11))+(MONTH('Renovation Budget'!$F$11)-MONTH(Assumptions!$F$11))),V$11&lt;=((12*(YEAR('Renovation Budget'!$F$11)-YEAR(Assumptions!$F$11))+(MONTH('Renovation Budget'!$F$11)-MONTH(Assumptions!$F$11)))+'Renovation Budget'!$G$11-1)),-'Renovation Budget'!$C$11/'Renovation Budget'!$G$11,0)</f>
        <v/>
      </c>
      <c r="W81" s="228">
        <f>IF(AND(W$11&gt;=(12*(YEAR('Renovation Budget'!$F$11)-YEAR(Assumptions!$F$11))+(MONTH('Renovation Budget'!$F$11)-MONTH(Assumptions!$F$11))),W$11&lt;=((12*(YEAR('Renovation Budget'!$F$11)-YEAR(Assumptions!$F$11))+(MONTH('Renovation Budget'!$F$11)-MONTH(Assumptions!$F$11)))+'Renovation Budget'!$G$11-1)),-'Renovation Budget'!$C$11/'Renovation Budget'!$G$11,0)</f>
        <v/>
      </c>
      <c r="X81" s="228">
        <f>IF(AND(X$11&gt;=(12*(YEAR('Renovation Budget'!$F$11)-YEAR(Assumptions!$F$11))+(MONTH('Renovation Budget'!$F$11)-MONTH(Assumptions!$F$11))),X$11&lt;=((12*(YEAR('Renovation Budget'!$F$11)-YEAR(Assumptions!$F$11))+(MONTH('Renovation Budget'!$F$11)-MONTH(Assumptions!$F$11)))+'Renovation Budget'!$G$11-1)),-'Renovation Budget'!$C$11/'Renovation Budget'!$G$11,0)</f>
        <v/>
      </c>
      <c r="Y81" s="228">
        <f>IF(AND(Y$11&gt;=(12*(YEAR('Renovation Budget'!$F$11)-YEAR(Assumptions!$F$11))+(MONTH('Renovation Budget'!$F$11)-MONTH(Assumptions!$F$11))),Y$11&lt;=((12*(YEAR('Renovation Budget'!$F$11)-YEAR(Assumptions!$F$11))+(MONTH('Renovation Budget'!$F$11)-MONTH(Assumptions!$F$11)))+'Renovation Budget'!$G$11-1)),-'Renovation Budget'!$C$11/'Renovation Budget'!$G$11,0)</f>
        <v/>
      </c>
      <c r="Z81" s="228">
        <f>IF(AND(Z$11&gt;=(12*(YEAR('Renovation Budget'!$F$11)-YEAR(Assumptions!$F$11))+(MONTH('Renovation Budget'!$F$11)-MONTH(Assumptions!$F$11))),Z$11&lt;=((12*(YEAR('Renovation Budget'!$F$11)-YEAR(Assumptions!$F$11))+(MONTH('Renovation Budget'!$F$11)-MONTH(Assumptions!$F$11)))+'Renovation Budget'!$G$11-1)),-'Renovation Budget'!$C$11/'Renovation Budget'!$G$11,0)</f>
        <v/>
      </c>
      <c r="AA81" s="228">
        <f>IF(AND(AA$11&gt;=(12*(YEAR('Renovation Budget'!$F$11)-YEAR(Assumptions!$F$11))+(MONTH('Renovation Budget'!$F$11)-MONTH(Assumptions!$F$11))),AA$11&lt;=((12*(YEAR('Renovation Budget'!$F$11)-YEAR(Assumptions!$F$11))+(MONTH('Renovation Budget'!$F$11)-MONTH(Assumptions!$F$11)))+'Renovation Budget'!$G$11-1)),-'Renovation Budget'!$C$11/'Renovation Budget'!$G$11,0)</f>
        <v/>
      </c>
      <c r="AB81" s="228">
        <f>IF(AND(AB$11&gt;=(12*(YEAR('Renovation Budget'!$F$11)-YEAR(Assumptions!$F$11))+(MONTH('Renovation Budget'!$F$11)-MONTH(Assumptions!$F$11))),AB$11&lt;=((12*(YEAR('Renovation Budget'!$F$11)-YEAR(Assumptions!$F$11))+(MONTH('Renovation Budget'!$F$11)-MONTH(Assumptions!$F$11)))+'Renovation Budget'!$G$11-1)),-'Renovation Budget'!$C$11/'Renovation Budget'!$G$11,0)</f>
        <v/>
      </c>
      <c r="AC81" s="228">
        <f>IF(AND(AC$11&gt;=(12*(YEAR('Renovation Budget'!$F$11)-YEAR(Assumptions!$F$11))+(MONTH('Renovation Budget'!$F$11)-MONTH(Assumptions!$F$11))),AC$11&lt;=((12*(YEAR('Renovation Budget'!$F$11)-YEAR(Assumptions!$F$11))+(MONTH('Renovation Budget'!$F$11)-MONTH(Assumptions!$F$11)))+'Renovation Budget'!$G$11-1)),-'Renovation Budget'!$C$11/'Renovation Budget'!$G$11,0)</f>
        <v/>
      </c>
      <c r="AD81" s="228">
        <f>IF(AND(AD$11&gt;=(12*(YEAR('Renovation Budget'!$F$11)-YEAR(Assumptions!$F$11))+(MONTH('Renovation Budget'!$F$11)-MONTH(Assumptions!$F$11))),AD$11&lt;=((12*(YEAR('Renovation Budget'!$F$11)-YEAR(Assumptions!$F$11))+(MONTH('Renovation Budget'!$F$11)-MONTH(Assumptions!$F$11)))+'Renovation Budget'!$G$11-1)),-'Renovation Budget'!$C$11/'Renovation Budget'!$G$11,0)</f>
        <v/>
      </c>
      <c r="AE81" s="228">
        <f>IF(AND(AE$11&gt;=(12*(YEAR('Renovation Budget'!$F$11)-YEAR(Assumptions!$F$11))+(MONTH('Renovation Budget'!$F$11)-MONTH(Assumptions!$F$11))),AE$11&lt;=((12*(YEAR('Renovation Budget'!$F$11)-YEAR(Assumptions!$F$11))+(MONTH('Renovation Budget'!$F$11)-MONTH(Assumptions!$F$11)))+'Renovation Budget'!$G$11-1)),-'Renovation Budget'!$C$11/'Renovation Budget'!$G$11,0)</f>
        <v/>
      </c>
      <c r="AF81" s="228">
        <f>IF(AND(AF$11&gt;=(12*(YEAR('Renovation Budget'!$F$11)-YEAR(Assumptions!$F$11))+(MONTH('Renovation Budget'!$F$11)-MONTH(Assumptions!$F$11))),AF$11&lt;=((12*(YEAR('Renovation Budget'!$F$11)-YEAR(Assumptions!$F$11))+(MONTH('Renovation Budget'!$F$11)-MONTH(Assumptions!$F$11)))+'Renovation Budget'!$G$11-1)),-'Renovation Budget'!$C$11/'Renovation Budget'!$G$11,0)</f>
        <v/>
      </c>
      <c r="AG81" s="228">
        <f>IF(AND(AG$11&gt;=(12*(YEAR('Renovation Budget'!$F$11)-YEAR(Assumptions!$F$11))+(MONTH('Renovation Budget'!$F$11)-MONTH(Assumptions!$F$11))),AG$11&lt;=((12*(YEAR('Renovation Budget'!$F$11)-YEAR(Assumptions!$F$11))+(MONTH('Renovation Budget'!$F$11)-MONTH(Assumptions!$F$11)))+'Renovation Budget'!$G$11-1)),-'Renovation Budget'!$C$11/'Renovation Budget'!$G$11,0)</f>
        <v/>
      </c>
      <c r="AH81" s="228">
        <f>IF(AND(AH$11&gt;=(12*(YEAR('Renovation Budget'!$F$11)-YEAR(Assumptions!$F$11))+(MONTH('Renovation Budget'!$F$11)-MONTH(Assumptions!$F$11))),AH$11&lt;=((12*(YEAR('Renovation Budget'!$F$11)-YEAR(Assumptions!$F$11))+(MONTH('Renovation Budget'!$F$11)-MONTH(Assumptions!$F$11)))+'Renovation Budget'!$G$11-1)),-'Renovation Budget'!$C$11/'Renovation Budget'!$G$11,0)</f>
        <v/>
      </c>
      <c r="AI81" s="228">
        <f>IF(AND(AI$11&gt;=(12*(YEAR('Renovation Budget'!$F$11)-YEAR(Assumptions!$F$11))+(MONTH('Renovation Budget'!$F$11)-MONTH(Assumptions!$F$11))),AI$11&lt;=((12*(YEAR('Renovation Budget'!$F$11)-YEAR(Assumptions!$F$11))+(MONTH('Renovation Budget'!$F$11)-MONTH(Assumptions!$F$11)))+'Renovation Budget'!$G$11-1)),-'Renovation Budget'!$C$11/'Renovation Budget'!$G$11,0)</f>
        <v/>
      </c>
      <c r="AJ81" s="228">
        <f>IF(AND(AJ$11&gt;=(12*(YEAR('Renovation Budget'!$F$11)-YEAR(Assumptions!$F$11))+(MONTH('Renovation Budget'!$F$11)-MONTH(Assumptions!$F$11))),AJ$11&lt;=((12*(YEAR('Renovation Budget'!$F$11)-YEAR(Assumptions!$F$11))+(MONTH('Renovation Budget'!$F$11)-MONTH(Assumptions!$F$11)))+'Renovation Budget'!$G$11-1)),-'Renovation Budget'!$C$11/'Renovation Budget'!$G$11,0)</f>
        <v/>
      </c>
      <c r="AK81" s="228">
        <f>IF(AND(AK$11&gt;=(12*(YEAR('Renovation Budget'!$F$11)-YEAR(Assumptions!$F$11))+(MONTH('Renovation Budget'!$F$11)-MONTH(Assumptions!$F$11))),AK$11&lt;=((12*(YEAR('Renovation Budget'!$F$11)-YEAR(Assumptions!$F$11))+(MONTH('Renovation Budget'!$F$11)-MONTH(Assumptions!$F$11)))+'Renovation Budget'!$G$11-1)),-'Renovation Budget'!$C$11/'Renovation Budget'!$G$11,0)</f>
        <v/>
      </c>
      <c r="AL81" s="228">
        <f>IF(AND(AL$11&gt;=(12*(YEAR('Renovation Budget'!$F$11)-YEAR(Assumptions!$F$11))+(MONTH('Renovation Budget'!$F$11)-MONTH(Assumptions!$F$11))),AL$11&lt;=((12*(YEAR('Renovation Budget'!$F$11)-YEAR(Assumptions!$F$11))+(MONTH('Renovation Budget'!$F$11)-MONTH(Assumptions!$F$11)))+'Renovation Budget'!$G$11-1)),-'Renovation Budget'!$C$11/'Renovation Budget'!$G$11,0)</f>
        <v/>
      </c>
      <c r="AM81" s="228">
        <f>IF(AND(AM$11&gt;=(12*(YEAR('Renovation Budget'!$F$11)-YEAR(Assumptions!$F$11))+(MONTH('Renovation Budget'!$F$11)-MONTH(Assumptions!$F$11))),AM$11&lt;=((12*(YEAR('Renovation Budget'!$F$11)-YEAR(Assumptions!$F$11))+(MONTH('Renovation Budget'!$F$11)-MONTH(Assumptions!$F$11)))+'Renovation Budget'!$G$11-1)),-'Renovation Budget'!$C$11/'Renovation Budget'!$G$11,0)</f>
        <v/>
      </c>
      <c r="AN81" s="228">
        <f>IF(AND(AN$11&gt;=(12*(YEAR('Renovation Budget'!$F$11)-YEAR(Assumptions!$F$11))+(MONTH('Renovation Budget'!$F$11)-MONTH(Assumptions!$F$11))),AN$11&lt;=((12*(YEAR('Renovation Budget'!$F$11)-YEAR(Assumptions!$F$11))+(MONTH('Renovation Budget'!$F$11)-MONTH(Assumptions!$F$11)))+'Renovation Budget'!$G$11-1)),-'Renovation Budget'!$C$11/'Renovation Budget'!$G$11,0)</f>
        <v/>
      </c>
      <c r="AO81" s="228">
        <f>IF(AND(AO$11&gt;=(12*(YEAR('Renovation Budget'!$F$11)-YEAR(Assumptions!$F$11))+(MONTH('Renovation Budget'!$F$11)-MONTH(Assumptions!$F$11))),AO$11&lt;=((12*(YEAR('Renovation Budget'!$F$11)-YEAR(Assumptions!$F$11))+(MONTH('Renovation Budget'!$F$11)-MONTH(Assumptions!$F$11)))+'Renovation Budget'!$G$11-1)),-'Renovation Budget'!$C$11/'Renovation Budget'!$G$11,0)</f>
        <v/>
      </c>
      <c r="AP81" s="228">
        <f>IF(AND(AP$11&gt;=(12*(YEAR('Renovation Budget'!$F$11)-YEAR(Assumptions!$F$11))+(MONTH('Renovation Budget'!$F$11)-MONTH(Assumptions!$F$11))),AP$11&lt;=((12*(YEAR('Renovation Budget'!$F$11)-YEAR(Assumptions!$F$11))+(MONTH('Renovation Budget'!$F$11)-MONTH(Assumptions!$F$11)))+'Renovation Budget'!$G$11-1)),-'Renovation Budget'!$C$11/'Renovation Budget'!$G$11,0)</f>
        <v/>
      </c>
      <c r="AQ81" s="228">
        <f>IF(AND(AQ$11&gt;=(12*(YEAR('Renovation Budget'!$F$11)-YEAR(Assumptions!$F$11))+(MONTH('Renovation Budget'!$F$11)-MONTH(Assumptions!$F$11))),AQ$11&lt;=((12*(YEAR('Renovation Budget'!$F$11)-YEAR(Assumptions!$F$11))+(MONTH('Renovation Budget'!$F$11)-MONTH(Assumptions!$F$11)))+'Renovation Budget'!$G$11-1)),-'Renovation Budget'!$C$11/'Renovation Budget'!$G$11,0)</f>
        <v/>
      </c>
      <c r="AR81" s="228">
        <f>IF(AND(AR$11&gt;=(12*(YEAR('Renovation Budget'!$F$11)-YEAR(Assumptions!$F$11))+(MONTH('Renovation Budget'!$F$11)-MONTH(Assumptions!$F$11))),AR$11&lt;=((12*(YEAR('Renovation Budget'!$F$11)-YEAR(Assumptions!$F$11))+(MONTH('Renovation Budget'!$F$11)-MONTH(Assumptions!$F$11)))+'Renovation Budget'!$G$11-1)),-'Renovation Budget'!$C$11/'Renovation Budget'!$G$11,0)</f>
        <v/>
      </c>
      <c r="AS81" s="228">
        <f>IF(AND(AS$11&gt;=(12*(YEAR('Renovation Budget'!$F$11)-YEAR(Assumptions!$F$11))+(MONTH('Renovation Budget'!$F$11)-MONTH(Assumptions!$F$11))),AS$11&lt;=((12*(YEAR('Renovation Budget'!$F$11)-YEAR(Assumptions!$F$11))+(MONTH('Renovation Budget'!$F$11)-MONTH(Assumptions!$F$11)))+'Renovation Budget'!$G$11-1)),-'Renovation Budget'!$C$11/'Renovation Budget'!$G$11,0)</f>
        <v/>
      </c>
      <c r="AT81" s="228">
        <f>IF(AND(AT$11&gt;=(12*(YEAR('Renovation Budget'!$F$11)-YEAR(Assumptions!$F$11))+(MONTH('Renovation Budget'!$F$11)-MONTH(Assumptions!$F$11))),AT$11&lt;=((12*(YEAR('Renovation Budget'!$F$11)-YEAR(Assumptions!$F$11))+(MONTH('Renovation Budget'!$F$11)-MONTH(Assumptions!$F$11)))+'Renovation Budget'!$G$11-1)),-'Renovation Budget'!$C$11/'Renovation Budget'!$G$11,0)</f>
        <v/>
      </c>
      <c r="AU81" s="228">
        <f>IF(AND(AU$11&gt;=(12*(YEAR('Renovation Budget'!$F$11)-YEAR(Assumptions!$F$11))+(MONTH('Renovation Budget'!$F$11)-MONTH(Assumptions!$F$11))),AU$11&lt;=((12*(YEAR('Renovation Budget'!$F$11)-YEAR(Assumptions!$F$11))+(MONTH('Renovation Budget'!$F$11)-MONTH(Assumptions!$F$11)))+'Renovation Budget'!$G$11-1)),-'Renovation Budget'!$C$11/'Renovation Budget'!$G$11,0)</f>
        <v/>
      </c>
      <c r="AV81" s="228">
        <f>IF(AND(AV$11&gt;=(12*(YEAR('Renovation Budget'!$F$11)-YEAR(Assumptions!$F$11))+(MONTH('Renovation Budget'!$F$11)-MONTH(Assumptions!$F$11))),AV$11&lt;=((12*(YEAR('Renovation Budget'!$F$11)-YEAR(Assumptions!$F$11))+(MONTH('Renovation Budget'!$F$11)-MONTH(Assumptions!$F$11)))+'Renovation Budget'!$G$11-1)),-'Renovation Budget'!$C$11/'Renovation Budget'!$G$11,0)</f>
        <v/>
      </c>
      <c r="AW81" s="228">
        <f>IF(AND(AW$11&gt;=(12*(YEAR('Renovation Budget'!$F$11)-YEAR(Assumptions!$F$11))+(MONTH('Renovation Budget'!$F$11)-MONTH(Assumptions!$F$11))),AW$11&lt;=((12*(YEAR('Renovation Budget'!$F$11)-YEAR(Assumptions!$F$11))+(MONTH('Renovation Budget'!$F$11)-MONTH(Assumptions!$F$11)))+'Renovation Budget'!$G$11-1)),-'Renovation Budget'!$C$11/'Renovation Budget'!$G$11,0)</f>
        <v/>
      </c>
      <c r="AX81" s="228">
        <f>IF(AND(AX$11&gt;=(12*(YEAR('Renovation Budget'!$F$11)-YEAR(Assumptions!$F$11))+(MONTH('Renovation Budget'!$F$11)-MONTH(Assumptions!$F$11))),AX$11&lt;=((12*(YEAR('Renovation Budget'!$F$11)-YEAR(Assumptions!$F$11))+(MONTH('Renovation Budget'!$F$11)-MONTH(Assumptions!$F$11)))+'Renovation Budget'!$G$11-1)),-'Renovation Budget'!$C$11/'Renovation Budget'!$G$11,0)</f>
        <v/>
      </c>
      <c r="AY81" s="228">
        <f>IF(AND(AY$11&gt;=(12*(YEAR('Renovation Budget'!$F$11)-YEAR(Assumptions!$F$11))+(MONTH('Renovation Budget'!$F$11)-MONTH(Assumptions!$F$11))),AY$11&lt;=((12*(YEAR('Renovation Budget'!$F$11)-YEAR(Assumptions!$F$11))+(MONTH('Renovation Budget'!$F$11)-MONTH(Assumptions!$F$11)))+'Renovation Budget'!$G$11-1)),-'Renovation Budget'!$C$11/'Renovation Budget'!$G$11,0)</f>
        <v/>
      </c>
      <c r="AZ81" s="228">
        <f>IF(AND(AZ$11&gt;=(12*(YEAR('Renovation Budget'!$F$11)-YEAR(Assumptions!$F$11))+(MONTH('Renovation Budget'!$F$11)-MONTH(Assumptions!$F$11))),AZ$11&lt;=((12*(YEAR('Renovation Budget'!$F$11)-YEAR(Assumptions!$F$11))+(MONTH('Renovation Budget'!$F$11)-MONTH(Assumptions!$F$11)))+'Renovation Budget'!$G$11-1)),-'Renovation Budget'!$C$11/'Renovation Budget'!$G$11,0)</f>
        <v/>
      </c>
      <c r="BA81" s="228">
        <f>IF(AND(BA$11&gt;=(12*(YEAR('Renovation Budget'!$F$11)-YEAR(Assumptions!$F$11))+(MONTH('Renovation Budget'!$F$11)-MONTH(Assumptions!$F$11))),BA$11&lt;=((12*(YEAR('Renovation Budget'!$F$11)-YEAR(Assumptions!$F$11))+(MONTH('Renovation Budget'!$F$11)-MONTH(Assumptions!$F$11)))+'Renovation Budget'!$G$11-1)),-'Renovation Budget'!$C$11/'Renovation Budget'!$G$11,0)</f>
        <v/>
      </c>
      <c r="BB81" s="228">
        <f>IF(AND(BB$11&gt;=(12*(YEAR('Renovation Budget'!$F$11)-YEAR(Assumptions!$F$11))+(MONTH('Renovation Budget'!$F$11)-MONTH(Assumptions!$F$11))),BB$11&lt;=((12*(YEAR('Renovation Budget'!$F$11)-YEAR(Assumptions!$F$11))+(MONTH('Renovation Budget'!$F$11)-MONTH(Assumptions!$F$11)))+'Renovation Budget'!$G$11-1)),-'Renovation Budget'!$C$11/'Renovation Budget'!$G$11,0)</f>
        <v/>
      </c>
      <c r="BC81" s="228">
        <f>IF(AND(BC$11&gt;=(12*(YEAR('Renovation Budget'!$F$11)-YEAR(Assumptions!$F$11))+(MONTH('Renovation Budget'!$F$11)-MONTH(Assumptions!$F$11))),BC$11&lt;=((12*(YEAR('Renovation Budget'!$F$11)-YEAR(Assumptions!$F$11))+(MONTH('Renovation Budget'!$F$11)-MONTH(Assumptions!$F$11)))+'Renovation Budget'!$G$11-1)),-'Renovation Budget'!$C$11/'Renovation Budget'!$G$11,0)</f>
        <v/>
      </c>
      <c r="BD81" s="228">
        <f>IF(AND(BD$11&gt;=(12*(YEAR('Renovation Budget'!$F$11)-YEAR(Assumptions!$F$11))+(MONTH('Renovation Budget'!$F$11)-MONTH(Assumptions!$F$11))),BD$11&lt;=((12*(YEAR('Renovation Budget'!$F$11)-YEAR(Assumptions!$F$11))+(MONTH('Renovation Budget'!$F$11)-MONTH(Assumptions!$F$11)))+'Renovation Budget'!$G$11-1)),-'Renovation Budget'!$C$11/'Renovation Budget'!$G$11,0)</f>
        <v/>
      </c>
      <c r="BE81" s="228">
        <f>IF(AND(BE$11&gt;=(12*(YEAR('Renovation Budget'!$F$11)-YEAR(Assumptions!$F$11))+(MONTH('Renovation Budget'!$F$11)-MONTH(Assumptions!$F$11))),BE$11&lt;=((12*(YEAR('Renovation Budget'!$F$11)-YEAR(Assumptions!$F$11))+(MONTH('Renovation Budget'!$F$11)-MONTH(Assumptions!$F$11)))+'Renovation Budget'!$G$11-1)),-'Renovation Budget'!$C$11/'Renovation Budget'!$G$11,0)</f>
        <v/>
      </c>
      <c r="BF81" s="228">
        <f>IF(AND(BF$11&gt;=(12*(YEAR('Renovation Budget'!$F$11)-YEAR(Assumptions!$F$11))+(MONTH('Renovation Budget'!$F$11)-MONTH(Assumptions!$F$11))),BF$11&lt;=((12*(YEAR('Renovation Budget'!$F$11)-YEAR(Assumptions!$F$11))+(MONTH('Renovation Budget'!$F$11)-MONTH(Assumptions!$F$11)))+'Renovation Budget'!$G$11-1)),-'Renovation Budget'!$C$11/'Renovation Budget'!$G$11,0)</f>
        <v/>
      </c>
      <c r="BG81" s="228">
        <f>IF(AND(BG$11&gt;=(12*(YEAR('Renovation Budget'!$F$11)-YEAR(Assumptions!$F$11))+(MONTH('Renovation Budget'!$F$11)-MONTH(Assumptions!$F$11))),BG$11&lt;=((12*(YEAR('Renovation Budget'!$F$11)-YEAR(Assumptions!$F$11))+(MONTH('Renovation Budget'!$F$11)-MONTH(Assumptions!$F$11)))+'Renovation Budget'!$G$11-1)),-'Renovation Budget'!$C$11/'Renovation Budget'!$G$11,0)</f>
        <v/>
      </c>
      <c r="BH81" s="228">
        <f>IF(AND(BH$11&gt;=(12*(YEAR('Renovation Budget'!$F$11)-YEAR(Assumptions!$F$11))+(MONTH('Renovation Budget'!$F$11)-MONTH(Assumptions!$F$11))),BH$11&lt;=((12*(YEAR('Renovation Budget'!$F$11)-YEAR(Assumptions!$F$11))+(MONTH('Renovation Budget'!$F$11)-MONTH(Assumptions!$F$11)))+'Renovation Budget'!$G$11-1)),-'Renovation Budget'!$C$11/'Renovation Budget'!$G$11,0)</f>
        <v/>
      </c>
      <c r="BI81" s="228">
        <f>IF(AND(BI$11&gt;=(12*(YEAR('Renovation Budget'!$F$11)-YEAR(Assumptions!$F$11))+(MONTH('Renovation Budget'!$F$11)-MONTH(Assumptions!$F$11))),BI$11&lt;=((12*(YEAR('Renovation Budget'!$F$11)-YEAR(Assumptions!$F$11))+(MONTH('Renovation Budget'!$F$11)-MONTH(Assumptions!$F$11)))+'Renovation Budget'!$G$11-1)),-'Renovation Budget'!$C$11/'Renovation Budget'!$G$11,0)</f>
        <v/>
      </c>
      <c r="BJ81" s="228">
        <f>IF(AND(BJ$11&gt;=(12*(YEAR('Renovation Budget'!$F$11)-YEAR(Assumptions!$F$11))+(MONTH('Renovation Budget'!$F$11)-MONTH(Assumptions!$F$11))),BJ$11&lt;=((12*(YEAR('Renovation Budget'!$F$11)-YEAR(Assumptions!$F$11))+(MONTH('Renovation Budget'!$F$11)-MONTH(Assumptions!$F$11)))+'Renovation Budget'!$G$11-1)),-'Renovation Budget'!$C$11/'Renovation Budget'!$G$11,0)</f>
        <v/>
      </c>
      <c r="BK81" s="228">
        <f>IF(AND(BK$11&gt;=(12*(YEAR('Renovation Budget'!$F$11)-YEAR(Assumptions!$F$11))+(MONTH('Renovation Budget'!$F$11)-MONTH(Assumptions!$F$11))),BK$11&lt;=((12*(YEAR('Renovation Budget'!$F$11)-YEAR(Assumptions!$F$11))+(MONTH('Renovation Budget'!$F$11)-MONTH(Assumptions!$F$11)))+'Renovation Budget'!$G$11-1)),-'Renovation Budget'!$C$11/'Renovation Budget'!$G$11,0)</f>
        <v/>
      </c>
      <c r="BL81" s="228">
        <f>IF(AND(BL$11&gt;=(12*(YEAR('Renovation Budget'!$F$11)-YEAR(Assumptions!$F$11))+(MONTH('Renovation Budget'!$F$11)-MONTH(Assumptions!$F$11))),BL$11&lt;=((12*(YEAR('Renovation Budget'!$F$11)-YEAR(Assumptions!$F$11))+(MONTH('Renovation Budget'!$F$11)-MONTH(Assumptions!$F$11)))+'Renovation Budget'!$G$11-1)),-'Renovation Budget'!$C$11/'Renovation Budget'!$G$11,0)</f>
        <v/>
      </c>
      <c r="BM81" s="228">
        <f>IF(AND(BM$11&gt;=(12*(YEAR('Renovation Budget'!$F$11)-YEAR(Assumptions!$F$11))+(MONTH('Renovation Budget'!$F$11)-MONTH(Assumptions!$F$11))),BM$11&lt;=((12*(YEAR('Renovation Budget'!$F$11)-YEAR(Assumptions!$F$11))+(MONTH('Renovation Budget'!$F$11)-MONTH(Assumptions!$F$11)))+'Renovation Budget'!$G$11-1)),-'Renovation Budget'!$C$11/'Renovation Budget'!$G$11,0)</f>
        <v/>
      </c>
      <c r="BN81" s="228">
        <f>IF(AND(BN$11&gt;=(12*(YEAR('Renovation Budget'!$F$11)-YEAR(Assumptions!$F$11))+(MONTH('Renovation Budget'!$F$11)-MONTH(Assumptions!$F$11))),BN$11&lt;=((12*(YEAR('Renovation Budget'!$F$11)-YEAR(Assumptions!$F$11))+(MONTH('Renovation Budget'!$F$11)-MONTH(Assumptions!$F$11)))+'Renovation Budget'!$G$11-1)),-'Renovation Budget'!$C$11/'Renovation Budget'!$G$11,0)</f>
        <v/>
      </c>
      <c r="BO81" s="228">
        <f>IF(AND(BO$11&gt;=(12*(YEAR('Renovation Budget'!$F$11)-YEAR(Assumptions!$F$11))+(MONTH('Renovation Budget'!$F$11)-MONTH(Assumptions!$F$11))),BO$11&lt;=((12*(YEAR('Renovation Budget'!$F$11)-YEAR(Assumptions!$F$11))+(MONTH('Renovation Budget'!$F$11)-MONTH(Assumptions!$F$11)))+'Renovation Budget'!$G$11-1)),-'Renovation Budget'!$C$11/'Renovation Budget'!$G$11,0)</f>
        <v/>
      </c>
      <c r="BP81" s="228">
        <f>IF(AND(BP$11&gt;=(12*(YEAR('Renovation Budget'!$F$11)-YEAR(Assumptions!$F$11))+(MONTH('Renovation Budget'!$F$11)-MONTH(Assumptions!$F$11))),BP$11&lt;=((12*(YEAR('Renovation Budget'!$F$11)-YEAR(Assumptions!$F$11))+(MONTH('Renovation Budget'!$F$11)-MONTH(Assumptions!$F$11)))+'Renovation Budget'!$G$11-1)),-'Renovation Budget'!$C$11/'Renovation Budget'!$G$11,0)</f>
        <v/>
      </c>
      <c r="BQ81" s="228">
        <f>IF(AND(BQ$11&gt;=(12*(YEAR('Renovation Budget'!$F$11)-YEAR(Assumptions!$F$11))+(MONTH('Renovation Budget'!$F$11)-MONTH(Assumptions!$F$11))),BQ$11&lt;=((12*(YEAR('Renovation Budget'!$F$11)-YEAR(Assumptions!$F$11))+(MONTH('Renovation Budget'!$F$11)-MONTH(Assumptions!$F$11)))+'Renovation Budget'!$G$11-1)),-'Renovation Budget'!$C$11/'Renovation Budget'!$G$11,0)</f>
        <v/>
      </c>
      <c r="BR81" s="228">
        <f>IF(AND(BR$11&gt;=(12*(YEAR('Renovation Budget'!$F$11)-YEAR(Assumptions!$F$11))+(MONTH('Renovation Budget'!$F$11)-MONTH(Assumptions!$F$11))),BR$11&lt;=((12*(YEAR('Renovation Budget'!$F$11)-YEAR(Assumptions!$F$11))+(MONTH('Renovation Budget'!$F$11)-MONTH(Assumptions!$F$11)))+'Renovation Budget'!$G$11-1)),-'Renovation Budget'!$C$11/'Renovation Budget'!$G$11,0)</f>
        <v/>
      </c>
      <c r="BS81" s="228">
        <f>IF(AND(BS$11&gt;=(12*(YEAR('Renovation Budget'!$F$11)-YEAR(Assumptions!$F$11))+(MONTH('Renovation Budget'!$F$11)-MONTH(Assumptions!$F$11))),BS$11&lt;=((12*(YEAR('Renovation Budget'!$F$11)-YEAR(Assumptions!$F$11))+(MONTH('Renovation Budget'!$F$11)-MONTH(Assumptions!$F$11)))+'Renovation Budget'!$G$11-1)),-'Renovation Budget'!$C$11/'Renovation Budget'!$G$11,0)</f>
        <v/>
      </c>
      <c r="BT81" s="228">
        <f>IF(AND(BT$11&gt;=(12*(YEAR('Renovation Budget'!$F$11)-YEAR(Assumptions!$F$11))+(MONTH('Renovation Budget'!$F$11)-MONTH(Assumptions!$F$11))),BT$11&lt;=((12*(YEAR('Renovation Budget'!$F$11)-YEAR(Assumptions!$F$11))+(MONTH('Renovation Budget'!$F$11)-MONTH(Assumptions!$F$11)))+'Renovation Budget'!$G$11-1)),-'Renovation Budget'!$C$11/'Renovation Budget'!$G$11,0)</f>
        <v/>
      </c>
      <c r="BU81" s="228">
        <f>IF(AND(BU$11&gt;=(12*(YEAR('Renovation Budget'!$F$11)-YEAR(Assumptions!$F$11))+(MONTH('Renovation Budget'!$F$11)-MONTH(Assumptions!$F$11))),BU$11&lt;=((12*(YEAR('Renovation Budget'!$F$11)-YEAR(Assumptions!$F$11))+(MONTH('Renovation Budget'!$F$11)-MONTH(Assumptions!$F$11)))+'Renovation Budget'!$G$11-1)),-'Renovation Budget'!$C$11/'Renovation Budget'!$G$11,0)</f>
        <v/>
      </c>
      <c r="BV81" s="228">
        <f>IF(AND(BV$11&gt;=(12*(YEAR('Renovation Budget'!$F$11)-YEAR(Assumptions!$F$11))+(MONTH('Renovation Budget'!$F$11)-MONTH(Assumptions!$F$11))),BV$11&lt;=((12*(YEAR('Renovation Budget'!$F$11)-YEAR(Assumptions!$F$11))+(MONTH('Renovation Budget'!$F$11)-MONTH(Assumptions!$F$11)))+'Renovation Budget'!$G$11-1)),-'Renovation Budget'!$C$11/'Renovation Budget'!$G$11,0)</f>
        <v/>
      </c>
      <c r="BW81" s="228">
        <f>IF(AND(BW$11&gt;=(12*(YEAR('Renovation Budget'!$F$11)-YEAR(Assumptions!$F$11))+(MONTH('Renovation Budget'!$F$11)-MONTH(Assumptions!$F$11))),BW$11&lt;=((12*(YEAR('Renovation Budget'!$F$11)-YEAR(Assumptions!$F$11))+(MONTH('Renovation Budget'!$F$11)-MONTH(Assumptions!$F$11)))+'Renovation Budget'!$G$11-1)),-'Renovation Budget'!$C$11/'Renovation Budget'!$G$11,0)</f>
        <v/>
      </c>
      <c r="BX81" s="228">
        <f>IF(AND(BX$11&gt;=(12*(YEAR('Renovation Budget'!$F$11)-YEAR(Assumptions!$F$11))+(MONTH('Renovation Budget'!$F$11)-MONTH(Assumptions!$F$11))),BX$11&lt;=((12*(YEAR('Renovation Budget'!$F$11)-YEAR(Assumptions!$F$11))+(MONTH('Renovation Budget'!$F$11)-MONTH(Assumptions!$F$11)))+'Renovation Budget'!$G$11-1)),-'Renovation Budget'!$C$11/'Renovation Budget'!$G$11,0)</f>
        <v/>
      </c>
      <c r="BY81" s="228">
        <f>IF(AND(BY$11&gt;=(12*(YEAR('Renovation Budget'!$F$11)-YEAR(Assumptions!$F$11))+(MONTH('Renovation Budget'!$F$11)-MONTH(Assumptions!$F$11))),BY$11&lt;=((12*(YEAR('Renovation Budget'!$F$11)-YEAR(Assumptions!$F$11))+(MONTH('Renovation Budget'!$F$11)-MONTH(Assumptions!$F$11)))+'Renovation Budget'!$G$11-1)),-'Renovation Budget'!$C$11/'Renovation Budget'!$G$11,0)</f>
        <v/>
      </c>
      <c r="BZ81" s="228">
        <f>IF(AND(BZ$11&gt;=(12*(YEAR('Renovation Budget'!$F$11)-YEAR(Assumptions!$F$11))+(MONTH('Renovation Budget'!$F$11)-MONTH(Assumptions!$F$11))),BZ$11&lt;=((12*(YEAR('Renovation Budget'!$F$11)-YEAR(Assumptions!$F$11))+(MONTH('Renovation Budget'!$F$11)-MONTH(Assumptions!$F$11)))+'Renovation Budget'!$G$11-1)),-'Renovation Budget'!$C$11/'Renovation Budget'!$G$11,0)</f>
        <v/>
      </c>
      <c r="CA81" s="228">
        <f>IF(AND(CA$11&gt;=(12*(YEAR('Renovation Budget'!$F$11)-YEAR(Assumptions!$F$11))+(MONTH('Renovation Budget'!$F$11)-MONTH(Assumptions!$F$11))),CA$11&lt;=((12*(YEAR('Renovation Budget'!$F$11)-YEAR(Assumptions!$F$11))+(MONTH('Renovation Budget'!$F$11)-MONTH(Assumptions!$F$11)))+'Renovation Budget'!$G$11-1)),-'Renovation Budget'!$C$11/'Renovation Budget'!$G$11,0)</f>
        <v/>
      </c>
      <c r="CB81" s="228">
        <f>IF(AND(CB$11&gt;=(12*(YEAR('Renovation Budget'!$F$11)-YEAR(Assumptions!$F$11))+(MONTH('Renovation Budget'!$F$11)-MONTH(Assumptions!$F$11))),CB$11&lt;=((12*(YEAR('Renovation Budget'!$F$11)-YEAR(Assumptions!$F$11))+(MONTH('Renovation Budget'!$F$11)-MONTH(Assumptions!$F$11)))+'Renovation Budget'!$G$11-1)),-'Renovation Budget'!$C$11/'Renovation Budget'!$G$11,0)</f>
        <v/>
      </c>
      <c r="CC81" s="228">
        <f>IF(AND(CC$11&gt;=(12*(YEAR('Renovation Budget'!$F$11)-YEAR(Assumptions!$F$11))+(MONTH('Renovation Budget'!$F$11)-MONTH(Assumptions!$F$11))),CC$11&lt;=((12*(YEAR('Renovation Budget'!$F$11)-YEAR(Assumptions!$F$11))+(MONTH('Renovation Budget'!$F$11)-MONTH(Assumptions!$F$11)))+'Renovation Budget'!$G$11-1)),-'Renovation Budget'!$C$11/'Renovation Budget'!$G$11,0)</f>
        <v/>
      </c>
      <c r="CD81" s="228">
        <f>IF(AND(CD$11&gt;=(12*(YEAR('Renovation Budget'!$F$11)-YEAR(Assumptions!$F$11))+(MONTH('Renovation Budget'!$F$11)-MONTH(Assumptions!$F$11))),CD$11&lt;=((12*(YEAR('Renovation Budget'!$F$11)-YEAR(Assumptions!$F$11))+(MONTH('Renovation Budget'!$F$11)-MONTH(Assumptions!$F$11)))+'Renovation Budget'!$G$11-1)),-'Renovation Budget'!$C$11/'Renovation Budget'!$G$11,0)</f>
        <v/>
      </c>
      <c r="CE81" s="228">
        <f>IF(AND(CE$11&gt;=(12*(YEAR('Renovation Budget'!$F$11)-YEAR(Assumptions!$F$11))+(MONTH('Renovation Budget'!$F$11)-MONTH(Assumptions!$F$11))),CE$11&lt;=((12*(YEAR('Renovation Budget'!$F$11)-YEAR(Assumptions!$F$11))+(MONTH('Renovation Budget'!$F$11)-MONTH(Assumptions!$F$11)))+'Renovation Budget'!$G$11-1)),-'Renovation Budget'!$C$11/'Renovation Budget'!$G$11,0)</f>
        <v/>
      </c>
      <c r="CF81" s="228">
        <f>IF(AND(CF$11&gt;=(12*(YEAR('Renovation Budget'!$F$11)-YEAR(Assumptions!$F$11))+(MONTH('Renovation Budget'!$F$11)-MONTH(Assumptions!$F$11))),CF$11&lt;=((12*(YEAR('Renovation Budget'!$F$11)-YEAR(Assumptions!$F$11))+(MONTH('Renovation Budget'!$F$11)-MONTH(Assumptions!$F$11)))+'Renovation Budget'!$G$11-1)),-'Renovation Budget'!$C$11/'Renovation Budget'!$G$11,0)</f>
        <v/>
      </c>
      <c r="CG81" s="228">
        <f>IF(AND(CG$11&gt;=(12*(YEAR('Renovation Budget'!$F$11)-YEAR(Assumptions!$F$11))+(MONTH('Renovation Budget'!$F$11)-MONTH(Assumptions!$F$11))),CG$11&lt;=((12*(YEAR('Renovation Budget'!$F$11)-YEAR(Assumptions!$F$11))+(MONTH('Renovation Budget'!$F$11)-MONTH(Assumptions!$F$11)))+'Renovation Budget'!$G$11-1)),-'Renovation Budget'!$C$11/'Renovation Budget'!$G$11,0)</f>
        <v/>
      </c>
      <c r="CH81" s="228">
        <f>IF(AND(CH$11&gt;=(12*(YEAR('Renovation Budget'!$F$11)-YEAR(Assumptions!$F$11))+(MONTH('Renovation Budget'!$F$11)-MONTH(Assumptions!$F$11))),CH$11&lt;=((12*(YEAR('Renovation Budget'!$F$11)-YEAR(Assumptions!$F$11))+(MONTH('Renovation Budget'!$F$11)-MONTH(Assumptions!$F$11)))+'Renovation Budget'!$G$11-1)),-'Renovation Budget'!$C$11/'Renovation Budget'!$G$11,0)</f>
        <v/>
      </c>
      <c r="CI81" s="228">
        <f>IF(AND(CI$11&gt;=(12*(YEAR('Renovation Budget'!$F$11)-YEAR(Assumptions!$F$11))+(MONTH('Renovation Budget'!$F$11)-MONTH(Assumptions!$F$11))),CI$11&lt;=((12*(YEAR('Renovation Budget'!$F$11)-YEAR(Assumptions!$F$11))+(MONTH('Renovation Budget'!$F$11)-MONTH(Assumptions!$F$11)))+'Renovation Budget'!$G$11-1)),-'Renovation Budget'!$C$11/'Renovation Budget'!$G$11,0)</f>
        <v/>
      </c>
      <c r="CJ81" s="228">
        <f>IF(AND(CJ$11&gt;=(12*(YEAR('Renovation Budget'!$F$11)-YEAR(Assumptions!$F$11))+(MONTH('Renovation Budget'!$F$11)-MONTH(Assumptions!$F$11))),CJ$11&lt;=((12*(YEAR('Renovation Budget'!$F$11)-YEAR(Assumptions!$F$11))+(MONTH('Renovation Budget'!$F$11)-MONTH(Assumptions!$F$11)))+'Renovation Budget'!$G$11-1)),-'Renovation Budget'!$C$11/'Renovation Budget'!$G$11,0)</f>
        <v/>
      </c>
      <c r="CK81" s="228">
        <f>IF(AND(CK$11&gt;=(12*(YEAR('Renovation Budget'!$F$11)-YEAR(Assumptions!$F$11))+(MONTH('Renovation Budget'!$F$11)-MONTH(Assumptions!$F$11))),CK$11&lt;=((12*(YEAR('Renovation Budget'!$F$11)-YEAR(Assumptions!$F$11))+(MONTH('Renovation Budget'!$F$11)-MONTH(Assumptions!$F$11)))+'Renovation Budget'!$G$11-1)),-'Renovation Budget'!$C$11/'Renovation Budget'!$G$11,0)</f>
        <v/>
      </c>
      <c r="CL81" s="228">
        <f>IF(AND(CL$11&gt;=(12*(YEAR('Renovation Budget'!$F$11)-YEAR(Assumptions!$F$11))+(MONTH('Renovation Budget'!$F$11)-MONTH(Assumptions!$F$11))),CL$11&lt;=((12*(YEAR('Renovation Budget'!$F$11)-YEAR(Assumptions!$F$11))+(MONTH('Renovation Budget'!$F$11)-MONTH(Assumptions!$F$11)))+'Renovation Budget'!$G$11-1)),-'Renovation Budget'!$C$11/'Renovation Budget'!$G$11,0)</f>
        <v/>
      </c>
      <c r="CM81" s="228">
        <f>IF(AND(CM$11&gt;=(12*(YEAR('Renovation Budget'!$F$11)-YEAR(Assumptions!$F$11))+(MONTH('Renovation Budget'!$F$11)-MONTH(Assumptions!$F$11))),CM$11&lt;=((12*(YEAR('Renovation Budget'!$F$11)-YEAR(Assumptions!$F$11))+(MONTH('Renovation Budget'!$F$11)-MONTH(Assumptions!$F$11)))+'Renovation Budget'!$G$11-1)),-'Renovation Budget'!$C$11/'Renovation Budget'!$G$11,0)</f>
        <v/>
      </c>
      <c r="CN81" s="228">
        <f>IF(AND(CN$11&gt;=(12*(YEAR('Renovation Budget'!$F$11)-YEAR(Assumptions!$F$11))+(MONTH('Renovation Budget'!$F$11)-MONTH(Assumptions!$F$11))),CN$11&lt;=((12*(YEAR('Renovation Budget'!$F$11)-YEAR(Assumptions!$F$11))+(MONTH('Renovation Budget'!$F$11)-MONTH(Assumptions!$F$11)))+'Renovation Budget'!$G$11-1)),-'Renovation Budget'!$C$11/'Renovation Budget'!$G$11,0)</f>
        <v/>
      </c>
      <c r="CO81" s="228">
        <f>IF(AND(CO$11&gt;=(12*(YEAR('Renovation Budget'!$F$11)-YEAR(Assumptions!$F$11))+(MONTH('Renovation Budget'!$F$11)-MONTH(Assumptions!$F$11))),CO$11&lt;=((12*(YEAR('Renovation Budget'!$F$11)-YEAR(Assumptions!$F$11))+(MONTH('Renovation Budget'!$F$11)-MONTH(Assumptions!$F$11)))+'Renovation Budget'!$G$11-1)),-'Renovation Budget'!$C$11/'Renovation Budget'!$G$11,0)</f>
        <v/>
      </c>
      <c r="CP81" s="228">
        <f>IF(AND(CP$11&gt;=(12*(YEAR('Renovation Budget'!$F$11)-YEAR(Assumptions!$F$11))+(MONTH('Renovation Budget'!$F$11)-MONTH(Assumptions!$F$11))),CP$11&lt;=((12*(YEAR('Renovation Budget'!$F$11)-YEAR(Assumptions!$F$11))+(MONTH('Renovation Budget'!$F$11)-MONTH(Assumptions!$F$11)))+'Renovation Budget'!$G$11-1)),-'Renovation Budget'!$C$11/'Renovation Budget'!$G$11,0)</f>
        <v/>
      </c>
      <c r="CQ81" s="228">
        <f>IF(AND(CQ$11&gt;=(12*(YEAR('Renovation Budget'!$F$11)-YEAR(Assumptions!$F$11))+(MONTH('Renovation Budget'!$F$11)-MONTH(Assumptions!$F$11))),CQ$11&lt;=((12*(YEAR('Renovation Budget'!$F$11)-YEAR(Assumptions!$F$11))+(MONTH('Renovation Budget'!$F$11)-MONTH(Assumptions!$F$11)))+'Renovation Budget'!$G$11-1)),-'Renovation Budget'!$C$11/'Renovation Budget'!$G$11,0)</f>
        <v/>
      </c>
      <c r="CR81" s="228">
        <f>IF(AND(CR$11&gt;=(12*(YEAR('Renovation Budget'!$F$11)-YEAR(Assumptions!$F$11))+(MONTH('Renovation Budget'!$F$11)-MONTH(Assumptions!$F$11))),CR$11&lt;=((12*(YEAR('Renovation Budget'!$F$11)-YEAR(Assumptions!$F$11))+(MONTH('Renovation Budget'!$F$11)-MONTH(Assumptions!$F$11)))+'Renovation Budget'!$G$11-1)),-'Renovation Budget'!$C$11/'Renovation Budget'!$G$11,0)</f>
        <v/>
      </c>
      <c r="CS81" s="228">
        <f>IF(AND(CS$11&gt;=(12*(YEAR('Renovation Budget'!$F$11)-YEAR(Assumptions!$F$11))+(MONTH('Renovation Budget'!$F$11)-MONTH(Assumptions!$F$11))),CS$11&lt;=((12*(YEAR('Renovation Budget'!$F$11)-YEAR(Assumptions!$F$11))+(MONTH('Renovation Budget'!$F$11)-MONTH(Assumptions!$F$11)))+'Renovation Budget'!$G$11-1)),-'Renovation Budget'!$C$11/'Renovation Budget'!$G$11,0)</f>
        <v/>
      </c>
      <c r="CT81" s="228">
        <f>IF(AND(CT$11&gt;=(12*(YEAR('Renovation Budget'!$F$11)-YEAR(Assumptions!$F$11))+(MONTH('Renovation Budget'!$F$11)-MONTH(Assumptions!$F$11))),CT$11&lt;=((12*(YEAR('Renovation Budget'!$F$11)-YEAR(Assumptions!$F$11))+(MONTH('Renovation Budget'!$F$11)-MONTH(Assumptions!$F$11)))+'Renovation Budget'!$G$11-1)),-'Renovation Budget'!$C$11/'Renovation Budget'!$G$11,0)</f>
        <v/>
      </c>
      <c r="CU81" s="228">
        <f>IF(AND(CU$11&gt;=(12*(YEAR('Renovation Budget'!$F$11)-YEAR(Assumptions!$F$11))+(MONTH('Renovation Budget'!$F$11)-MONTH(Assumptions!$F$11))),CU$11&lt;=((12*(YEAR('Renovation Budget'!$F$11)-YEAR(Assumptions!$F$11))+(MONTH('Renovation Budget'!$F$11)-MONTH(Assumptions!$F$11)))+'Renovation Budget'!$G$11-1)),-'Renovation Budget'!$C$11/'Renovation Budget'!$G$11,0)</f>
        <v/>
      </c>
      <c r="CV81" s="228">
        <f>IF(AND(CV$11&gt;=(12*(YEAR('Renovation Budget'!$F$11)-YEAR(Assumptions!$F$11))+(MONTH('Renovation Budget'!$F$11)-MONTH(Assumptions!$F$11))),CV$11&lt;=((12*(YEAR('Renovation Budget'!$F$11)-YEAR(Assumptions!$F$11))+(MONTH('Renovation Budget'!$F$11)-MONTH(Assumptions!$F$11)))+'Renovation Budget'!$G$11-1)),-'Renovation Budget'!$C$11/'Renovation Budget'!$G$11,0)</f>
        <v/>
      </c>
      <c r="CW81" s="228">
        <f>IF(AND(CW$11&gt;=(12*(YEAR('Renovation Budget'!$F$11)-YEAR(Assumptions!$F$11))+(MONTH('Renovation Budget'!$F$11)-MONTH(Assumptions!$F$11))),CW$11&lt;=((12*(YEAR('Renovation Budget'!$F$11)-YEAR(Assumptions!$F$11))+(MONTH('Renovation Budget'!$F$11)-MONTH(Assumptions!$F$11)))+'Renovation Budget'!$G$11-1)),-'Renovation Budget'!$C$11/'Renovation Budget'!$G$11,0)</f>
        <v/>
      </c>
      <c r="CX81" s="228">
        <f>IF(AND(CX$11&gt;=(12*(YEAR('Renovation Budget'!$F$11)-YEAR(Assumptions!$F$11))+(MONTH('Renovation Budget'!$F$11)-MONTH(Assumptions!$F$11))),CX$11&lt;=((12*(YEAR('Renovation Budget'!$F$11)-YEAR(Assumptions!$F$11))+(MONTH('Renovation Budget'!$F$11)-MONTH(Assumptions!$F$11)))+'Renovation Budget'!$G$11-1)),-'Renovation Budget'!$C$11/'Renovation Budget'!$G$11,0)</f>
        <v/>
      </c>
      <c r="CY81" s="228">
        <f>IF(AND(CY$11&gt;=(12*(YEAR('Renovation Budget'!$F$11)-YEAR(Assumptions!$F$11))+(MONTH('Renovation Budget'!$F$11)-MONTH(Assumptions!$F$11))),CY$11&lt;=((12*(YEAR('Renovation Budget'!$F$11)-YEAR(Assumptions!$F$11))+(MONTH('Renovation Budget'!$F$11)-MONTH(Assumptions!$F$11)))+'Renovation Budget'!$G$11-1)),-'Renovation Budget'!$C$11/'Renovation Budget'!$G$11,0)</f>
        <v/>
      </c>
      <c r="CZ81" s="228">
        <f>IF(AND(CZ$11&gt;=(12*(YEAR('Renovation Budget'!$F$11)-YEAR(Assumptions!$F$11))+(MONTH('Renovation Budget'!$F$11)-MONTH(Assumptions!$F$11))),CZ$11&lt;=((12*(YEAR('Renovation Budget'!$F$11)-YEAR(Assumptions!$F$11))+(MONTH('Renovation Budget'!$F$11)-MONTH(Assumptions!$F$11)))+'Renovation Budget'!$G$11-1)),-'Renovation Budget'!$C$11/'Renovation Budget'!$G$11,0)</f>
        <v/>
      </c>
      <c r="DA81" s="228">
        <f>IF(AND(DA$11&gt;=(12*(YEAR('Renovation Budget'!$F$11)-YEAR(Assumptions!$F$11))+(MONTH('Renovation Budget'!$F$11)-MONTH(Assumptions!$F$11))),DA$11&lt;=((12*(YEAR('Renovation Budget'!$F$11)-YEAR(Assumptions!$F$11))+(MONTH('Renovation Budget'!$F$11)-MONTH(Assumptions!$F$11)))+'Renovation Budget'!$G$11-1)),-'Renovation Budget'!$C$11/'Renovation Budget'!$G$11,0)</f>
        <v/>
      </c>
      <c r="DB81" s="228">
        <f>IF(AND(DB$11&gt;=(12*(YEAR('Renovation Budget'!$F$11)-YEAR(Assumptions!$F$11))+(MONTH('Renovation Budget'!$F$11)-MONTH(Assumptions!$F$11))),DB$11&lt;=((12*(YEAR('Renovation Budget'!$F$11)-YEAR(Assumptions!$F$11))+(MONTH('Renovation Budget'!$F$11)-MONTH(Assumptions!$F$11)))+'Renovation Budget'!$G$11-1)),-'Renovation Budget'!$C$11/'Renovation Budget'!$G$11,0)</f>
        <v/>
      </c>
      <c r="DC81" s="228">
        <f>IF(AND(DC$11&gt;=(12*(YEAR('Renovation Budget'!$F$11)-YEAR(Assumptions!$F$11))+(MONTH('Renovation Budget'!$F$11)-MONTH(Assumptions!$F$11))),DC$11&lt;=((12*(YEAR('Renovation Budget'!$F$11)-YEAR(Assumptions!$F$11))+(MONTH('Renovation Budget'!$F$11)-MONTH(Assumptions!$F$11)))+'Renovation Budget'!$G$11-1)),-'Renovation Budget'!$C$11/'Renovation Budget'!$G$11,0)</f>
        <v/>
      </c>
      <c r="DD81" s="228">
        <f>IF(AND(DD$11&gt;=(12*(YEAR('Renovation Budget'!$F$11)-YEAR(Assumptions!$F$11))+(MONTH('Renovation Budget'!$F$11)-MONTH(Assumptions!$F$11))),DD$11&lt;=((12*(YEAR('Renovation Budget'!$F$11)-YEAR(Assumptions!$F$11))+(MONTH('Renovation Budget'!$F$11)-MONTH(Assumptions!$F$11)))+'Renovation Budget'!$G$11-1)),-'Renovation Budget'!$C$11/'Renovation Budget'!$G$11,0)</f>
        <v/>
      </c>
      <c r="DE81" s="228">
        <f>IF(AND(DE$11&gt;=(12*(YEAR('Renovation Budget'!$F$11)-YEAR(Assumptions!$F$11))+(MONTH('Renovation Budget'!$F$11)-MONTH(Assumptions!$F$11))),DE$11&lt;=((12*(YEAR('Renovation Budget'!$F$11)-YEAR(Assumptions!$F$11))+(MONTH('Renovation Budget'!$F$11)-MONTH(Assumptions!$F$11)))+'Renovation Budget'!$G$11-1)),-'Renovation Budget'!$C$11/'Renovation Budget'!$G$11,0)</f>
        <v/>
      </c>
      <c r="DF81" s="228">
        <f>IF(AND(DF$11&gt;=(12*(YEAR('Renovation Budget'!$F$11)-YEAR(Assumptions!$F$11))+(MONTH('Renovation Budget'!$F$11)-MONTH(Assumptions!$F$11))),DF$11&lt;=((12*(YEAR('Renovation Budget'!$F$11)-YEAR(Assumptions!$F$11))+(MONTH('Renovation Budget'!$F$11)-MONTH(Assumptions!$F$11)))+'Renovation Budget'!$G$11-1)),-'Renovation Budget'!$C$11/'Renovation Budget'!$G$11,0)</f>
        <v/>
      </c>
      <c r="DG81" s="228">
        <f>IF(AND(DG$11&gt;=(12*(YEAR('Renovation Budget'!$F$11)-YEAR(Assumptions!$F$11))+(MONTH('Renovation Budget'!$F$11)-MONTH(Assumptions!$F$11))),DG$11&lt;=((12*(YEAR('Renovation Budget'!$F$11)-YEAR(Assumptions!$F$11))+(MONTH('Renovation Budget'!$F$11)-MONTH(Assumptions!$F$11)))+'Renovation Budget'!$G$11-1)),-'Renovation Budget'!$C$11/'Renovation Budget'!$G$11,0)</f>
        <v/>
      </c>
      <c r="DH81" s="228">
        <f>IF(AND(DH$11&gt;=(12*(YEAR('Renovation Budget'!$F$11)-YEAR(Assumptions!$F$11))+(MONTH('Renovation Budget'!$F$11)-MONTH(Assumptions!$F$11))),DH$11&lt;=((12*(YEAR('Renovation Budget'!$F$11)-YEAR(Assumptions!$F$11))+(MONTH('Renovation Budget'!$F$11)-MONTH(Assumptions!$F$11)))+'Renovation Budget'!$G$11-1)),-'Renovation Budget'!$C$11/'Renovation Budget'!$G$11,0)</f>
        <v/>
      </c>
      <c r="DI81" s="228">
        <f>IF(AND(DI$11&gt;=(12*(YEAR('Renovation Budget'!$F$11)-YEAR(Assumptions!$F$11))+(MONTH('Renovation Budget'!$F$11)-MONTH(Assumptions!$F$11))),DI$11&lt;=((12*(YEAR('Renovation Budget'!$F$11)-YEAR(Assumptions!$F$11))+(MONTH('Renovation Budget'!$F$11)-MONTH(Assumptions!$F$11)))+'Renovation Budget'!$G$11-1)),-'Renovation Budget'!$C$11/'Renovation Budget'!$G$11,0)</f>
        <v/>
      </c>
      <c r="DJ81" s="228">
        <f>IF(AND(DJ$11&gt;=(12*(YEAR('Renovation Budget'!$F$11)-YEAR(Assumptions!$F$11))+(MONTH('Renovation Budget'!$F$11)-MONTH(Assumptions!$F$11))),DJ$11&lt;=((12*(YEAR('Renovation Budget'!$F$11)-YEAR(Assumptions!$F$11))+(MONTH('Renovation Budget'!$F$11)-MONTH(Assumptions!$F$11)))+'Renovation Budget'!$G$11-1)),-'Renovation Budget'!$C$11/'Renovation Budget'!$G$11,0)</f>
        <v/>
      </c>
      <c r="DK81" s="228">
        <f>IF(AND(DK$11&gt;=(12*(YEAR('Renovation Budget'!$F$11)-YEAR(Assumptions!$F$11))+(MONTH('Renovation Budget'!$F$11)-MONTH(Assumptions!$F$11))),DK$11&lt;=((12*(YEAR('Renovation Budget'!$F$11)-YEAR(Assumptions!$F$11))+(MONTH('Renovation Budget'!$F$11)-MONTH(Assumptions!$F$11)))+'Renovation Budget'!$G$11-1)),-'Renovation Budget'!$C$11/'Renovation Budget'!$G$11,0)</f>
        <v/>
      </c>
      <c r="DL81" s="228">
        <f>IF(AND(DL$11&gt;=(12*(YEAR('Renovation Budget'!$F$11)-YEAR(Assumptions!$F$11))+(MONTH('Renovation Budget'!$F$11)-MONTH(Assumptions!$F$11))),DL$11&lt;=((12*(YEAR('Renovation Budget'!$F$11)-YEAR(Assumptions!$F$11))+(MONTH('Renovation Budget'!$F$11)-MONTH(Assumptions!$F$11)))+'Renovation Budget'!$G$11-1)),-'Renovation Budget'!$C$11/'Renovation Budget'!$G$11,0)</f>
        <v/>
      </c>
      <c r="DM81" s="228">
        <f>IF(AND(DM$11&gt;=(12*(YEAR('Renovation Budget'!$F$11)-YEAR(Assumptions!$F$11))+(MONTH('Renovation Budget'!$F$11)-MONTH(Assumptions!$F$11))),DM$11&lt;=((12*(YEAR('Renovation Budget'!$F$11)-YEAR(Assumptions!$F$11))+(MONTH('Renovation Budget'!$F$11)-MONTH(Assumptions!$F$11)))+'Renovation Budget'!$G$11-1)),-'Renovation Budget'!$C$11/'Renovation Budget'!$G$11,0)</f>
        <v/>
      </c>
      <c r="DN81" s="228">
        <f>IF(AND(DN$11&gt;=(12*(YEAR('Renovation Budget'!$F$11)-YEAR(Assumptions!$F$11))+(MONTH('Renovation Budget'!$F$11)-MONTH(Assumptions!$F$11))),DN$11&lt;=((12*(YEAR('Renovation Budget'!$F$11)-YEAR(Assumptions!$F$11))+(MONTH('Renovation Budget'!$F$11)-MONTH(Assumptions!$F$11)))+'Renovation Budget'!$G$11-1)),-'Renovation Budget'!$C$11/'Renovation Budget'!$G$11,0)</f>
        <v/>
      </c>
      <c r="DO81" s="228">
        <f>IF(AND(DO$11&gt;=(12*(YEAR('Renovation Budget'!$F$11)-YEAR(Assumptions!$F$11))+(MONTH('Renovation Budget'!$F$11)-MONTH(Assumptions!$F$11))),DO$11&lt;=((12*(YEAR('Renovation Budget'!$F$11)-YEAR(Assumptions!$F$11))+(MONTH('Renovation Budget'!$F$11)-MONTH(Assumptions!$F$11)))+'Renovation Budget'!$G$11-1)),-'Renovation Budget'!$C$11/'Renovation Budget'!$G$11,0)</f>
        <v/>
      </c>
      <c r="DP81" s="228">
        <f>IF(AND(DP$11&gt;=(12*(YEAR('Renovation Budget'!$F$11)-YEAR(Assumptions!$F$11))+(MONTH('Renovation Budget'!$F$11)-MONTH(Assumptions!$F$11))),DP$11&lt;=((12*(YEAR('Renovation Budget'!$F$11)-YEAR(Assumptions!$F$11))+(MONTH('Renovation Budget'!$F$11)-MONTH(Assumptions!$F$11)))+'Renovation Budget'!$G$11-1)),-'Renovation Budget'!$C$11/'Renovation Budget'!$G$11,0)</f>
        <v/>
      </c>
      <c r="DQ81" s="228">
        <f>IF(AND(DQ$11&gt;=(12*(YEAR('Renovation Budget'!$F$11)-YEAR(Assumptions!$F$11))+(MONTH('Renovation Budget'!$F$11)-MONTH(Assumptions!$F$11))),DQ$11&lt;=((12*(YEAR('Renovation Budget'!$F$11)-YEAR(Assumptions!$F$11))+(MONTH('Renovation Budget'!$F$11)-MONTH(Assumptions!$F$11)))+'Renovation Budget'!$G$11-1)),-'Renovation Budget'!$C$11/'Renovation Budget'!$G$11,0)</f>
        <v/>
      </c>
      <c r="DR81" s="228">
        <f>IF(AND(DR$11&gt;=(12*(YEAR('Renovation Budget'!$F$11)-YEAR(Assumptions!$F$11))+(MONTH('Renovation Budget'!$F$11)-MONTH(Assumptions!$F$11))),DR$11&lt;=((12*(YEAR('Renovation Budget'!$F$11)-YEAR(Assumptions!$F$11))+(MONTH('Renovation Budget'!$F$11)-MONTH(Assumptions!$F$11)))+'Renovation Budget'!$G$11-1)),-'Renovation Budget'!$C$11/'Renovation Budget'!$G$11,0)</f>
        <v/>
      </c>
      <c r="DS81" s="228">
        <f>IF(AND(DS$11&gt;=(12*(YEAR('Renovation Budget'!$F$11)-YEAR(Assumptions!$F$11))+(MONTH('Renovation Budget'!$F$11)-MONTH(Assumptions!$F$11))),DS$11&lt;=((12*(YEAR('Renovation Budget'!$F$11)-YEAR(Assumptions!$F$11))+(MONTH('Renovation Budget'!$F$11)-MONTH(Assumptions!$F$11)))+'Renovation Budget'!$G$11-1)),-'Renovation Budget'!$C$11/'Renovation Budget'!$G$11,0)</f>
        <v/>
      </c>
      <c r="DT81" s="228">
        <f>IF(AND(DT$11&gt;=(12*(YEAR('Renovation Budget'!$F$11)-YEAR(Assumptions!$F$11))+(MONTH('Renovation Budget'!$F$11)-MONTH(Assumptions!$F$11))),DT$11&lt;=((12*(YEAR('Renovation Budget'!$F$11)-YEAR(Assumptions!$F$11))+(MONTH('Renovation Budget'!$F$11)-MONTH(Assumptions!$F$11)))+'Renovation Budget'!$G$11-1)),-'Renovation Budget'!$C$11/'Renovation Budget'!$G$11,0)</f>
        <v/>
      </c>
    </row>
    <row r="82" ht="15" customHeight="1" s="148">
      <c r="A82" s="112" t="inlineStr">
        <is>
          <t>Landscape (Amenity + Penthouse)</t>
        </is>
      </c>
      <c r="C82" s="228">
        <f>SUM(D82:DT82)</f>
        <v/>
      </c>
      <c r="D82" s="228">
        <f>IF(AND(D$11&gt;=(12*(YEAR('Renovation Budget'!$F$12)-YEAR(Assumptions!$F$11))+(MONTH('Renovation Budget'!$F$12)-MONTH(Assumptions!$F$11))),D$11&lt;=((12*(YEAR('Renovation Budget'!$F$12)-YEAR(Assumptions!$F$11))+(MONTH('Renovation Budget'!$F$12)-MONTH(Assumptions!$F$11)))+'Renovation Budget'!$G$12-1)),-'Renovation Budget'!$C$12/'Renovation Budget'!$G$12,0)</f>
        <v/>
      </c>
      <c r="E82" s="228">
        <f>IF(AND(E$11&gt;=(12*(YEAR('Renovation Budget'!$F$12)-YEAR(Assumptions!$F$11))+(MONTH('Renovation Budget'!$F$12)-MONTH(Assumptions!$F$11))),E$11&lt;=((12*(YEAR('Renovation Budget'!$F$12)-YEAR(Assumptions!$F$11))+(MONTH('Renovation Budget'!$F$12)-MONTH(Assumptions!$F$11)))+'Renovation Budget'!$G$12-1)),-'Renovation Budget'!$C$12/'Renovation Budget'!$G$12,0)</f>
        <v/>
      </c>
      <c r="F82" s="228">
        <f>IF(AND(F$11&gt;=(12*(YEAR('Renovation Budget'!$F$12)-YEAR(Assumptions!$F$11))+(MONTH('Renovation Budget'!$F$12)-MONTH(Assumptions!$F$11))),F$11&lt;=((12*(YEAR('Renovation Budget'!$F$12)-YEAR(Assumptions!$F$11))+(MONTH('Renovation Budget'!$F$12)-MONTH(Assumptions!$F$11)))+'Renovation Budget'!$G$12-1)),-'Renovation Budget'!$C$12/'Renovation Budget'!$G$12,0)</f>
        <v/>
      </c>
      <c r="G82" s="228">
        <f>IF(AND(G$11&gt;=(12*(YEAR('Renovation Budget'!$F$12)-YEAR(Assumptions!$F$11))+(MONTH('Renovation Budget'!$F$12)-MONTH(Assumptions!$F$11))),G$11&lt;=((12*(YEAR('Renovation Budget'!$F$12)-YEAR(Assumptions!$F$11))+(MONTH('Renovation Budget'!$F$12)-MONTH(Assumptions!$F$11)))+'Renovation Budget'!$G$12-1)),-'Renovation Budget'!$C$12/'Renovation Budget'!$G$12,0)</f>
        <v/>
      </c>
      <c r="H82" s="228">
        <f>IF(AND(H$11&gt;=(12*(YEAR('Renovation Budget'!$F$12)-YEAR(Assumptions!$F$11))+(MONTH('Renovation Budget'!$F$12)-MONTH(Assumptions!$F$11))),H$11&lt;=((12*(YEAR('Renovation Budget'!$F$12)-YEAR(Assumptions!$F$11))+(MONTH('Renovation Budget'!$F$12)-MONTH(Assumptions!$F$11)))+'Renovation Budget'!$G$12-1)),-'Renovation Budget'!$C$12/'Renovation Budget'!$G$12,0)</f>
        <v/>
      </c>
      <c r="I82" s="228">
        <f>IF(AND(I$11&gt;=(12*(YEAR('Renovation Budget'!$F$12)-YEAR(Assumptions!$F$11))+(MONTH('Renovation Budget'!$F$12)-MONTH(Assumptions!$F$11))),I$11&lt;=((12*(YEAR('Renovation Budget'!$F$12)-YEAR(Assumptions!$F$11))+(MONTH('Renovation Budget'!$F$12)-MONTH(Assumptions!$F$11)))+'Renovation Budget'!$G$12-1)),-'Renovation Budget'!$C$12/'Renovation Budget'!$G$12,0)</f>
        <v/>
      </c>
      <c r="J82" s="228">
        <f>IF(AND(J$11&gt;=(12*(YEAR('Renovation Budget'!$F$12)-YEAR(Assumptions!$F$11))+(MONTH('Renovation Budget'!$F$12)-MONTH(Assumptions!$F$11))),J$11&lt;=((12*(YEAR('Renovation Budget'!$F$12)-YEAR(Assumptions!$F$11))+(MONTH('Renovation Budget'!$F$12)-MONTH(Assumptions!$F$11)))+'Renovation Budget'!$G$12-1)),-'Renovation Budget'!$C$12/'Renovation Budget'!$G$12,0)</f>
        <v/>
      </c>
      <c r="K82" s="228">
        <f>IF(AND(K$11&gt;=(12*(YEAR('Renovation Budget'!$F$12)-YEAR(Assumptions!$F$11))+(MONTH('Renovation Budget'!$F$12)-MONTH(Assumptions!$F$11))),K$11&lt;=((12*(YEAR('Renovation Budget'!$F$12)-YEAR(Assumptions!$F$11))+(MONTH('Renovation Budget'!$F$12)-MONTH(Assumptions!$F$11)))+'Renovation Budget'!$G$12-1)),-'Renovation Budget'!$C$12/'Renovation Budget'!$G$12,0)</f>
        <v/>
      </c>
      <c r="L82" s="228">
        <f>IF(AND(L$11&gt;=(12*(YEAR('Renovation Budget'!$F$12)-YEAR(Assumptions!$F$11))+(MONTH('Renovation Budget'!$F$12)-MONTH(Assumptions!$F$11))),L$11&lt;=((12*(YEAR('Renovation Budget'!$F$12)-YEAR(Assumptions!$F$11))+(MONTH('Renovation Budget'!$F$12)-MONTH(Assumptions!$F$11)))+'Renovation Budget'!$G$12-1)),-'Renovation Budget'!$C$12/'Renovation Budget'!$G$12,0)</f>
        <v/>
      </c>
      <c r="M82" s="228">
        <f>IF(AND(M$11&gt;=(12*(YEAR('Renovation Budget'!$F$12)-YEAR(Assumptions!$F$11))+(MONTH('Renovation Budget'!$F$12)-MONTH(Assumptions!$F$11))),M$11&lt;=((12*(YEAR('Renovation Budget'!$F$12)-YEAR(Assumptions!$F$11))+(MONTH('Renovation Budget'!$F$12)-MONTH(Assumptions!$F$11)))+'Renovation Budget'!$G$12-1)),-'Renovation Budget'!$C$12/'Renovation Budget'!$G$12,0)</f>
        <v/>
      </c>
      <c r="N82" s="228">
        <f>IF(AND(N$11&gt;=(12*(YEAR('Renovation Budget'!$F$12)-YEAR(Assumptions!$F$11))+(MONTH('Renovation Budget'!$F$12)-MONTH(Assumptions!$F$11))),N$11&lt;=((12*(YEAR('Renovation Budget'!$F$12)-YEAR(Assumptions!$F$11))+(MONTH('Renovation Budget'!$F$12)-MONTH(Assumptions!$F$11)))+'Renovation Budget'!$G$12-1)),-'Renovation Budget'!$C$12/'Renovation Budget'!$G$12,0)</f>
        <v/>
      </c>
      <c r="O82" s="228">
        <f>IF(AND(O$11&gt;=(12*(YEAR('Renovation Budget'!$F$12)-YEAR(Assumptions!$F$11))+(MONTH('Renovation Budget'!$F$12)-MONTH(Assumptions!$F$11))),O$11&lt;=((12*(YEAR('Renovation Budget'!$F$12)-YEAR(Assumptions!$F$11))+(MONTH('Renovation Budget'!$F$12)-MONTH(Assumptions!$F$11)))+'Renovation Budget'!$G$12-1)),-'Renovation Budget'!$C$12/'Renovation Budget'!$G$12,0)</f>
        <v/>
      </c>
      <c r="P82" s="228">
        <f>IF(AND(P$11&gt;=(12*(YEAR('Renovation Budget'!$F$12)-YEAR(Assumptions!$F$11))+(MONTH('Renovation Budget'!$F$12)-MONTH(Assumptions!$F$11))),P$11&lt;=((12*(YEAR('Renovation Budget'!$F$12)-YEAR(Assumptions!$F$11))+(MONTH('Renovation Budget'!$F$12)-MONTH(Assumptions!$F$11)))+'Renovation Budget'!$G$12-1)),-'Renovation Budget'!$C$12/'Renovation Budget'!$G$12,0)</f>
        <v/>
      </c>
      <c r="Q82" s="228">
        <f>IF(AND(Q$11&gt;=(12*(YEAR('Renovation Budget'!$F$12)-YEAR(Assumptions!$F$11))+(MONTH('Renovation Budget'!$F$12)-MONTH(Assumptions!$F$11))),Q$11&lt;=((12*(YEAR('Renovation Budget'!$F$12)-YEAR(Assumptions!$F$11))+(MONTH('Renovation Budget'!$F$12)-MONTH(Assumptions!$F$11)))+'Renovation Budget'!$G$12-1)),-'Renovation Budget'!$C$12/'Renovation Budget'!$G$12,0)</f>
        <v/>
      </c>
      <c r="R82" s="228">
        <f>IF(AND(R$11&gt;=(12*(YEAR('Renovation Budget'!$F$12)-YEAR(Assumptions!$F$11))+(MONTH('Renovation Budget'!$F$12)-MONTH(Assumptions!$F$11))),R$11&lt;=((12*(YEAR('Renovation Budget'!$F$12)-YEAR(Assumptions!$F$11))+(MONTH('Renovation Budget'!$F$12)-MONTH(Assumptions!$F$11)))+'Renovation Budget'!$G$12-1)),-'Renovation Budget'!$C$12/'Renovation Budget'!$G$12,0)</f>
        <v/>
      </c>
      <c r="S82" s="228">
        <f>IF(AND(S$11&gt;=(12*(YEAR('Renovation Budget'!$F$12)-YEAR(Assumptions!$F$11))+(MONTH('Renovation Budget'!$F$12)-MONTH(Assumptions!$F$11))),S$11&lt;=((12*(YEAR('Renovation Budget'!$F$12)-YEAR(Assumptions!$F$11))+(MONTH('Renovation Budget'!$F$12)-MONTH(Assumptions!$F$11)))+'Renovation Budget'!$G$12-1)),-'Renovation Budget'!$C$12/'Renovation Budget'!$G$12,0)</f>
        <v/>
      </c>
      <c r="T82" s="228">
        <f>IF(AND(T$11&gt;=(12*(YEAR('Renovation Budget'!$F$12)-YEAR(Assumptions!$F$11))+(MONTH('Renovation Budget'!$F$12)-MONTH(Assumptions!$F$11))),T$11&lt;=((12*(YEAR('Renovation Budget'!$F$12)-YEAR(Assumptions!$F$11))+(MONTH('Renovation Budget'!$F$12)-MONTH(Assumptions!$F$11)))+'Renovation Budget'!$G$12-1)),-'Renovation Budget'!$C$12/'Renovation Budget'!$G$12,0)</f>
        <v/>
      </c>
      <c r="U82" s="228">
        <f>IF(AND(U$11&gt;=(12*(YEAR('Renovation Budget'!$F$12)-YEAR(Assumptions!$F$11))+(MONTH('Renovation Budget'!$F$12)-MONTH(Assumptions!$F$11))),U$11&lt;=((12*(YEAR('Renovation Budget'!$F$12)-YEAR(Assumptions!$F$11))+(MONTH('Renovation Budget'!$F$12)-MONTH(Assumptions!$F$11)))+'Renovation Budget'!$G$12-1)),-'Renovation Budget'!$C$12/'Renovation Budget'!$G$12,0)</f>
        <v/>
      </c>
      <c r="V82" s="228">
        <f>IF(AND(V$11&gt;=(12*(YEAR('Renovation Budget'!$F$12)-YEAR(Assumptions!$F$11))+(MONTH('Renovation Budget'!$F$12)-MONTH(Assumptions!$F$11))),V$11&lt;=((12*(YEAR('Renovation Budget'!$F$12)-YEAR(Assumptions!$F$11))+(MONTH('Renovation Budget'!$F$12)-MONTH(Assumptions!$F$11)))+'Renovation Budget'!$G$12-1)),-'Renovation Budget'!$C$12/'Renovation Budget'!$G$12,0)</f>
        <v/>
      </c>
      <c r="W82" s="228">
        <f>IF(AND(W$11&gt;=(12*(YEAR('Renovation Budget'!$F$12)-YEAR(Assumptions!$F$11))+(MONTH('Renovation Budget'!$F$12)-MONTH(Assumptions!$F$11))),W$11&lt;=((12*(YEAR('Renovation Budget'!$F$12)-YEAR(Assumptions!$F$11))+(MONTH('Renovation Budget'!$F$12)-MONTH(Assumptions!$F$11)))+'Renovation Budget'!$G$12-1)),-'Renovation Budget'!$C$12/'Renovation Budget'!$G$12,0)</f>
        <v/>
      </c>
      <c r="X82" s="228">
        <f>IF(AND(X$11&gt;=(12*(YEAR('Renovation Budget'!$F$12)-YEAR(Assumptions!$F$11))+(MONTH('Renovation Budget'!$F$12)-MONTH(Assumptions!$F$11))),X$11&lt;=((12*(YEAR('Renovation Budget'!$F$12)-YEAR(Assumptions!$F$11))+(MONTH('Renovation Budget'!$F$12)-MONTH(Assumptions!$F$11)))+'Renovation Budget'!$G$12-1)),-'Renovation Budget'!$C$12/'Renovation Budget'!$G$12,0)</f>
        <v/>
      </c>
      <c r="Y82" s="228">
        <f>IF(AND(Y$11&gt;=(12*(YEAR('Renovation Budget'!$F$12)-YEAR(Assumptions!$F$11))+(MONTH('Renovation Budget'!$F$12)-MONTH(Assumptions!$F$11))),Y$11&lt;=((12*(YEAR('Renovation Budget'!$F$12)-YEAR(Assumptions!$F$11))+(MONTH('Renovation Budget'!$F$12)-MONTH(Assumptions!$F$11)))+'Renovation Budget'!$G$12-1)),-'Renovation Budget'!$C$12/'Renovation Budget'!$G$12,0)</f>
        <v/>
      </c>
      <c r="Z82" s="228">
        <f>IF(AND(Z$11&gt;=(12*(YEAR('Renovation Budget'!$F$12)-YEAR(Assumptions!$F$11))+(MONTH('Renovation Budget'!$F$12)-MONTH(Assumptions!$F$11))),Z$11&lt;=((12*(YEAR('Renovation Budget'!$F$12)-YEAR(Assumptions!$F$11))+(MONTH('Renovation Budget'!$F$12)-MONTH(Assumptions!$F$11)))+'Renovation Budget'!$G$12-1)),-'Renovation Budget'!$C$12/'Renovation Budget'!$G$12,0)</f>
        <v/>
      </c>
      <c r="AA82" s="228">
        <f>IF(AND(AA$11&gt;=(12*(YEAR('Renovation Budget'!$F$12)-YEAR(Assumptions!$F$11))+(MONTH('Renovation Budget'!$F$12)-MONTH(Assumptions!$F$11))),AA$11&lt;=((12*(YEAR('Renovation Budget'!$F$12)-YEAR(Assumptions!$F$11))+(MONTH('Renovation Budget'!$F$12)-MONTH(Assumptions!$F$11)))+'Renovation Budget'!$G$12-1)),-'Renovation Budget'!$C$12/'Renovation Budget'!$G$12,0)</f>
        <v/>
      </c>
      <c r="AB82" s="228">
        <f>IF(AND(AB$11&gt;=(12*(YEAR('Renovation Budget'!$F$12)-YEAR(Assumptions!$F$11))+(MONTH('Renovation Budget'!$F$12)-MONTH(Assumptions!$F$11))),AB$11&lt;=((12*(YEAR('Renovation Budget'!$F$12)-YEAR(Assumptions!$F$11))+(MONTH('Renovation Budget'!$F$12)-MONTH(Assumptions!$F$11)))+'Renovation Budget'!$G$12-1)),-'Renovation Budget'!$C$12/'Renovation Budget'!$G$12,0)</f>
        <v/>
      </c>
      <c r="AC82" s="228">
        <f>IF(AND(AC$11&gt;=(12*(YEAR('Renovation Budget'!$F$12)-YEAR(Assumptions!$F$11))+(MONTH('Renovation Budget'!$F$12)-MONTH(Assumptions!$F$11))),AC$11&lt;=((12*(YEAR('Renovation Budget'!$F$12)-YEAR(Assumptions!$F$11))+(MONTH('Renovation Budget'!$F$12)-MONTH(Assumptions!$F$11)))+'Renovation Budget'!$G$12-1)),-'Renovation Budget'!$C$12/'Renovation Budget'!$G$12,0)</f>
        <v/>
      </c>
      <c r="AD82" s="228">
        <f>IF(AND(AD$11&gt;=(12*(YEAR('Renovation Budget'!$F$12)-YEAR(Assumptions!$F$11))+(MONTH('Renovation Budget'!$F$12)-MONTH(Assumptions!$F$11))),AD$11&lt;=((12*(YEAR('Renovation Budget'!$F$12)-YEAR(Assumptions!$F$11))+(MONTH('Renovation Budget'!$F$12)-MONTH(Assumptions!$F$11)))+'Renovation Budget'!$G$12-1)),-'Renovation Budget'!$C$12/'Renovation Budget'!$G$12,0)</f>
        <v/>
      </c>
      <c r="AE82" s="228">
        <f>IF(AND(AE$11&gt;=(12*(YEAR('Renovation Budget'!$F$12)-YEAR(Assumptions!$F$11))+(MONTH('Renovation Budget'!$F$12)-MONTH(Assumptions!$F$11))),AE$11&lt;=((12*(YEAR('Renovation Budget'!$F$12)-YEAR(Assumptions!$F$11))+(MONTH('Renovation Budget'!$F$12)-MONTH(Assumptions!$F$11)))+'Renovation Budget'!$G$12-1)),-'Renovation Budget'!$C$12/'Renovation Budget'!$G$12,0)</f>
        <v/>
      </c>
      <c r="AF82" s="228">
        <f>IF(AND(AF$11&gt;=(12*(YEAR('Renovation Budget'!$F$12)-YEAR(Assumptions!$F$11))+(MONTH('Renovation Budget'!$F$12)-MONTH(Assumptions!$F$11))),AF$11&lt;=((12*(YEAR('Renovation Budget'!$F$12)-YEAR(Assumptions!$F$11))+(MONTH('Renovation Budget'!$F$12)-MONTH(Assumptions!$F$11)))+'Renovation Budget'!$G$12-1)),-'Renovation Budget'!$C$12/'Renovation Budget'!$G$12,0)</f>
        <v/>
      </c>
      <c r="AG82" s="228">
        <f>IF(AND(AG$11&gt;=(12*(YEAR('Renovation Budget'!$F$12)-YEAR(Assumptions!$F$11))+(MONTH('Renovation Budget'!$F$12)-MONTH(Assumptions!$F$11))),AG$11&lt;=((12*(YEAR('Renovation Budget'!$F$12)-YEAR(Assumptions!$F$11))+(MONTH('Renovation Budget'!$F$12)-MONTH(Assumptions!$F$11)))+'Renovation Budget'!$G$12-1)),-'Renovation Budget'!$C$12/'Renovation Budget'!$G$12,0)</f>
        <v/>
      </c>
      <c r="AH82" s="228">
        <f>IF(AND(AH$11&gt;=(12*(YEAR('Renovation Budget'!$F$12)-YEAR(Assumptions!$F$11))+(MONTH('Renovation Budget'!$F$12)-MONTH(Assumptions!$F$11))),AH$11&lt;=((12*(YEAR('Renovation Budget'!$F$12)-YEAR(Assumptions!$F$11))+(MONTH('Renovation Budget'!$F$12)-MONTH(Assumptions!$F$11)))+'Renovation Budget'!$G$12-1)),-'Renovation Budget'!$C$12/'Renovation Budget'!$G$12,0)</f>
        <v/>
      </c>
      <c r="AI82" s="228">
        <f>IF(AND(AI$11&gt;=(12*(YEAR('Renovation Budget'!$F$12)-YEAR(Assumptions!$F$11))+(MONTH('Renovation Budget'!$F$12)-MONTH(Assumptions!$F$11))),AI$11&lt;=((12*(YEAR('Renovation Budget'!$F$12)-YEAR(Assumptions!$F$11))+(MONTH('Renovation Budget'!$F$12)-MONTH(Assumptions!$F$11)))+'Renovation Budget'!$G$12-1)),-'Renovation Budget'!$C$12/'Renovation Budget'!$G$12,0)</f>
        <v/>
      </c>
      <c r="AJ82" s="228">
        <f>IF(AND(AJ$11&gt;=(12*(YEAR('Renovation Budget'!$F$12)-YEAR(Assumptions!$F$11))+(MONTH('Renovation Budget'!$F$12)-MONTH(Assumptions!$F$11))),AJ$11&lt;=((12*(YEAR('Renovation Budget'!$F$12)-YEAR(Assumptions!$F$11))+(MONTH('Renovation Budget'!$F$12)-MONTH(Assumptions!$F$11)))+'Renovation Budget'!$G$12-1)),-'Renovation Budget'!$C$12/'Renovation Budget'!$G$12,0)</f>
        <v/>
      </c>
      <c r="AK82" s="228">
        <f>IF(AND(AK$11&gt;=(12*(YEAR('Renovation Budget'!$F$12)-YEAR(Assumptions!$F$11))+(MONTH('Renovation Budget'!$F$12)-MONTH(Assumptions!$F$11))),AK$11&lt;=((12*(YEAR('Renovation Budget'!$F$12)-YEAR(Assumptions!$F$11))+(MONTH('Renovation Budget'!$F$12)-MONTH(Assumptions!$F$11)))+'Renovation Budget'!$G$12-1)),-'Renovation Budget'!$C$12/'Renovation Budget'!$G$12,0)</f>
        <v/>
      </c>
      <c r="AL82" s="228">
        <f>IF(AND(AL$11&gt;=(12*(YEAR('Renovation Budget'!$F$12)-YEAR(Assumptions!$F$11))+(MONTH('Renovation Budget'!$F$12)-MONTH(Assumptions!$F$11))),AL$11&lt;=((12*(YEAR('Renovation Budget'!$F$12)-YEAR(Assumptions!$F$11))+(MONTH('Renovation Budget'!$F$12)-MONTH(Assumptions!$F$11)))+'Renovation Budget'!$G$12-1)),-'Renovation Budget'!$C$12/'Renovation Budget'!$G$12,0)</f>
        <v/>
      </c>
      <c r="AM82" s="228">
        <f>IF(AND(AM$11&gt;=(12*(YEAR('Renovation Budget'!$F$12)-YEAR(Assumptions!$F$11))+(MONTH('Renovation Budget'!$F$12)-MONTH(Assumptions!$F$11))),AM$11&lt;=((12*(YEAR('Renovation Budget'!$F$12)-YEAR(Assumptions!$F$11))+(MONTH('Renovation Budget'!$F$12)-MONTH(Assumptions!$F$11)))+'Renovation Budget'!$G$12-1)),-'Renovation Budget'!$C$12/'Renovation Budget'!$G$12,0)</f>
        <v/>
      </c>
      <c r="AN82" s="228">
        <f>IF(AND(AN$11&gt;=(12*(YEAR('Renovation Budget'!$F$12)-YEAR(Assumptions!$F$11))+(MONTH('Renovation Budget'!$F$12)-MONTH(Assumptions!$F$11))),AN$11&lt;=((12*(YEAR('Renovation Budget'!$F$12)-YEAR(Assumptions!$F$11))+(MONTH('Renovation Budget'!$F$12)-MONTH(Assumptions!$F$11)))+'Renovation Budget'!$G$12-1)),-'Renovation Budget'!$C$12/'Renovation Budget'!$G$12,0)</f>
        <v/>
      </c>
      <c r="AO82" s="228">
        <f>IF(AND(AO$11&gt;=(12*(YEAR('Renovation Budget'!$F$12)-YEAR(Assumptions!$F$11))+(MONTH('Renovation Budget'!$F$12)-MONTH(Assumptions!$F$11))),AO$11&lt;=((12*(YEAR('Renovation Budget'!$F$12)-YEAR(Assumptions!$F$11))+(MONTH('Renovation Budget'!$F$12)-MONTH(Assumptions!$F$11)))+'Renovation Budget'!$G$12-1)),-'Renovation Budget'!$C$12/'Renovation Budget'!$G$12,0)</f>
        <v/>
      </c>
      <c r="AP82" s="228">
        <f>IF(AND(AP$11&gt;=(12*(YEAR('Renovation Budget'!$F$12)-YEAR(Assumptions!$F$11))+(MONTH('Renovation Budget'!$F$12)-MONTH(Assumptions!$F$11))),AP$11&lt;=((12*(YEAR('Renovation Budget'!$F$12)-YEAR(Assumptions!$F$11))+(MONTH('Renovation Budget'!$F$12)-MONTH(Assumptions!$F$11)))+'Renovation Budget'!$G$12-1)),-'Renovation Budget'!$C$12/'Renovation Budget'!$G$12,0)</f>
        <v/>
      </c>
      <c r="AQ82" s="228">
        <f>IF(AND(AQ$11&gt;=(12*(YEAR('Renovation Budget'!$F$12)-YEAR(Assumptions!$F$11))+(MONTH('Renovation Budget'!$F$12)-MONTH(Assumptions!$F$11))),AQ$11&lt;=((12*(YEAR('Renovation Budget'!$F$12)-YEAR(Assumptions!$F$11))+(MONTH('Renovation Budget'!$F$12)-MONTH(Assumptions!$F$11)))+'Renovation Budget'!$G$12-1)),-'Renovation Budget'!$C$12/'Renovation Budget'!$G$12,0)</f>
        <v/>
      </c>
      <c r="AR82" s="228">
        <f>IF(AND(AR$11&gt;=(12*(YEAR('Renovation Budget'!$F$12)-YEAR(Assumptions!$F$11))+(MONTH('Renovation Budget'!$F$12)-MONTH(Assumptions!$F$11))),AR$11&lt;=((12*(YEAR('Renovation Budget'!$F$12)-YEAR(Assumptions!$F$11))+(MONTH('Renovation Budget'!$F$12)-MONTH(Assumptions!$F$11)))+'Renovation Budget'!$G$12-1)),-'Renovation Budget'!$C$12/'Renovation Budget'!$G$12,0)</f>
        <v/>
      </c>
      <c r="AS82" s="228">
        <f>IF(AND(AS$11&gt;=(12*(YEAR('Renovation Budget'!$F$12)-YEAR(Assumptions!$F$11))+(MONTH('Renovation Budget'!$F$12)-MONTH(Assumptions!$F$11))),AS$11&lt;=((12*(YEAR('Renovation Budget'!$F$12)-YEAR(Assumptions!$F$11))+(MONTH('Renovation Budget'!$F$12)-MONTH(Assumptions!$F$11)))+'Renovation Budget'!$G$12-1)),-'Renovation Budget'!$C$12/'Renovation Budget'!$G$12,0)</f>
        <v/>
      </c>
      <c r="AT82" s="228">
        <f>IF(AND(AT$11&gt;=(12*(YEAR('Renovation Budget'!$F$12)-YEAR(Assumptions!$F$11))+(MONTH('Renovation Budget'!$F$12)-MONTH(Assumptions!$F$11))),AT$11&lt;=((12*(YEAR('Renovation Budget'!$F$12)-YEAR(Assumptions!$F$11))+(MONTH('Renovation Budget'!$F$12)-MONTH(Assumptions!$F$11)))+'Renovation Budget'!$G$12-1)),-'Renovation Budget'!$C$12/'Renovation Budget'!$G$12,0)</f>
        <v/>
      </c>
      <c r="AU82" s="228">
        <f>IF(AND(AU$11&gt;=(12*(YEAR('Renovation Budget'!$F$12)-YEAR(Assumptions!$F$11))+(MONTH('Renovation Budget'!$F$12)-MONTH(Assumptions!$F$11))),AU$11&lt;=((12*(YEAR('Renovation Budget'!$F$12)-YEAR(Assumptions!$F$11))+(MONTH('Renovation Budget'!$F$12)-MONTH(Assumptions!$F$11)))+'Renovation Budget'!$G$12-1)),-'Renovation Budget'!$C$12/'Renovation Budget'!$G$12,0)</f>
        <v/>
      </c>
      <c r="AV82" s="228">
        <f>IF(AND(AV$11&gt;=(12*(YEAR('Renovation Budget'!$F$12)-YEAR(Assumptions!$F$11))+(MONTH('Renovation Budget'!$F$12)-MONTH(Assumptions!$F$11))),AV$11&lt;=((12*(YEAR('Renovation Budget'!$F$12)-YEAR(Assumptions!$F$11))+(MONTH('Renovation Budget'!$F$12)-MONTH(Assumptions!$F$11)))+'Renovation Budget'!$G$12-1)),-'Renovation Budget'!$C$12/'Renovation Budget'!$G$12,0)</f>
        <v/>
      </c>
      <c r="AW82" s="228">
        <f>IF(AND(AW$11&gt;=(12*(YEAR('Renovation Budget'!$F$12)-YEAR(Assumptions!$F$11))+(MONTH('Renovation Budget'!$F$12)-MONTH(Assumptions!$F$11))),AW$11&lt;=((12*(YEAR('Renovation Budget'!$F$12)-YEAR(Assumptions!$F$11))+(MONTH('Renovation Budget'!$F$12)-MONTH(Assumptions!$F$11)))+'Renovation Budget'!$G$12-1)),-'Renovation Budget'!$C$12/'Renovation Budget'!$G$12,0)</f>
        <v/>
      </c>
      <c r="AX82" s="228">
        <f>IF(AND(AX$11&gt;=(12*(YEAR('Renovation Budget'!$F$12)-YEAR(Assumptions!$F$11))+(MONTH('Renovation Budget'!$F$12)-MONTH(Assumptions!$F$11))),AX$11&lt;=((12*(YEAR('Renovation Budget'!$F$12)-YEAR(Assumptions!$F$11))+(MONTH('Renovation Budget'!$F$12)-MONTH(Assumptions!$F$11)))+'Renovation Budget'!$G$12-1)),-'Renovation Budget'!$C$12/'Renovation Budget'!$G$12,0)</f>
        <v/>
      </c>
      <c r="AY82" s="228">
        <f>IF(AND(AY$11&gt;=(12*(YEAR('Renovation Budget'!$F$12)-YEAR(Assumptions!$F$11))+(MONTH('Renovation Budget'!$F$12)-MONTH(Assumptions!$F$11))),AY$11&lt;=((12*(YEAR('Renovation Budget'!$F$12)-YEAR(Assumptions!$F$11))+(MONTH('Renovation Budget'!$F$12)-MONTH(Assumptions!$F$11)))+'Renovation Budget'!$G$12-1)),-'Renovation Budget'!$C$12/'Renovation Budget'!$G$12,0)</f>
        <v/>
      </c>
      <c r="AZ82" s="228">
        <f>IF(AND(AZ$11&gt;=(12*(YEAR('Renovation Budget'!$F$12)-YEAR(Assumptions!$F$11))+(MONTH('Renovation Budget'!$F$12)-MONTH(Assumptions!$F$11))),AZ$11&lt;=((12*(YEAR('Renovation Budget'!$F$12)-YEAR(Assumptions!$F$11))+(MONTH('Renovation Budget'!$F$12)-MONTH(Assumptions!$F$11)))+'Renovation Budget'!$G$12-1)),-'Renovation Budget'!$C$12/'Renovation Budget'!$G$12,0)</f>
        <v/>
      </c>
      <c r="BA82" s="228">
        <f>IF(AND(BA$11&gt;=(12*(YEAR('Renovation Budget'!$F$12)-YEAR(Assumptions!$F$11))+(MONTH('Renovation Budget'!$F$12)-MONTH(Assumptions!$F$11))),BA$11&lt;=((12*(YEAR('Renovation Budget'!$F$12)-YEAR(Assumptions!$F$11))+(MONTH('Renovation Budget'!$F$12)-MONTH(Assumptions!$F$11)))+'Renovation Budget'!$G$12-1)),-'Renovation Budget'!$C$12/'Renovation Budget'!$G$12,0)</f>
        <v/>
      </c>
      <c r="BB82" s="228">
        <f>IF(AND(BB$11&gt;=(12*(YEAR('Renovation Budget'!$F$12)-YEAR(Assumptions!$F$11))+(MONTH('Renovation Budget'!$F$12)-MONTH(Assumptions!$F$11))),BB$11&lt;=((12*(YEAR('Renovation Budget'!$F$12)-YEAR(Assumptions!$F$11))+(MONTH('Renovation Budget'!$F$12)-MONTH(Assumptions!$F$11)))+'Renovation Budget'!$G$12-1)),-'Renovation Budget'!$C$12/'Renovation Budget'!$G$12,0)</f>
        <v/>
      </c>
      <c r="BC82" s="228">
        <f>IF(AND(BC$11&gt;=(12*(YEAR('Renovation Budget'!$F$12)-YEAR(Assumptions!$F$11))+(MONTH('Renovation Budget'!$F$12)-MONTH(Assumptions!$F$11))),BC$11&lt;=((12*(YEAR('Renovation Budget'!$F$12)-YEAR(Assumptions!$F$11))+(MONTH('Renovation Budget'!$F$12)-MONTH(Assumptions!$F$11)))+'Renovation Budget'!$G$12-1)),-'Renovation Budget'!$C$12/'Renovation Budget'!$G$12,0)</f>
        <v/>
      </c>
      <c r="BD82" s="228">
        <f>IF(AND(BD$11&gt;=(12*(YEAR('Renovation Budget'!$F$12)-YEAR(Assumptions!$F$11))+(MONTH('Renovation Budget'!$F$12)-MONTH(Assumptions!$F$11))),BD$11&lt;=((12*(YEAR('Renovation Budget'!$F$12)-YEAR(Assumptions!$F$11))+(MONTH('Renovation Budget'!$F$12)-MONTH(Assumptions!$F$11)))+'Renovation Budget'!$G$12-1)),-'Renovation Budget'!$C$12/'Renovation Budget'!$G$12,0)</f>
        <v/>
      </c>
      <c r="BE82" s="228">
        <f>IF(AND(BE$11&gt;=(12*(YEAR('Renovation Budget'!$F$12)-YEAR(Assumptions!$F$11))+(MONTH('Renovation Budget'!$F$12)-MONTH(Assumptions!$F$11))),BE$11&lt;=((12*(YEAR('Renovation Budget'!$F$12)-YEAR(Assumptions!$F$11))+(MONTH('Renovation Budget'!$F$12)-MONTH(Assumptions!$F$11)))+'Renovation Budget'!$G$12-1)),-'Renovation Budget'!$C$12/'Renovation Budget'!$G$12,0)</f>
        <v/>
      </c>
      <c r="BF82" s="228">
        <f>IF(AND(BF$11&gt;=(12*(YEAR('Renovation Budget'!$F$12)-YEAR(Assumptions!$F$11))+(MONTH('Renovation Budget'!$F$12)-MONTH(Assumptions!$F$11))),BF$11&lt;=((12*(YEAR('Renovation Budget'!$F$12)-YEAR(Assumptions!$F$11))+(MONTH('Renovation Budget'!$F$12)-MONTH(Assumptions!$F$11)))+'Renovation Budget'!$G$12-1)),-'Renovation Budget'!$C$12/'Renovation Budget'!$G$12,0)</f>
        <v/>
      </c>
      <c r="BG82" s="228">
        <f>IF(AND(BG$11&gt;=(12*(YEAR('Renovation Budget'!$F$12)-YEAR(Assumptions!$F$11))+(MONTH('Renovation Budget'!$F$12)-MONTH(Assumptions!$F$11))),BG$11&lt;=((12*(YEAR('Renovation Budget'!$F$12)-YEAR(Assumptions!$F$11))+(MONTH('Renovation Budget'!$F$12)-MONTH(Assumptions!$F$11)))+'Renovation Budget'!$G$12-1)),-'Renovation Budget'!$C$12/'Renovation Budget'!$G$12,0)</f>
        <v/>
      </c>
      <c r="BH82" s="228">
        <f>IF(AND(BH$11&gt;=(12*(YEAR('Renovation Budget'!$F$12)-YEAR(Assumptions!$F$11))+(MONTH('Renovation Budget'!$F$12)-MONTH(Assumptions!$F$11))),BH$11&lt;=((12*(YEAR('Renovation Budget'!$F$12)-YEAR(Assumptions!$F$11))+(MONTH('Renovation Budget'!$F$12)-MONTH(Assumptions!$F$11)))+'Renovation Budget'!$G$12-1)),-'Renovation Budget'!$C$12/'Renovation Budget'!$G$12,0)</f>
        <v/>
      </c>
      <c r="BI82" s="228">
        <f>IF(AND(BI$11&gt;=(12*(YEAR('Renovation Budget'!$F$12)-YEAR(Assumptions!$F$11))+(MONTH('Renovation Budget'!$F$12)-MONTH(Assumptions!$F$11))),BI$11&lt;=((12*(YEAR('Renovation Budget'!$F$12)-YEAR(Assumptions!$F$11))+(MONTH('Renovation Budget'!$F$12)-MONTH(Assumptions!$F$11)))+'Renovation Budget'!$G$12-1)),-'Renovation Budget'!$C$12/'Renovation Budget'!$G$12,0)</f>
        <v/>
      </c>
      <c r="BJ82" s="228">
        <f>IF(AND(BJ$11&gt;=(12*(YEAR('Renovation Budget'!$F$12)-YEAR(Assumptions!$F$11))+(MONTH('Renovation Budget'!$F$12)-MONTH(Assumptions!$F$11))),BJ$11&lt;=((12*(YEAR('Renovation Budget'!$F$12)-YEAR(Assumptions!$F$11))+(MONTH('Renovation Budget'!$F$12)-MONTH(Assumptions!$F$11)))+'Renovation Budget'!$G$12-1)),-'Renovation Budget'!$C$12/'Renovation Budget'!$G$12,0)</f>
        <v/>
      </c>
      <c r="BK82" s="228">
        <f>IF(AND(BK$11&gt;=(12*(YEAR('Renovation Budget'!$F$12)-YEAR(Assumptions!$F$11))+(MONTH('Renovation Budget'!$F$12)-MONTH(Assumptions!$F$11))),BK$11&lt;=((12*(YEAR('Renovation Budget'!$F$12)-YEAR(Assumptions!$F$11))+(MONTH('Renovation Budget'!$F$12)-MONTH(Assumptions!$F$11)))+'Renovation Budget'!$G$12-1)),-'Renovation Budget'!$C$12/'Renovation Budget'!$G$12,0)</f>
        <v/>
      </c>
      <c r="BL82" s="228">
        <f>IF(AND(BL$11&gt;=(12*(YEAR('Renovation Budget'!$F$12)-YEAR(Assumptions!$F$11))+(MONTH('Renovation Budget'!$F$12)-MONTH(Assumptions!$F$11))),BL$11&lt;=((12*(YEAR('Renovation Budget'!$F$12)-YEAR(Assumptions!$F$11))+(MONTH('Renovation Budget'!$F$12)-MONTH(Assumptions!$F$11)))+'Renovation Budget'!$G$12-1)),-'Renovation Budget'!$C$12/'Renovation Budget'!$G$12,0)</f>
        <v/>
      </c>
      <c r="BM82" s="228">
        <f>IF(AND(BM$11&gt;=(12*(YEAR('Renovation Budget'!$F$12)-YEAR(Assumptions!$F$11))+(MONTH('Renovation Budget'!$F$12)-MONTH(Assumptions!$F$11))),BM$11&lt;=((12*(YEAR('Renovation Budget'!$F$12)-YEAR(Assumptions!$F$11))+(MONTH('Renovation Budget'!$F$12)-MONTH(Assumptions!$F$11)))+'Renovation Budget'!$G$12-1)),-'Renovation Budget'!$C$12/'Renovation Budget'!$G$12,0)</f>
        <v/>
      </c>
      <c r="BN82" s="228">
        <f>IF(AND(BN$11&gt;=(12*(YEAR('Renovation Budget'!$F$12)-YEAR(Assumptions!$F$11))+(MONTH('Renovation Budget'!$F$12)-MONTH(Assumptions!$F$11))),BN$11&lt;=((12*(YEAR('Renovation Budget'!$F$12)-YEAR(Assumptions!$F$11))+(MONTH('Renovation Budget'!$F$12)-MONTH(Assumptions!$F$11)))+'Renovation Budget'!$G$12-1)),-'Renovation Budget'!$C$12/'Renovation Budget'!$G$12,0)</f>
        <v/>
      </c>
      <c r="BO82" s="228">
        <f>IF(AND(BO$11&gt;=(12*(YEAR('Renovation Budget'!$F$12)-YEAR(Assumptions!$F$11))+(MONTH('Renovation Budget'!$F$12)-MONTH(Assumptions!$F$11))),BO$11&lt;=((12*(YEAR('Renovation Budget'!$F$12)-YEAR(Assumptions!$F$11))+(MONTH('Renovation Budget'!$F$12)-MONTH(Assumptions!$F$11)))+'Renovation Budget'!$G$12-1)),-'Renovation Budget'!$C$12/'Renovation Budget'!$G$12,0)</f>
        <v/>
      </c>
      <c r="BP82" s="228">
        <f>IF(AND(BP$11&gt;=(12*(YEAR('Renovation Budget'!$F$12)-YEAR(Assumptions!$F$11))+(MONTH('Renovation Budget'!$F$12)-MONTH(Assumptions!$F$11))),BP$11&lt;=((12*(YEAR('Renovation Budget'!$F$12)-YEAR(Assumptions!$F$11))+(MONTH('Renovation Budget'!$F$12)-MONTH(Assumptions!$F$11)))+'Renovation Budget'!$G$12-1)),-'Renovation Budget'!$C$12/'Renovation Budget'!$G$12,0)</f>
        <v/>
      </c>
      <c r="BQ82" s="228">
        <f>IF(AND(BQ$11&gt;=(12*(YEAR('Renovation Budget'!$F$12)-YEAR(Assumptions!$F$11))+(MONTH('Renovation Budget'!$F$12)-MONTH(Assumptions!$F$11))),BQ$11&lt;=((12*(YEAR('Renovation Budget'!$F$12)-YEAR(Assumptions!$F$11))+(MONTH('Renovation Budget'!$F$12)-MONTH(Assumptions!$F$11)))+'Renovation Budget'!$G$12-1)),-'Renovation Budget'!$C$12/'Renovation Budget'!$G$12,0)</f>
        <v/>
      </c>
      <c r="BR82" s="228">
        <f>IF(AND(BR$11&gt;=(12*(YEAR('Renovation Budget'!$F$12)-YEAR(Assumptions!$F$11))+(MONTH('Renovation Budget'!$F$12)-MONTH(Assumptions!$F$11))),BR$11&lt;=((12*(YEAR('Renovation Budget'!$F$12)-YEAR(Assumptions!$F$11))+(MONTH('Renovation Budget'!$F$12)-MONTH(Assumptions!$F$11)))+'Renovation Budget'!$G$12-1)),-'Renovation Budget'!$C$12/'Renovation Budget'!$G$12,0)</f>
        <v/>
      </c>
      <c r="BS82" s="228">
        <f>IF(AND(BS$11&gt;=(12*(YEAR('Renovation Budget'!$F$12)-YEAR(Assumptions!$F$11))+(MONTH('Renovation Budget'!$F$12)-MONTH(Assumptions!$F$11))),BS$11&lt;=((12*(YEAR('Renovation Budget'!$F$12)-YEAR(Assumptions!$F$11))+(MONTH('Renovation Budget'!$F$12)-MONTH(Assumptions!$F$11)))+'Renovation Budget'!$G$12-1)),-'Renovation Budget'!$C$12/'Renovation Budget'!$G$12,0)</f>
        <v/>
      </c>
      <c r="BT82" s="228">
        <f>IF(AND(BT$11&gt;=(12*(YEAR('Renovation Budget'!$F$12)-YEAR(Assumptions!$F$11))+(MONTH('Renovation Budget'!$F$12)-MONTH(Assumptions!$F$11))),BT$11&lt;=((12*(YEAR('Renovation Budget'!$F$12)-YEAR(Assumptions!$F$11))+(MONTH('Renovation Budget'!$F$12)-MONTH(Assumptions!$F$11)))+'Renovation Budget'!$G$12-1)),-'Renovation Budget'!$C$12/'Renovation Budget'!$G$12,0)</f>
        <v/>
      </c>
      <c r="BU82" s="228">
        <f>IF(AND(BU$11&gt;=(12*(YEAR('Renovation Budget'!$F$12)-YEAR(Assumptions!$F$11))+(MONTH('Renovation Budget'!$F$12)-MONTH(Assumptions!$F$11))),BU$11&lt;=((12*(YEAR('Renovation Budget'!$F$12)-YEAR(Assumptions!$F$11))+(MONTH('Renovation Budget'!$F$12)-MONTH(Assumptions!$F$11)))+'Renovation Budget'!$G$12-1)),-'Renovation Budget'!$C$12/'Renovation Budget'!$G$12,0)</f>
        <v/>
      </c>
      <c r="BV82" s="228">
        <f>IF(AND(BV$11&gt;=(12*(YEAR('Renovation Budget'!$F$12)-YEAR(Assumptions!$F$11))+(MONTH('Renovation Budget'!$F$12)-MONTH(Assumptions!$F$11))),BV$11&lt;=((12*(YEAR('Renovation Budget'!$F$12)-YEAR(Assumptions!$F$11))+(MONTH('Renovation Budget'!$F$12)-MONTH(Assumptions!$F$11)))+'Renovation Budget'!$G$12-1)),-'Renovation Budget'!$C$12/'Renovation Budget'!$G$12,0)</f>
        <v/>
      </c>
      <c r="BW82" s="228">
        <f>IF(AND(BW$11&gt;=(12*(YEAR('Renovation Budget'!$F$12)-YEAR(Assumptions!$F$11))+(MONTH('Renovation Budget'!$F$12)-MONTH(Assumptions!$F$11))),BW$11&lt;=((12*(YEAR('Renovation Budget'!$F$12)-YEAR(Assumptions!$F$11))+(MONTH('Renovation Budget'!$F$12)-MONTH(Assumptions!$F$11)))+'Renovation Budget'!$G$12-1)),-'Renovation Budget'!$C$12/'Renovation Budget'!$G$12,0)</f>
        <v/>
      </c>
      <c r="BX82" s="228">
        <f>IF(AND(BX$11&gt;=(12*(YEAR('Renovation Budget'!$F$12)-YEAR(Assumptions!$F$11))+(MONTH('Renovation Budget'!$F$12)-MONTH(Assumptions!$F$11))),BX$11&lt;=((12*(YEAR('Renovation Budget'!$F$12)-YEAR(Assumptions!$F$11))+(MONTH('Renovation Budget'!$F$12)-MONTH(Assumptions!$F$11)))+'Renovation Budget'!$G$12-1)),-'Renovation Budget'!$C$12/'Renovation Budget'!$G$12,0)</f>
        <v/>
      </c>
      <c r="BY82" s="228">
        <f>IF(AND(BY$11&gt;=(12*(YEAR('Renovation Budget'!$F$12)-YEAR(Assumptions!$F$11))+(MONTH('Renovation Budget'!$F$12)-MONTH(Assumptions!$F$11))),BY$11&lt;=((12*(YEAR('Renovation Budget'!$F$12)-YEAR(Assumptions!$F$11))+(MONTH('Renovation Budget'!$F$12)-MONTH(Assumptions!$F$11)))+'Renovation Budget'!$G$12-1)),-'Renovation Budget'!$C$12/'Renovation Budget'!$G$12,0)</f>
        <v/>
      </c>
      <c r="BZ82" s="228">
        <f>IF(AND(BZ$11&gt;=(12*(YEAR('Renovation Budget'!$F$12)-YEAR(Assumptions!$F$11))+(MONTH('Renovation Budget'!$F$12)-MONTH(Assumptions!$F$11))),BZ$11&lt;=((12*(YEAR('Renovation Budget'!$F$12)-YEAR(Assumptions!$F$11))+(MONTH('Renovation Budget'!$F$12)-MONTH(Assumptions!$F$11)))+'Renovation Budget'!$G$12-1)),-'Renovation Budget'!$C$12/'Renovation Budget'!$G$12,0)</f>
        <v/>
      </c>
      <c r="CA82" s="228">
        <f>IF(AND(CA$11&gt;=(12*(YEAR('Renovation Budget'!$F$12)-YEAR(Assumptions!$F$11))+(MONTH('Renovation Budget'!$F$12)-MONTH(Assumptions!$F$11))),CA$11&lt;=((12*(YEAR('Renovation Budget'!$F$12)-YEAR(Assumptions!$F$11))+(MONTH('Renovation Budget'!$F$12)-MONTH(Assumptions!$F$11)))+'Renovation Budget'!$G$12-1)),-'Renovation Budget'!$C$12/'Renovation Budget'!$G$12,0)</f>
        <v/>
      </c>
      <c r="CB82" s="228">
        <f>IF(AND(CB$11&gt;=(12*(YEAR('Renovation Budget'!$F$12)-YEAR(Assumptions!$F$11))+(MONTH('Renovation Budget'!$F$12)-MONTH(Assumptions!$F$11))),CB$11&lt;=((12*(YEAR('Renovation Budget'!$F$12)-YEAR(Assumptions!$F$11))+(MONTH('Renovation Budget'!$F$12)-MONTH(Assumptions!$F$11)))+'Renovation Budget'!$G$12-1)),-'Renovation Budget'!$C$12/'Renovation Budget'!$G$12,0)</f>
        <v/>
      </c>
      <c r="CC82" s="228">
        <f>IF(AND(CC$11&gt;=(12*(YEAR('Renovation Budget'!$F$12)-YEAR(Assumptions!$F$11))+(MONTH('Renovation Budget'!$F$12)-MONTH(Assumptions!$F$11))),CC$11&lt;=((12*(YEAR('Renovation Budget'!$F$12)-YEAR(Assumptions!$F$11))+(MONTH('Renovation Budget'!$F$12)-MONTH(Assumptions!$F$11)))+'Renovation Budget'!$G$12-1)),-'Renovation Budget'!$C$12/'Renovation Budget'!$G$12,0)</f>
        <v/>
      </c>
      <c r="CD82" s="228">
        <f>IF(AND(CD$11&gt;=(12*(YEAR('Renovation Budget'!$F$12)-YEAR(Assumptions!$F$11))+(MONTH('Renovation Budget'!$F$12)-MONTH(Assumptions!$F$11))),CD$11&lt;=((12*(YEAR('Renovation Budget'!$F$12)-YEAR(Assumptions!$F$11))+(MONTH('Renovation Budget'!$F$12)-MONTH(Assumptions!$F$11)))+'Renovation Budget'!$G$12-1)),-'Renovation Budget'!$C$12/'Renovation Budget'!$G$12,0)</f>
        <v/>
      </c>
      <c r="CE82" s="228">
        <f>IF(AND(CE$11&gt;=(12*(YEAR('Renovation Budget'!$F$12)-YEAR(Assumptions!$F$11))+(MONTH('Renovation Budget'!$F$12)-MONTH(Assumptions!$F$11))),CE$11&lt;=((12*(YEAR('Renovation Budget'!$F$12)-YEAR(Assumptions!$F$11))+(MONTH('Renovation Budget'!$F$12)-MONTH(Assumptions!$F$11)))+'Renovation Budget'!$G$12-1)),-'Renovation Budget'!$C$12/'Renovation Budget'!$G$12,0)</f>
        <v/>
      </c>
      <c r="CF82" s="228">
        <f>IF(AND(CF$11&gt;=(12*(YEAR('Renovation Budget'!$F$12)-YEAR(Assumptions!$F$11))+(MONTH('Renovation Budget'!$F$12)-MONTH(Assumptions!$F$11))),CF$11&lt;=((12*(YEAR('Renovation Budget'!$F$12)-YEAR(Assumptions!$F$11))+(MONTH('Renovation Budget'!$F$12)-MONTH(Assumptions!$F$11)))+'Renovation Budget'!$G$12-1)),-'Renovation Budget'!$C$12/'Renovation Budget'!$G$12,0)</f>
        <v/>
      </c>
      <c r="CG82" s="228">
        <f>IF(AND(CG$11&gt;=(12*(YEAR('Renovation Budget'!$F$12)-YEAR(Assumptions!$F$11))+(MONTH('Renovation Budget'!$F$12)-MONTH(Assumptions!$F$11))),CG$11&lt;=((12*(YEAR('Renovation Budget'!$F$12)-YEAR(Assumptions!$F$11))+(MONTH('Renovation Budget'!$F$12)-MONTH(Assumptions!$F$11)))+'Renovation Budget'!$G$12-1)),-'Renovation Budget'!$C$12/'Renovation Budget'!$G$12,0)</f>
        <v/>
      </c>
      <c r="CH82" s="228">
        <f>IF(AND(CH$11&gt;=(12*(YEAR('Renovation Budget'!$F$12)-YEAR(Assumptions!$F$11))+(MONTH('Renovation Budget'!$F$12)-MONTH(Assumptions!$F$11))),CH$11&lt;=((12*(YEAR('Renovation Budget'!$F$12)-YEAR(Assumptions!$F$11))+(MONTH('Renovation Budget'!$F$12)-MONTH(Assumptions!$F$11)))+'Renovation Budget'!$G$12-1)),-'Renovation Budget'!$C$12/'Renovation Budget'!$G$12,0)</f>
        <v/>
      </c>
      <c r="CI82" s="228">
        <f>IF(AND(CI$11&gt;=(12*(YEAR('Renovation Budget'!$F$12)-YEAR(Assumptions!$F$11))+(MONTH('Renovation Budget'!$F$12)-MONTH(Assumptions!$F$11))),CI$11&lt;=((12*(YEAR('Renovation Budget'!$F$12)-YEAR(Assumptions!$F$11))+(MONTH('Renovation Budget'!$F$12)-MONTH(Assumptions!$F$11)))+'Renovation Budget'!$G$12-1)),-'Renovation Budget'!$C$12/'Renovation Budget'!$G$12,0)</f>
        <v/>
      </c>
      <c r="CJ82" s="228">
        <f>IF(AND(CJ$11&gt;=(12*(YEAR('Renovation Budget'!$F$12)-YEAR(Assumptions!$F$11))+(MONTH('Renovation Budget'!$F$12)-MONTH(Assumptions!$F$11))),CJ$11&lt;=((12*(YEAR('Renovation Budget'!$F$12)-YEAR(Assumptions!$F$11))+(MONTH('Renovation Budget'!$F$12)-MONTH(Assumptions!$F$11)))+'Renovation Budget'!$G$12-1)),-'Renovation Budget'!$C$12/'Renovation Budget'!$G$12,0)</f>
        <v/>
      </c>
      <c r="CK82" s="228">
        <f>IF(AND(CK$11&gt;=(12*(YEAR('Renovation Budget'!$F$12)-YEAR(Assumptions!$F$11))+(MONTH('Renovation Budget'!$F$12)-MONTH(Assumptions!$F$11))),CK$11&lt;=((12*(YEAR('Renovation Budget'!$F$12)-YEAR(Assumptions!$F$11))+(MONTH('Renovation Budget'!$F$12)-MONTH(Assumptions!$F$11)))+'Renovation Budget'!$G$12-1)),-'Renovation Budget'!$C$12/'Renovation Budget'!$G$12,0)</f>
        <v/>
      </c>
      <c r="CL82" s="228">
        <f>IF(AND(CL$11&gt;=(12*(YEAR('Renovation Budget'!$F$12)-YEAR(Assumptions!$F$11))+(MONTH('Renovation Budget'!$F$12)-MONTH(Assumptions!$F$11))),CL$11&lt;=((12*(YEAR('Renovation Budget'!$F$12)-YEAR(Assumptions!$F$11))+(MONTH('Renovation Budget'!$F$12)-MONTH(Assumptions!$F$11)))+'Renovation Budget'!$G$12-1)),-'Renovation Budget'!$C$12/'Renovation Budget'!$G$12,0)</f>
        <v/>
      </c>
      <c r="CM82" s="228">
        <f>IF(AND(CM$11&gt;=(12*(YEAR('Renovation Budget'!$F$12)-YEAR(Assumptions!$F$11))+(MONTH('Renovation Budget'!$F$12)-MONTH(Assumptions!$F$11))),CM$11&lt;=((12*(YEAR('Renovation Budget'!$F$12)-YEAR(Assumptions!$F$11))+(MONTH('Renovation Budget'!$F$12)-MONTH(Assumptions!$F$11)))+'Renovation Budget'!$G$12-1)),-'Renovation Budget'!$C$12/'Renovation Budget'!$G$12,0)</f>
        <v/>
      </c>
      <c r="CN82" s="228">
        <f>IF(AND(CN$11&gt;=(12*(YEAR('Renovation Budget'!$F$12)-YEAR(Assumptions!$F$11))+(MONTH('Renovation Budget'!$F$12)-MONTH(Assumptions!$F$11))),CN$11&lt;=((12*(YEAR('Renovation Budget'!$F$12)-YEAR(Assumptions!$F$11))+(MONTH('Renovation Budget'!$F$12)-MONTH(Assumptions!$F$11)))+'Renovation Budget'!$G$12-1)),-'Renovation Budget'!$C$12/'Renovation Budget'!$G$12,0)</f>
        <v/>
      </c>
      <c r="CO82" s="228">
        <f>IF(AND(CO$11&gt;=(12*(YEAR('Renovation Budget'!$F$12)-YEAR(Assumptions!$F$11))+(MONTH('Renovation Budget'!$F$12)-MONTH(Assumptions!$F$11))),CO$11&lt;=((12*(YEAR('Renovation Budget'!$F$12)-YEAR(Assumptions!$F$11))+(MONTH('Renovation Budget'!$F$12)-MONTH(Assumptions!$F$11)))+'Renovation Budget'!$G$12-1)),-'Renovation Budget'!$C$12/'Renovation Budget'!$G$12,0)</f>
        <v/>
      </c>
      <c r="CP82" s="228">
        <f>IF(AND(CP$11&gt;=(12*(YEAR('Renovation Budget'!$F$12)-YEAR(Assumptions!$F$11))+(MONTH('Renovation Budget'!$F$12)-MONTH(Assumptions!$F$11))),CP$11&lt;=((12*(YEAR('Renovation Budget'!$F$12)-YEAR(Assumptions!$F$11))+(MONTH('Renovation Budget'!$F$12)-MONTH(Assumptions!$F$11)))+'Renovation Budget'!$G$12-1)),-'Renovation Budget'!$C$12/'Renovation Budget'!$G$12,0)</f>
        <v/>
      </c>
      <c r="CQ82" s="228">
        <f>IF(AND(CQ$11&gt;=(12*(YEAR('Renovation Budget'!$F$12)-YEAR(Assumptions!$F$11))+(MONTH('Renovation Budget'!$F$12)-MONTH(Assumptions!$F$11))),CQ$11&lt;=((12*(YEAR('Renovation Budget'!$F$12)-YEAR(Assumptions!$F$11))+(MONTH('Renovation Budget'!$F$12)-MONTH(Assumptions!$F$11)))+'Renovation Budget'!$G$12-1)),-'Renovation Budget'!$C$12/'Renovation Budget'!$G$12,0)</f>
        <v/>
      </c>
      <c r="CR82" s="228">
        <f>IF(AND(CR$11&gt;=(12*(YEAR('Renovation Budget'!$F$12)-YEAR(Assumptions!$F$11))+(MONTH('Renovation Budget'!$F$12)-MONTH(Assumptions!$F$11))),CR$11&lt;=((12*(YEAR('Renovation Budget'!$F$12)-YEAR(Assumptions!$F$11))+(MONTH('Renovation Budget'!$F$12)-MONTH(Assumptions!$F$11)))+'Renovation Budget'!$G$12-1)),-'Renovation Budget'!$C$12/'Renovation Budget'!$G$12,0)</f>
        <v/>
      </c>
      <c r="CS82" s="228">
        <f>IF(AND(CS$11&gt;=(12*(YEAR('Renovation Budget'!$F$12)-YEAR(Assumptions!$F$11))+(MONTH('Renovation Budget'!$F$12)-MONTH(Assumptions!$F$11))),CS$11&lt;=((12*(YEAR('Renovation Budget'!$F$12)-YEAR(Assumptions!$F$11))+(MONTH('Renovation Budget'!$F$12)-MONTH(Assumptions!$F$11)))+'Renovation Budget'!$G$12-1)),-'Renovation Budget'!$C$12/'Renovation Budget'!$G$12,0)</f>
        <v/>
      </c>
      <c r="CT82" s="228">
        <f>IF(AND(CT$11&gt;=(12*(YEAR('Renovation Budget'!$F$12)-YEAR(Assumptions!$F$11))+(MONTH('Renovation Budget'!$F$12)-MONTH(Assumptions!$F$11))),CT$11&lt;=((12*(YEAR('Renovation Budget'!$F$12)-YEAR(Assumptions!$F$11))+(MONTH('Renovation Budget'!$F$12)-MONTH(Assumptions!$F$11)))+'Renovation Budget'!$G$12-1)),-'Renovation Budget'!$C$12/'Renovation Budget'!$G$12,0)</f>
        <v/>
      </c>
      <c r="CU82" s="228">
        <f>IF(AND(CU$11&gt;=(12*(YEAR('Renovation Budget'!$F$12)-YEAR(Assumptions!$F$11))+(MONTH('Renovation Budget'!$F$12)-MONTH(Assumptions!$F$11))),CU$11&lt;=((12*(YEAR('Renovation Budget'!$F$12)-YEAR(Assumptions!$F$11))+(MONTH('Renovation Budget'!$F$12)-MONTH(Assumptions!$F$11)))+'Renovation Budget'!$G$12-1)),-'Renovation Budget'!$C$12/'Renovation Budget'!$G$12,0)</f>
        <v/>
      </c>
      <c r="CV82" s="228">
        <f>IF(AND(CV$11&gt;=(12*(YEAR('Renovation Budget'!$F$12)-YEAR(Assumptions!$F$11))+(MONTH('Renovation Budget'!$F$12)-MONTH(Assumptions!$F$11))),CV$11&lt;=((12*(YEAR('Renovation Budget'!$F$12)-YEAR(Assumptions!$F$11))+(MONTH('Renovation Budget'!$F$12)-MONTH(Assumptions!$F$11)))+'Renovation Budget'!$G$12-1)),-'Renovation Budget'!$C$12/'Renovation Budget'!$G$12,0)</f>
        <v/>
      </c>
      <c r="CW82" s="228">
        <f>IF(AND(CW$11&gt;=(12*(YEAR('Renovation Budget'!$F$12)-YEAR(Assumptions!$F$11))+(MONTH('Renovation Budget'!$F$12)-MONTH(Assumptions!$F$11))),CW$11&lt;=((12*(YEAR('Renovation Budget'!$F$12)-YEAR(Assumptions!$F$11))+(MONTH('Renovation Budget'!$F$12)-MONTH(Assumptions!$F$11)))+'Renovation Budget'!$G$12-1)),-'Renovation Budget'!$C$12/'Renovation Budget'!$G$12,0)</f>
        <v/>
      </c>
      <c r="CX82" s="228">
        <f>IF(AND(CX$11&gt;=(12*(YEAR('Renovation Budget'!$F$12)-YEAR(Assumptions!$F$11))+(MONTH('Renovation Budget'!$F$12)-MONTH(Assumptions!$F$11))),CX$11&lt;=((12*(YEAR('Renovation Budget'!$F$12)-YEAR(Assumptions!$F$11))+(MONTH('Renovation Budget'!$F$12)-MONTH(Assumptions!$F$11)))+'Renovation Budget'!$G$12-1)),-'Renovation Budget'!$C$12/'Renovation Budget'!$G$12,0)</f>
        <v/>
      </c>
      <c r="CY82" s="228">
        <f>IF(AND(CY$11&gt;=(12*(YEAR('Renovation Budget'!$F$12)-YEAR(Assumptions!$F$11))+(MONTH('Renovation Budget'!$F$12)-MONTH(Assumptions!$F$11))),CY$11&lt;=((12*(YEAR('Renovation Budget'!$F$12)-YEAR(Assumptions!$F$11))+(MONTH('Renovation Budget'!$F$12)-MONTH(Assumptions!$F$11)))+'Renovation Budget'!$G$12-1)),-'Renovation Budget'!$C$12/'Renovation Budget'!$G$12,0)</f>
        <v/>
      </c>
      <c r="CZ82" s="228">
        <f>IF(AND(CZ$11&gt;=(12*(YEAR('Renovation Budget'!$F$12)-YEAR(Assumptions!$F$11))+(MONTH('Renovation Budget'!$F$12)-MONTH(Assumptions!$F$11))),CZ$11&lt;=((12*(YEAR('Renovation Budget'!$F$12)-YEAR(Assumptions!$F$11))+(MONTH('Renovation Budget'!$F$12)-MONTH(Assumptions!$F$11)))+'Renovation Budget'!$G$12-1)),-'Renovation Budget'!$C$12/'Renovation Budget'!$G$12,0)</f>
        <v/>
      </c>
      <c r="DA82" s="228">
        <f>IF(AND(DA$11&gt;=(12*(YEAR('Renovation Budget'!$F$12)-YEAR(Assumptions!$F$11))+(MONTH('Renovation Budget'!$F$12)-MONTH(Assumptions!$F$11))),DA$11&lt;=((12*(YEAR('Renovation Budget'!$F$12)-YEAR(Assumptions!$F$11))+(MONTH('Renovation Budget'!$F$12)-MONTH(Assumptions!$F$11)))+'Renovation Budget'!$G$12-1)),-'Renovation Budget'!$C$12/'Renovation Budget'!$G$12,0)</f>
        <v/>
      </c>
      <c r="DB82" s="228">
        <f>IF(AND(DB$11&gt;=(12*(YEAR('Renovation Budget'!$F$12)-YEAR(Assumptions!$F$11))+(MONTH('Renovation Budget'!$F$12)-MONTH(Assumptions!$F$11))),DB$11&lt;=((12*(YEAR('Renovation Budget'!$F$12)-YEAR(Assumptions!$F$11))+(MONTH('Renovation Budget'!$F$12)-MONTH(Assumptions!$F$11)))+'Renovation Budget'!$G$12-1)),-'Renovation Budget'!$C$12/'Renovation Budget'!$G$12,0)</f>
        <v/>
      </c>
      <c r="DC82" s="228">
        <f>IF(AND(DC$11&gt;=(12*(YEAR('Renovation Budget'!$F$12)-YEAR(Assumptions!$F$11))+(MONTH('Renovation Budget'!$F$12)-MONTH(Assumptions!$F$11))),DC$11&lt;=((12*(YEAR('Renovation Budget'!$F$12)-YEAR(Assumptions!$F$11))+(MONTH('Renovation Budget'!$F$12)-MONTH(Assumptions!$F$11)))+'Renovation Budget'!$G$12-1)),-'Renovation Budget'!$C$12/'Renovation Budget'!$G$12,0)</f>
        <v/>
      </c>
      <c r="DD82" s="228">
        <f>IF(AND(DD$11&gt;=(12*(YEAR('Renovation Budget'!$F$12)-YEAR(Assumptions!$F$11))+(MONTH('Renovation Budget'!$F$12)-MONTH(Assumptions!$F$11))),DD$11&lt;=((12*(YEAR('Renovation Budget'!$F$12)-YEAR(Assumptions!$F$11))+(MONTH('Renovation Budget'!$F$12)-MONTH(Assumptions!$F$11)))+'Renovation Budget'!$G$12-1)),-'Renovation Budget'!$C$12/'Renovation Budget'!$G$12,0)</f>
        <v/>
      </c>
      <c r="DE82" s="228">
        <f>IF(AND(DE$11&gt;=(12*(YEAR('Renovation Budget'!$F$12)-YEAR(Assumptions!$F$11))+(MONTH('Renovation Budget'!$F$12)-MONTH(Assumptions!$F$11))),DE$11&lt;=((12*(YEAR('Renovation Budget'!$F$12)-YEAR(Assumptions!$F$11))+(MONTH('Renovation Budget'!$F$12)-MONTH(Assumptions!$F$11)))+'Renovation Budget'!$G$12-1)),-'Renovation Budget'!$C$12/'Renovation Budget'!$G$12,0)</f>
        <v/>
      </c>
      <c r="DF82" s="228">
        <f>IF(AND(DF$11&gt;=(12*(YEAR('Renovation Budget'!$F$12)-YEAR(Assumptions!$F$11))+(MONTH('Renovation Budget'!$F$12)-MONTH(Assumptions!$F$11))),DF$11&lt;=((12*(YEAR('Renovation Budget'!$F$12)-YEAR(Assumptions!$F$11))+(MONTH('Renovation Budget'!$F$12)-MONTH(Assumptions!$F$11)))+'Renovation Budget'!$G$12-1)),-'Renovation Budget'!$C$12/'Renovation Budget'!$G$12,0)</f>
        <v/>
      </c>
      <c r="DG82" s="228">
        <f>IF(AND(DG$11&gt;=(12*(YEAR('Renovation Budget'!$F$12)-YEAR(Assumptions!$F$11))+(MONTH('Renovation Budget'!$F$12)-MONTH(Assumptions!$F$11))),DG$11&lt;=((12*(YEAR('Renovation Budget'!$F$12)-YEAR(Assumptions!$F$11))+(MONTH('Renovation Budget'!$F$12)-MONTH(Assumptions!$F$11)))+'Renovation Budget'!$G$12-1)),-'Renovation Budget'!$C$12/'Renovation Budget'!$G$12,0)</f>
        <v/>
      </c>
      <c r="DH82" s="228">
        <f>IF(AND(DH$11&gt;=(12*(YEAR('Renovation Budget'!$F$12)-YEAR(Assumptions!$F$11))+(MONTH('Renovation Budget'!$F$12)-MONTH(Assumptions!$F$11))),DH$11&lt;=((12*(YEAR('Renovation Budget'!$F$12)-YEAR(Assumptions!$F$11))+(MONTH('Renovation Budget'!$F$12)-MONTH(Assumptions!$F$11)))+'Renovation Budget'!$G$12-1)),-'Renovation Budget'!$C$12/'Renovation Budget'!$G$12,0)</f>
        <v/>
      </c>
      <c r="DI82" s="228">
        <f>IF(AND(DI$11&gt;=(12*(YEAR('Renovation Budget'!$F$12)-YEAR(Assumptions!$F$11))+(MONTH('Renovation Budget'!$F$12)-MONTH(Assumptions!$F$11))),DI$11&lt;=((12*(YEAR('Renovation Budget'!$F$12)-YEAR(Assumptions!$F$11))+(MONTH('Renovation Budget'!$F$12)-MONTH(Assumptions!$F$11)))+'Renovation Budget'!$G$12-1)),-'Renovation Budget'!$C$12/'Renovation Budget'!$G$12,0)</f>
        <v/>
      </c>
      <c r="DJ82" s="228">
        <f>IF(AND(DJ$11&gt;=(12*(YEAR('Renovation Budget'!$F$12)-YEAR(Assumptions!$F$11))+(MONTH('Renovation Budget'!$F$12)-MONTH(Assumptions!$F$11))),DJ$11&lt;=((12*(YEAR('Renovation Budget'!$F$12)-YEAR(Assumptions!$F$11))+(MONTH('Renovation Budget'!$F$12)-MONTH(Assumptions!$F$11)))+'Renovation Budget'!$G$12-1)),-'Renovation Budget'!$C$12/'Renovation Budget'!$G$12,0)</f>
        <v/>
      </c>
      <c r="DK82" s="228">
        <f>IF(AND(DK$11&gt;=(12*(YEAR('Renovation Budget'!$F$12)-YEAR(Assumptions!$F$11))+(MONTH('Renovation Budget'!$F$12)-MONTH(Assumptions!$F$11))),DK$11&lt;=((12*(YEAR('Renovation Budget'!$F$12)-YEAR(Assumptions!$F$11))+(MONTH('Renovation Budget'!$F$12)-MONTH(Assumptions!$F$11)))+'Renovation Budget'!$G$12-1)),-'Renovation Budget'!$C$12/'Renovation Budget'!$G$12,0)</f>
        <v/>
      </c>
      <c r="DL82" s="228">
        <f>IF(AND(DL$11&gt;=(12*(YEAR('Renovation Budget'!$F$12)-YEAR(Assumptions!$F$11))+(MONTH('Renovation Budget'!$F$12)-MONTH(Assumptions!$F$11))),DL$11&lt;=((12*(YEAR('Renovation Budget'!$F$12)-YEAR(Assumptions!$F$11))+(MONTH('Renovation Budget'!$F$12)-MONTH(Assumptions!$F$11)))+'Renovation Budget'!$G$12-1)),-'Renovation Budget'!$C$12/'Renovation Budget'!$G$12,0)</f>
        <v/>
      </c>
      <c r="DM82" s="228">
        <f>IF(AND(DM$11&gt;=(12*(YEAR('Renovation Budget'!$F$12)-YEAR(Assumptions!$F$11))+(MONTH('Renovation Budget'!$F$12)-MONTH(Assumptions!$F$11))),DM$11&lt;=((12*(YEAR('Renovation Budget'!$F$12)-YEAR(Assumptions!$F$11))+(MONTH('Renovation Budget'!$F$12)-MONTH(Assumptions!$F$11)))+'Renovation Budget'!$G$12-1)),-'Renovation Budget'!$C$12/'Renovation Budget'!$G$12,0)</f>
        <v/>
      </c>
      <c r="DN82" s="228">
        <f>IF(AND(DN$11&gt;=(12*(YEAR('Renovation Budget'!$F$12)-YEAR(Assumptions!$F$11))+(MONTH('Renovation Budget'!$F$12)-MONTH(Assumptions!$F$11))),DN$11&lt;=((12*(YEAR('Renovation Budget'!$F$12)-YEAR(Assumptions!$F$11))+(MONTH('Renovation Budget'!$F$12)-MONTH(Assumptions!$F$11)))+'Renovation Budget'!$G$12-1)),-'Renovation Budget'!$C$12/'Renovation Budget'!$G$12,0)</f>
        <v/>
      </c>
      <c r="DO82" s="228">
        <f>IF(AND(DO$11&gt;=(12*(YEAR('Renovation Budget'!$F$12)-YEAR(Assumptions!$F$11))+(MONTH('Renovation Budget'!$F$12)-MONTH(Assumptions!$F$11))),DO$11&lt;=((12*(YEAR('Renovation Budget'!$F$12)-YEAR(Assumptions!$F$11))+(MONTH('Renovation Budget'!$F$12)-MONTH(Assumptions!$F$11)))+'Renovation Budget'!$G$12-1)),-'Renovation Budget'!$C$12/'Renovation Budget'!$G$12,0)</f>
        <v/>
      </c>
      <c r="DP82" s="228">
        <f>IF(AND(DP$11&gt;=(12*(YEAR('Renovation Budget'!$F$12)-YEAR(Assumptions!$F$11))+(MONTH('Renovation Budget'!$F$12)-MONTH(Assumptions!$F$11))),DP$11&lt;=((12*(YEAR('Renovation Budget'!$F$12)-YEAR(Assumptions!$F$11))+(MONTH('Renovation Budget'!$F$12)-MONTH(Assumptions!$F$11)))+'Renovation Budget'!$G$12-1)),-'Renovation Budget'!$C$12/'Renovation Budget'!$G$12,0)</f>
        <v/>
      </c>
      <c r="DQ82" s="228">
        <f>IF(AND(DQ$11&gt;=(12*(YEAR('Renovation Budget'!$F$12)-YEAR(Assumptions!$F$11))+(MONTH('Renovation Budget'!$F$12)-MONTH(Assumptions!$F$11))),DQ$11&lt;=((12*(YEAR('Renovation Budget'!$F$12)-YEAR(Assumptions!$F$11))+(MONTH('Renovation Budget'!$F$12)-MONTH(Assumptions!$F$11)))+'Renovation Budget'!$G$12-1)),-'Renovation Budget'!$C$12/'Renovation Budget'!$G$12,0)</f>
        <v/>
      </c>
      <c r="DR82" s="228">
        <f>IF(AND(DR$11&gt;=(12*(YEAR('Renovation Budget'!$F$12)-YEAR(Assumptions!$F$11))+(MONTH('Renovation Budget'!$F$12)-MONTH(Assumptions!$F$11))),DR$11&lt;=((12*(YEAR('Renovation Budget'!$F$12)-YEAR(Assumptions!$F$11))+(MONTH('Renovation Budget'!$F$12)-MONTH(Assumptions!$F$11)))+'Renovation Budget'!$G$12-1)),-'Renovation Budget'!$C$12/'Renovation Budget'!$G$12,0)</f>
        <v/>
      </c>
      <c r="DS82" s="228">
        <f>IF(AND(DS$11&gt;=(12*(YEAR('Renovation Budget'!$F$12)-YEAR(Assumptions!$F$11))+(MONTH('Renovation Budget'!$F$12)-MONTH(Assumptions!$F$11))),DS$11&lt;=((12*(YEAR('Renovation Budget'!$F$12)-YEAR(Assumptions!$F$11))+(MONTH('Renovation Budget'!$F$12)-MONTH(Assumptions!$F$11)))+'Renovation Budget'!$G$12-1)),-'Renovation Budget'!$C$12/'Renovation Budget'!$G$12,0)</f>
        <v/>
      </c>
      <c r="DT82" s="228">
        <f>IF(AND(DT$11&gt;=(12*(YEAR('Renovation Budget'!$F$12)-YEAR(Assumptions!$F$11))+(MONTH('Renovation Budget'!$F$12)-MONTH(Assumptions!$F$11))),DT$11&lt;=((12*(YEAR('Renovation Budget'!$F$12)-YEAR(Assumptions!$F$11))+(MONTH('Renovation Budget'!$F$12)-MONTH(Assumptions!$F$11)))+'Renovation Budget'!$G$12-1)),-'Renovation Budget'!$C$12/'Renovation Budget'!$G$12,0)</f>
        <v/>
      </c>
    </row>
    <row r="83" ht="15" customHeight="1" s="148">
      <c r="A83" s="112" t="inlineStr">
        <is>
          <t>Improvements</t>
        </is>
      </c>
      <c r="C83" s="228">
        <f>SUM(D83:DT83)</f>
        <v/>
      </c>
      <c r="D83" s="228">
        <f>IF(AND(D$11&gt;=(12*(YEAR('Renovation Budget'!$F$13)-YEAR(Assumptions!$F$11))+(MONTH('Renovation Budget'!$F$13)-MONTH(Assumptions!$F$11))),D$11&lt;=((12*(YEAR('Renovation Budget'!$F$13)-YEAR(Assumptions!$F$11))+(MONTH('Renovation Budget'!$F$13)-MONTH(Assumptions!$F$11)))+'Renovation Budget'!$G$13-1)),-'Renovation Budget'!$C$13/'Renovation Budget'!$G$13,0)</f>
        <v/>
      </c>
      <c r="E83" s="228">
        <f>IF(AND(E$11&gt;=(12*(YEAR('Renovation Budget'!$F$13)-YEAR(Assumptions!$F$11))+(MONTH('Renovation Budget'!$F$13)-MONTH(Assumptions!$F$11))),E$11&lt;=((12*(YEAR('Renovation Budget'!$F$13)-YEAR(Assumptions!$F$11))+(MONTH('Renovation Budget'!$F$13)-MONTH(Assumptions!$F$11)))+'Renovation Budget'!$G$13-1)),-'Renovation Budget'!$C$13/'Renovation Budget'!$G$13,0)</f>
        <v/>
      </c>
      <c r="F83" s="228">
        <f>IF(AND(F$11&gt;=(12*(YEAR('Renovation Budget'!$F$13)-YEAR(Assumptions!$F$11))+(MONTH('Renovation Budget'!$F$13)-MONTH(Assumptions!$F$11))),F$11&lt;=((12*(YEAR('Renovation Budget'!$F$13)-YEAR(Assumptions!$F$11))+(MONTH('Renovation Budget'!$F$13)-MONTH(Assumptions!$F$11)))+'Renovation Budget'!$G$13-1)),-'Renovation Budget'!$C$13/'Renovation Budget'!$G$13,0)</f>
        <v/>
      </c>
      <c r="G83" s="228">
        <f>IF(AND(G$11&gt;=(12*(YEAR('Renovation Budget'!$F$13)-YEAR(Assumptions!$F$11))+(MONTH('Renovation Budget'!$F$13)-MONTH(Assumptions!$F$11))),G$11&lt;=((12*(YEAR('Renovation Budget'!$F$13)-YEAR(Assumptions!$F$11))+(MONTH('Renovation Budget'!$F$13)-MONTH(Assumptions!$F$11)))+'Renovation Budget'!$G$13-1)),-'Renovation Budget'!$C$13/'Renovation Budget'!$G$13,0)</f>
        <v/>
      </c>
      <c r="H83" s="228">
        <f>IF(AND(H$11&gt;=(12*(YEAR('Renovation Budget'!$F$13)-YEAR(Assumptions!$F$11))+(MONTH('Renovation Budget'!$F$13)-MONTH(Assumptions!$F$11))),H$11&lt;=((12*(YEAR('Renovation Budget'!$F$13)-YEAR(Assumptions!$F$11))+(MONTH('Renovation Budget'!$F$13)-MONTH(Assumptions!$F$11)))+'Renovation Budget'!$G$13-1)),-'Renovation Budget'!$C$13/'Renovation Budget'!$G$13,0)</f>
        <v/>
      </c>
      <c r="I83" s="228">
        <f>IF(AND(I$11&gt;=(12*(YEAR('Renovation Budget'!$F$13)-YEAR(Assumptions!$F$11))+(MONTH('Renovation Budget'!$F$13)-MONTH(Assumptions!$F$11))),I$11&lt;=((12*(YEAR('Renovation Budget'!$F$13)-YEAR(Assumptions!$F$11))+(MONTH('Renovation Budget'!$F$13)-MONTH(Assumptions!$F$11)))+'Renovation Budget'!$G$13-1)),-'Renovation Budget'!$C$13/'Renovation Budget'!$G$13,0)</f>
        <v/>
      </c>
      <c r="J83" s="228">
        <f>IF(AND(J$11&gt;=(12*(YEAR('Renovation Budget'!$F$13)-YEAR(Assumptions!$F$11))+(MONTH('Renovation Budget'!$F$13)-MONTH(Assumptions!$F$11))),J$11&lt;=((12*(YEAR('Renovation Budget'!$F$13)-YEAR(Assumptions!$F$11))+(MONTH('Renovation Budget'!$F$13)-MONTH(Assumptions!$F$11)))+'Renovation Budget'!$G$13-1)),-'Renovation Budget'!$C$13/'Renovation Budget'!$G$13,0)</f>
        <v/>
      </c>
      <c r="K83" s="228">
        <f>IF(AND(K$11&gt;=(12*(YEAR('Renovation Budget'!$F$13)-YEAR(Assumptions!$F$11))+(MONTH('Renovation Budget'!$F$13)-MONTH(Assumptions!$F$11))),K$11&lt;=((12*(YEAR('Renovation Budget'!$F$13)-YEAR(Assumptions!$F$11))+(MONTH('Renovation Budget'!$F$13)-MONTH(Assumptions!$F$11)))+'Renovation Budget'!$G$13-1)),-'Renovation Budget'!$C$13/'Renovation Budget'!$G$13,0)</f>
        <v/>
      </c>
      <c r="L83" s="228">
        <f>IF(AND(L$11&gt;=(12*(YEAR('Renovation Budget'!$F$13)-YEAR(Assumptions!$F$11))+(MONTH('Renovation Budget'!$F$13)-MONTH(Assumptions!$F$11))),L$11&lt;=((12*(YEAR('Renovation Budget'!$F$13)-YEAR(Assumptions!$F$11))+(MONTH('Renovation Budget'!$F$13)-MONTH(Assumptions!$F$11)))+'Renovation Budget'!$G$13-1)),-'Renovation Budget'!$C$13/'Renovation Budget'!$G$13,0)</f>
        <v/>
      </c>
      <c r="M83" s="228">
        <f>IF(AND(M$11&gt;=(12*(YEAR('Renovation Budget'!$F$13)-YEAR(Assumptions!$F$11))+(MONTH('Renovation Budget'!$F$13)-MONTH(Assumptions!$F$11))),M$11&lt;=((12*(YEAR('Renovation Budget'!$F$13)-YEAR(Assumptions!$F$11))+(MONTH('Renovation Budget'!$F$13)-MONTH(Assumptions!$F$11)))+'Renovation Budget'!$G$13-1)),-'Renovation Budget'!$C$13/'Renovation Budget'!$G$13,0)</f>
        <v/>
      </c>
      <c r="N83" s="228">
        <f>IF(AND(N$11&gt;=(12*(YEAR('Renovation Budget'!$F$13)-YEAR(Assumptions!$F$11))+(MONTH('Renovation Budget'!$F$13)-MONTH(Assumptions!$F$11))),N$11&lt;=((12*(YEAR('Renovation Budget'!$F$13)-YEAR(Assumptions!$F$11))+(MONTH('Renovation Budget'!$F$13)-MONTH(Assumptions!$F$11)))+'Renovation Budget'!$G$13-1)),-'Renovation Budget'!$C$13/'Renovation Budget'!$G$13,0)</f>
        <v/>
      </c>
      <c r="O83" s="228">
        <f>IF(AND(O$11&gt;=(12*(YEAR('Renovation Budget'!$F$13)-YEAR(Assumptions!$F$11))+(MONTH('Renovation Budget'!$F$13)-MONTH(Assumptions!$F$11))),O$11&lt;=((12*(YEAR('Renovation Budget'!$F$13)-YEAR(Assumptions!$F$11))+(MONTH('Renovation Budget'!$F$13)-MONTH(Assumptions!$F$11)))+'Renovation Budget'!$G$13-1)),-'Renovation Budget'!$C$13/'Renovation Budget'!$G$13,0)</f>
        <v/>
      </c>
      <c r="P83" s="228">
        <f>IF(AND(P$11&gt;=(12*(YEAR('Renovation Budget'!$F$13)-YEAR(Assumptions!$F$11))+(MONTH('Renovation Budget'!$F$13)-MONTH(Assumptions!$F$11))),P$11&lt;=((12*(YEAR('Renovation Budget'!$F$13)-YEAR(Assumptions!$F$11))+(MONTH('Renovation Budget'!$F$13)-MONTH(Assumptions!$F$11)))+'Renovation Budget'!$G$13-1)),-'Renovation Budget'!$C$13/'Renovation Budget'!$G$13,0)</f>
        <v/>
      </c>
      <c r="Q83" s="228">
        <f>IF(AND(Q$11&gt;=(12*(YEAR('Renovation Budget'!$F$13)-YEAR(Assumptions!$F$11))+(MONTH('Renovation Budget'!$F$13)-MONTH(Assumptions!$F$11))),Q$11&lt;=((12*(YEAR('Renovation Budget'!$F$13)-YEAR(Assumptions!$F$11))+(MONTH('Renovation Budget'!$F$13)-MONTH(Assumptions!$F$11)))+'Renovation Budget'!$G$13-1)),-'Renovation Budget'!$C$13/'Renovation Budget'!$G$13,0)</f>
        <v/>
      </c>
      <c r="R83" s="228">
        <f>IF(AND(R$11&gt;=(12*(YEAR('Renovation Budget'!$F$13)-YEAR(Assumptions!$F$11))+(MONTH('Renovation Budget'!$F$13)-MONTH(Assumptions!$F$11))),R$11&lt;=((12*(YEAR('Renovation Budget'!$F$13)-YEAR(Assumptions!$F$11))+(MONTH('Renovation Budget'!$F$13)-MONTH(Assumptions!$F$11)))+'Renovation Budget'!$G$13-1)),-'Renovation Budget'!$C$13/'Renovation Budget'!$G$13,0)</f>
        <v/>
      </c>
      <c r="S83" s="228">
        <f>IF(AND(S$11&gt;=(12*(YEAR('Renovation Budget'!$F$13)-YEAR(Assumptions!$F$11))+(MONTH('Renovation Budget'!$F$13)-MONTH(Assumptions!$F$11))),S$11&lt;=((12*(YEAR('Renovation Budget'!$F$13)-YEAR(Assumptions!$F$11))+(MONTH('Renovation Budget'!$F$13)-MONTH(Assumptions!$F$11)))+'Renovation Budget'!$G$13-1)),-'Renovation Budget'!$C$13/'Renovation Budget'!$G$13,0)</f>
        <v/>
      </c>
      <c r="T83" s="228">
        <f>IF(AND(T$11&gt;=(12*(YEAR('Renovation Budget'!$F$13)-YEAR(Assumptions!$F$11))+(MONTH('Renovation Budget'!$F$13)-MONTH(Assumptions!$F$11))),T$11&lt;=((12*(YEAR('Renovation Budget'!$F$13)-YEAR(Assumptions!$F$11))+(MONTH('Renovation Budget'!$F$13)-MONTH(Assumptions!$F$11)))+'Renovation Budget'!$G$13-1)),-'Renovation Budget'!$C$13/'Renovation Budget'!$G$13,0)</f>
        <v/>
      </c>
      <c r="U83" s="228">
        <f>IF(AND(U$11&gt;=(12*(YEAR('Renovation Budget'!$F$13)-YEAR(Assumptions!$F$11))+(MONTH('Renovation Budget'!$F$13)-MONTH(Assumptions!$F$11))),U$11&lt;=((12*(YEAR('Renovation Budget'!$F$13)-YEAR(Assumptions!$F$11))+(MONTH('Renovation Budget'!$F$13)-MONTH(Assumptions!$F$11)))+'Renovation Budget'!$G$13-1)),-'Renovation Budget'!$C$13/'Renovation Budget'!$G$13,0)</f>
        <v/>
      </c>
      <c r="V83" s="228">
        <f>IF(AND(V$11&gt;=(12*(YEAR('Renovation Budget'!$F$13)-YEAR(Assumptions!$F$11))+(MONTH('Renovation Budget'!$F$13)-MONTH(Assumptions!$F$11))),V$11&lt;=((12*(YEAR('Renovation Budget'!$F$13)-YEAR(Assumptions!$F$11))+(MONTH('Renovation Budget'!$F$13)-MONTH(Assumptions!$F$11)))+'Renovation Budget'!$G$13-1)),-'Renovation Budget'!$C$13/'Renovation Budget'!$G$13,0)</f>
        <v/>
      </c>
      <c r="W83" s="228">
        <f>IF(AND(W$11&gt;=(12*(YEAR('Renovation Budget'!$F$13)-YEAR(Assumptions!$F$11))+(MONTH('Renovation Budget'!$F$13)-MONTH(Assumptions!$F$11))),W$11&lt;=((12*(YEAR('Renovation Budget'!$F$13)-YEAR(Assumptions!$F$11))+(MONTH('Renovation Budget'!$F$13)-MONTH(Assumptions!$F$11)))+'Renovation Budget'!$G$13-1)),-'Renovation Budget'!$C$13/'Renovation Budget'!$G$13,0)</f>
        <v/>
      </c>
      <c r="X83" s="228">
        <f>IF(AND(X$11&gt;=(12*(YEAR('Renovation Budget'!$F$13)-YEAR(Assumptions!$F$11))+(MONTH('Renovation Budget'!$F$13)-MONTH(Assumptions!$F$11))),X$11&lt;=((12*(YEAR('Renovation Budget'!$F$13)-YEAR(Assumptions!$F$11))+(MONTH('Renovation Budget'!$F$13)-MONTH(Assumptions!$F$11)))+'Renovation Budget'!$G$13-1)),-'Renovation Budget'!$C$13/'Renovation Budget'!$G$13,0)</f>
        <v/>
      </c>
      <c r="Y83" s="228">
        <f>IF(AND(Y$11&gt;=(12*(YEAR('Renovation Budget'!$F$13)-YEAR(Assumptions!$F$11))+(MONTH('Renovation Budget'!$F$13)-MONTH(Assumptions!$F$11))),Y$11&lt;=((12*(YEAR('Renovation Budget'!$F$13)-YEAR(Assumptions!$F$11))+(MONTH('Renovation Budget'!$F$13)-MONTH(Assumptions!$F$11)))+'Renovation Budget'!$G$13-1)),-'Renovation Budget'!$C$13/'Renovation Budget'!$G$13,0)</f>
        <v/>
      </c>
      <c r="Z83" s="228">
        <f>IF(AND(Z$11&gt;=(12*(YEAR('Renovation Budget'!$F$13)-YEAR(Assumptions!$F$11))+(MONTH('Renovation Budget'!$F$13)-MONTH(Assumptions!$F$11))),Z$11&lt;=((12*(YEAR('Renovation Budget'!$F$13)-YEAR(Assumptions!$F$11))+(MONTH('Renovation Budget'!$F$13)-MONTH(Assumptions!$F$11)))+'Renovation Budget'!$G$13-1)),-'Renovation Budget'!$C$13/'Renovation Budget'!$G$13,0)</f>
        <v/>
      </c>
      <c r="AA83" s="228">
        <f>IF(AND(AA$11&gt;=(12*(YEAR('Renovation Budget'!$F$13)-YEAR(Assumptions!$F$11))+(MONTH('Renovation Budget'!$F$13)-MONTH(Assumptions!$F$11))),AA$11&lt;=((12*(YEAR('Renovation Budget'!$F$13)-YEAR(Assumptions!$F$11))+(MONTH('Renovation Budget'!$F$13)-MONTH(Assumptions!$F$11)))+'Renovation Budget'!$G$13-1)),-'Renovation Budget'!$C$13/'Renovation Budget'!$G$13,0)</f>
        <v/>
      </c>
      <c r="AB83" s="228">
        <f>IF(AND(AB$11&gt;=(12*(YEAR('Renovation Budget'!$F$13)-YEAR(Assumptions!$F$11))+(MONTH('Renovation Budget'!$F$13)-MONTH(Assumptions!$F$11))),AB$11&lt;=((12*(YEAR('Renovation Budget'!$F$13)-YEAR(Assumptions!$F$11))+(MONTH('Renovation Budget'!$F$13)-MONTH(Assumptions!$F$11)))+'Renovation Budget'!$G$13-1)),-'Renovation Budget'!$C$13/'Renovation Budget'!$G$13,0)</f>
        <v/>
      </c>
      <c r="AC83" s="228">
        <f>IF(AND(AC$11&gt;=(12*(YEAR('Renovation Budget'!$F$13)-YEAR(Assumptions!$F$11))+(MONTH('Renovation Budget'!$F$13)-MONTH(Assumptions!$F$11))),AC$11&lt;=((12*(YEAR('Renovation Budget'!$F$13)-YEAR(Assumptions!$F$11))+(MONTH('Renovation Budget'!$F$13)-MONTH(Assumptions!$F$11)))+'Renovation Budget'!$G$13-1)),-'Renovation Budget'!$C$13/'Renovation Budget'!$G$13,0)</f>
        <v/>
      </c>
      <c r="AD83" s="228">
        <f>IF(AND(AD$11&gt;=(12*(YEAR('Renovation Budget'!$F$13)-YEAR(Assumptions!$F$11))+(MONTH('Renovation Budget'!$F$13)-MONTH(Assumptions!$F$11))),AD$11&lt;=((12*(YEAR('Renovation Budget'!$F$13)-YEAR(Assumptions!$F$11))+(MONTH('Renovation Budget'!$F$13)-MONTH(Assumptions!$F$11)))+'Renovation Budget'!$G$13-1)),-'Renovation Budget'!$C$13/'Renovation Budget'!$G$13,0)</f>
        <v/>
      </c>
      <c r="AE83" s="228">
        <f>IF(AND(AE$11&gt;=(12*(YEAR('Renovation Budget'!$F$13)-YEAR(Assumptions!$F$11))+(MONTH('Renovation Budget'!$F$13)-MONTH(Assumptions!$F$11))),AE$11&lt;=((12*(YEAR('Renovation Budget'!$F$13)-YEAR(Assumptions!$F$11))+(MONTH('Renovation Budget'!$F$13)-MONTH(Assumptions!$F$11)))+'Renovation Budget'!$G$13-1)),-'Renovation Budget'!$C$13/'Renovation Budget'!$G$13,0)</f>
        <v/>
      </c>
      <c r="AF83" s="228">
        <f>IF(AND(AF$11&gt;=(12*(YEAR('Renovation Budget'!$F$13)-YEAR(Assumptions!$F$11))+(MONTH('Renovation Budget'!$F$13)-MONTH(Assumptions!$F$11))),AF$11&lt;=((12*(YEAR('Renovation Budget'!$F$13)-YEAR(Assumptions!$F$11))+(MONTH('Renovation Budget'!$F$13)-MONTH(Assumptions!$F$11)))+'Renovation Budget'!$G$13-1)),-'Renovation Budget'!$C$13/'Renovation Budget'!$G$13,0)</f>
        <v/>
      </c>
      <c r="AG83" s="228">
        <f>IF(AND(AG$11&gt;=(12*(YEAR('Renovation Budget'!$F$13)-YEAR(Assumptions!$F$11))+(MONTH('Renovation Budget'!$F$13)-MONTH(Assumptions!$F$11))),AG$11&lt;=((12*(YEAR('Renovation Budget'!$F$13)-YEAR(Assumptions!$F$11))+(MONTH('Renovation Budget'!$F$13)-MONTH(Assumptions!$F$11)))+'Renovation Budget'!$G$13-1)),-'Renovation Budget'!$C$13/'Renovation Budget'!$G$13,0)</f>
        <v/>
      </c>
      <c r="AH83" s="228">
        <f>IF(AND(AH$11&gt;=(12*(YEAR('Renovation Budget'!$F$13)-YEAR(Assumptions!$F$11))+(MONTH('Renovation Budget'!$F$13)-MONTH(Assumptions!$F$11))),AH$11&lt;=((12*(YEAR('Renovation Budget'!$F$13)-YEAR(Assumptions!$F$11))+(MONTH('Renovation Budget'!$F$13)-MONTH(Assumptions!$F$11)))+'Renovation Budget'!$G$13-1)),-'Renovation Budget'!$C$13/'Renovation Budget'!$G$13,0)</f>
        <v/>
      </c>
      <c r="AI83" s="228">
        <f>IF(AND(AI$11&gt;=(12*(YEAR('Renovation Budget'!$F$13)-YEAR(Assumptions!$F$11))+(MONTH('Renovation Budget'!$F$13)-MONTH(Assumptions!$F$11))),AI$11&lt;=((12*(YEAR('Renovation Budget'!$F$13)-YEAR(Assumptions!$F$11))+(MONTH('Renovation Budget'!$F$13)-MONTH(Assumptions!$F$11)))+'Renovation Budget'!$G$13-1)),-'Renovation Budget'!$C$13/'Renovation Budget'!$G$13,0)</f>
        <v/>
      </c>
      <c r="AJ83" s="228">
        <f>IF(AND(AJ$11&gt;=(12*(YEAR('Renovation Budget'!$F$13)-YEAR(Assumptions!$F$11))+(MONTH('Renovation Budget'!$F$13)-MONTH(Assumptions!$F$11))),AJ$11&lt;=((12*(YEAR('Renovation Budget'!$F$13)-YEAR(Assumptions!$F$11))+(MONTH('Renovation Budget'!$F$13)-MONTH(Assumptions!$F$11)))+'Renovation Budget'!$G$13-1)),-'Renovation Budget'!$C$13/'Renovation Budget'!$G$13,0)</f>
        <v/>
      </c>
      <c r="AK83" s="228">
        <f>IF(AND(AK$11&gt;=(12*(YEAR('Renovation Budget'!$F$13)-YEAR(Assumptions!$F$11))+(MONTH('Renovation Budget'!$F$13)-MONTH(Assumptions!$F$11))),AK$11&lt;=((12*(YEAR('Renovation Budget'!$F$13)-YEAR(Assumptions!$F$11))+(MONTH('Renovation Budget'!$F$13)-MONTH(Assumptions!$F$11)))+'Renovation Budget'!$G$13-1)),-'Renovation Budget'!$C$13/'Renovation Budget'!$G$13,0)</f>
        <v/>
      </c>
      <c r="AL83" s="228">
        <f>IF(AND(AL$11&gt;=(12*(YEAR('Renovation Budget'!$F$13)-YEAR(Assumptions!$F$11))+(MONTH('Renovation Budget'!$F$13)-MONTH(Assumptions!$F$11))),AL$11&lt;=((12*(YEAR('Renovation Budget'!$F$13)-YEAR(Assumptions!$F$11))+(MONTH('Renovation Budget'!$F$13)-MONTH(Assumptions!$F$11)))+'Renovation Budget'!$G$13-1)),-'Renovation Budget'!$C$13/'Renovation Budget'!$G$13,0)</f>
        <v/>
      </c>
      <c r="AM83" s="228">
        <f>IF(AND(AM$11&gt;=(12*(YEAR('Renovation Budget'!$F$13)-YEAR(Assumptions!$F$11))+(MONTH('Renovation Budget'!$F$13)-MONTH(Assumptions!$F$11))),AM$11&lt;=((12*(YEAR('Renovation Budget'!$F$13)-YEAR(Assumptions!$F$11))+(MONTH('Renovation Budget'!$F$13)-MONTH(Assumptions!$F$11)))+'Renovation Budget'!$G$13-1)),-'Renovation Budget'!$C$13/'Renovation Budget'!$G$13,0)</f>
        <v/>
      </c>
      <c r="AN83" s="228">
        <f>IF(AND(AN$11&gt;=(12*(YEAR('Renovation Budget'!$F$13)-YEAR(Assumptions!$F$11))+(MONTH('Renovation Budget'!$F$13)-MONTH(Assumptions!$F$11))),AN$11&lt;=((12*(YEAR('Renovation Budget'!$F$13)-YEAR(Assumptions!$F$11))+(MONTH('Renovation Budget'!$F$13)-MONTH(Assumptions!$F$11)))+'Renovation Budget'!$G$13-1)),-'Renovation Budget'!$C$13/'Renovation Budget'!$G$13,0)</f>
        <v/>
      </c>
      <c r="AO83" s="228">
        <f>IF(AND(AO$11&gt;=(12*(YEAR('Renovation Budget'!$F$13)-YEAR(Assumptions!$F$11))+(MONTH('Renovation Budget'!$F$13)-MONTH(Assumptions!$F$11))),AO$11&lt;=((12*(YEAR('Renovation Budget'!$F$13)-YEAR(Assumptions!$F$11))+(MONTH('Renovation Budget'!$F$13)-MONTH(Assumptions!$F$11)))+'Renovation Budget'!$G$13-1)),-'Renovation Budget'!$C$13/'Renovation Budget'!$G$13,0)</f>
        <v/>
      </c>
      <c r="AP83" s="228">
        <f>IF(AND(AP$11&gt;=(12*(YEAR('Renovation Budget'!$F$13)-YEAR(Assumptions!$F$11))+(MONTH('Renovation Budget'!$F$13)-MONTH(Assumptions!$F$11))),AP$11&lt;=((12*(YEAR('Renovation Budget'!$F$13)-YEAR(Assumptions!$F$11))+(MONTH('Renovation Budget'!$F$13)-MONTH(Assumptions!$F$11)))+'Renovation Budget'!$G$13-1)),-'Renovation Budget'!$C$13/'Renovation Budget'!$G$13,0)</f>
        <v/>
      </c>
      <c r="AQ83" s="228">
        <f>IF(AND(AQ$11&gt;=(12*(YEAR('Renovation Budget'!$F$13)-YEAR(Assumptions!$F$11))+(MONTH('Renovation Budget'!$F$13)-MONTH(Assumptions!$F$11))),AQ$11&lt;=((12*(YEAR('Renovation Budget'!$F$13)-YEAR(Assumptions!$F$11))+(MONTH('Renovation Budget'!$F$13)-MONTH(Assumptions!$F$11)))+'Renovation Budget'!$G$13-1)),-'Renovation Budget'!$C$13/'Renovation Budget'!$G$13,0)</f>
        <v/>
      </c>
      <c r="AR83" s="228">
        <f>IF(AND(AR$11&gt;=(12*(YEAR('Renovation Budget'!$F$13)-YEAR(Assumptions!$F$11))+(MONTH('Renovation Budget'!$F$13)-MONTH(Assumptions!$F$11))),AR$11&lt;=((12*(YEAR('Renovation Budget'!$F$13)-YEAR(Assumptions!$F$11))+(MONTH('Renovation Budget'!$F$13)-MONTH(Assumptions!$F$11)))+'Renovation Budget'!$G$13-1)),-'Renovation Budget'!$C$13/'Renovation Budget'!$G$13,0)</f>
        <v/>
      </c>
      <c r="AS83" s="228">
        <f>IF(AND(AS$11&gt;=(12*(YEAR('Renovation Budget'!$F$13)-YEAR(Assumptions!$F$11))+(MONTH('Renovation Budget'!$F$13)-MONTH(Assumptions!$F$11))),AS$11&lt;=((12*(YEAR('Renovation Budget'!$F$13)-YEAR(Assumptions!$F$11))+(MONTH('Renovation Budget'!$F$13)-MONTH(Assumptions!$F$11)))+'Renovation Budget'!$G$13-1)),-'Renovation Budget'!$C$13/'Renovation Budget'!$G$13,0)</f>
        <v/>
      </c>
      <c r="AT83" s="228">
        <f>IF(AND(AT$11&gt;=(12*(YEAR('Renovation Budget'!$F$13)-YEAR(Assumptions!$F$11))+(MONTH('Renovation Budget'!$F$13)-MONTH(Assumptions!$F$11))),AT$11&lt;=((12*(YEAR('Renovation Budget'!$F$13)-YEAR(Assumptions!$F$11))+(MONTH('Renovation Budget'!$F$13)-MONTH(Assumptions!$F$11)))+'Renovation Budget'!$G$13-1)),-'Renovation Budget'!$C$13/'Renovation Budget'!$G$13,0)</f>
        <v/>
      </c>
      <c r="AU83" s="228">
        <f>IF(AND(AU$11&gt;=(12*(YEAR('Renovation Budget'!$F$13)-YEAR(Assumptions!$F$11))+(MONTH('Renovation Budget'!$F$13)-MONTH(Assumptions!$F$11))),AU$11&lt;=((12*(YEAR('Renovation Budget'!$F$13)-YEAR(Assumptions!$F$11))+(MONTH('Renovation Budget'!$F$13)-MONTH(Assumptions!$F$11)))+'Renovation Budget'!$G$13-1)),-'Renovation Budget'!$C$13/'Renovation Budget'!$G$13,0)</f>
        <v/>
      </c>
      <c r="AV83" s="228">
        <f>IF(AND(AV$11&gt;=(12*(YEAR('Renovation Budget'!$F$13)-YEAR(Assumptions!$F$11))+(MONTH('Renovation Budget'!$F$13)-MONTH(Assumptions!$F$11))),AV$11&lt;=((12*(YEAR('Renovation Budget'!$F$13)-YEAR(Assumptions!$F$11))+(MONTH('Renovation Budget'!$F$13)-MONTH(Assumptions!$F$11)))+'Renovation Budget'!$G$13-1)),-'Renovation Budget'!$C$13/'Renovation Budget'!$G$13,0)</f>
        <v/>
      </c>
      <c r="AW83" s="228">
        <f>IF(AND(AW$11&gt;=(12*(YEAR('Renovation Budget'!$F$13)-YEAR(Assumptions!$F$11))+(MONTH('Renovation Budget'!$F$13)-MONTH(Assumptions!$F$11))),AW$11&lt;=((12*(YEAR('Renovation Budget'!$F$13)-YEAR(Assumptions!$F$11))+(MONTH('Renovation Budget'!$F$13)-MONTH(Assumptions!$F$11)))+'Renovation Budget'!$G$13-1)),-'Renovation Budget'!$C$13/'Renovation Budget'!$G$13,0)</f>
        <v/>
      </c>
      <c r="AX83" s="228">
        <f>IF(AND(AX$11&gt;=(12*(YEAR('Renovation Budget'!$F$13)-YEAR(Assumptions!$F$11))+(MONTH('Renovation Budget'!$F$13)-MONTH(Assumptions!$F$11))),AX$11&lt;=((12*(YEAR('Renovation Budget'!$F$13)-YEAR(Assumptions!$F$11))+(MONTH('Renovation Budget'!$F$13)-MONTH(Assumptions!$F$11)))+'Renovation Budget'!$G$13-1)),-'Renovation Budget'!$C$13/'Renovation Budget'!$G$13,0)</f>
        <v/>
      </c>
      <c r="AY83" s="228">
        <f>IF(AND(AY$11&gt;=(12*(YEAR('Renovation Budget'!$F$13)-YEAR(Assumptions!$F$11))+(MONTH('Renovation Budget'!$F$13)-MONTH(Assumptions!$F$11))),AY$11&lt;=((12*(YEAR('Renovation Budget'!$F$13)-YEAR(Assumptions!$F$11))+(MONTH('Renovation Budget'!$F$13)-MONTH(Assumptions!$F$11)))+'Renovation Budget'!$G$13-1)),-'Renovation Budget'!$C$13/'Renovation Budget'!$G$13,0)</f>
        <v/>
      </c>
      <c r="AZ83" s="228">
        <f>IF(AND(AZ$11&gt;=(12*(YEAR('Renovation Budget'!$F$13)-YEAR(Assumptions!$F$11))+(MONTH('Renovation Budget'!$F$13)-MONTH(Assumptions!$F$11))),AZ$11&lt;=((12*(YEAR('Renovation Budget'!$F$13)-YEAR(Assumptions!$F$11))+(MONTH('Renovation Budget'!$F$13)-MONTH(Assumptions!$F$11)))+'Renovation Budget'!$G$13-1)),-'Renovation Budget'!$C$13/'Renovation Budget'!$G$13,0)</f>
        <v/>
      </c>
      <c r="BA83" s="228">
        <f>IF(AND(BA$11&gt;=(12*(YEAR('Renovation Budget'!$F$13)-YEAR(Assumptions!$F$11))+(MONTH('Renovation Budget'!$F$13)-MONTH(Assumptions!$F$11))),BA$11&lt;=((12*(YEAR('Renovation Budget'!$F$13)-YEAR(Assumptions!$F$11))+(MONTH('Renovation Budget'!$F$13)-MONTH(Assumptions!$F$11)))+'Renovation Budget'!$G$13-1)),-'Renovation Budget'!$C$13/'Renovation Budget'!$G$13,0)</f>
        <v/>
      </c>
      <c r="BB83" s="228">
        <f>IF(AND(BB$11&gt;=(12*(YEAR('Renovation Budget'!$F$13)-YEAR(Assumptions!$F$11))+(MONTH('Renovation Budget'!$F$13)-MONTH(Assumptions!$F$11))),BB$11&lt;=((12*(YEAR('Renovation Budget'!$F$13)-YEAR(Assumptions!$F$11))+(MONTH('Renovation Budget'!$F$13)-MONTH(Assumptions!$F$11)))+'Renovation Budget'!$G$13-1)),-'Renovation Budget'!$C$13/'Renovation Budget'!$G$13,0)</f>
        <v/>
      </c>
      <c r="BC83" s="228">
        <f>IF(AND(BC$11&gt;=(12*(YEAR('Renovation Budget'!$F$13)-YEAR(Assumptions!$F$11))+(MONTH('Renovation Budget'!$F$13)-MONTH(Assumptions!$F$11))),BC$11&lt;=((12*(YEAR('Renovation Budget'!$F$13)-YEAR(Assumptions!$F$11))+(MONTH('Renovation Budget'!$F$13)-MONTH(Assumptions!$F$11)))+'Renovation Budget'!$G$13-1)),-'Renovation Budget'!$C$13/'Renovation Budget'!$G$13,0)</f>
        <v/>
      </c>
      <c r="BD83" s="228">
        <f>IF(AND(BD$11&gt;=(12*(YEAR('Renovation Budget'!$F$13)-YEAR(Assumptions!$F$11))+(MONTH('Renovation Budget'!$F$13)-MONTH(Assumptions!$F$11))),BD$11&lt;=((12*(YEAR('Renovation Budget'!$F$13)-YEAR(Assumptions!$F$11))+(MONTH('Renovation Budget'!$F$13)-MONTH(Assumptions!$F$11)))+'Renovation Budget'!$G$13-1)),-'Renovation Budget'!$C$13/'Renovation Budget'!$G$13,0)</f>
        <v/>
      </c>
      <c r="BE83" s="228">
        <f>IF(AND(BE$11&gt;=(12*(YEAR('Renovation Budget'!$F$13)-YEAR(Assumptions!$F$11))+(MONTH('Renovation Budget'!$F$13)-MONTH(Assumptions!$F$11))),BE$11&lt;=((12*(YEAR('Renovation Budget'!$F$13)-YEAR(Assumptions!$F$11))+(MONTH('Renovation Budget'!$F$13)-MONTH(Assumptions!$F$11)))+'Renovation Budget'!$G$13-1)),-'Renovation Budget'!$C$13/'Renovation Budget'!$G$13,0)</f>
        <v/>
      </c>
      <c r="BF83" s="228">
        <f>IF(AND(BF$11&gt;=(12*(YEAR('Renovation Budget'!$F$13)-YEAR(Assumptions!$F$11))+(MONTH('Renovation Budget'!$F$13)-MONTH(Assumptions!$F$11))),BF$11&lt;=((12*(YEAR('Renovation Budget'!$F$13)-YEAR(Assumptions!$F$11))+(MONTH('Renovation Budget'!$F$13)-MONTH(Assumptions!$F$11)))+'Renovation Budget'!$G$13-1)),-'Renovation Budget'!$C$13/'Renovation Budget'!$G$13,0)</f>
        <v/>
      </c>
      <c r="BG83" s="228">
        <f>IF(AND(BG$11&gt;=(12*(YEAR('Renovation Budget'!$F$13)-YEAR(Assumptions!$F$11))+(MONTH('Renovation Budget'!$F$13)-MONTH(Assumptions!$F$11))),BG$11&lt;=((12*(YEAR('Renovation Budget'!$F$13)-YEAR(Assumptions!$F$11))+(MONTH('Renovation Budget'!$F$13)-MONTH(Assumptions!$F$11)))+'Renovation Budget'!$G$13-1)),-'Renovation Budget'!$C$13/'Renovation Budget'!$G$13,0)</f>
        <v/>
      </c>
      <c r="BH83" s="228">
        <f>IF(AND(BH$11&gt;=(12*(YEAR('Renovation Budget'!$F$13)-YEAR(Assumptions!$F$11))+(MONTH('Renovation Budget'!$F$13)-MONTH(Assumptions!$F$11))),BH$11&lt;=((12*(YEAR('Renovation Budget'!$F$13)-YEAR(Assumptions!$F$11))+(MONTH('Renovation Budget'!$F$13)-MONTH(Assumptions!$F$11)))+'Renovation Budget'!$G$13-1)),-'Renovation Budget'!$C$13/'Renovation Budget'!$G$13,0)</f>
        <v/>
      </c>
      <c r="BI83" s="228">
        <f>IF(AND(BI$11&gt;=(12*(YEAR('Renovation Budget'!$F$13)-YEAR(Assumptions!$F$11))+(MONTH('Renovation Budget'!$F$13)-MONTH(Assumptions!$F$11))),BI$11&lt;=((12*(YEAR('Renovation Budget'!$F$13)-YEAR(Assumptions!$F$11))+(MONTH('Renovation Budget'!$F$13)-MONTH(Assumptions!$F$11)))+'Renovation Budget'!$G$13-1)),-'Renovation Budget'!$C$13/'Renovation Budget'!$G$13,0)</f>
        <v/>
      </c>
      <c r="BJ83" s="228">
        <f>IF(AND(BJ$11&gt;=(12*(YEAR('Renovation Budget'!$F$13)-YEAR(Assumptions!$F$11))+(MONTH('Renovation Budget'!$F$13)-MONTH(Assumptions!$F$11))),BJ$11&lt;=((12*(YEAR('Renovation Budget'!$F$13)-YEAR(Assumptions!$F$11))+(MONTH('Renovation Budget'!$F$13)-MONTH(Assumptions!$F$11)))+'Renovation Budget'!$G$13-1)),-'Renovation Budget'!$C$13/'Renovation Budget'!$G$13,0)</f>
        <v/>
      </c>
      <c r="BK83" s="228">
        <f>IF(AND(BK$11&gt;=(12*(YEAR('Renovation Budget'!$F$13)-YEAR(Assumptions!$F$11))+(MONTH('Renovation Budget'!$F$13)-MONTH(Assumptions!$F$11))),BK$11&lt;=((12*(YEAR('Renovation Budget'!$F$13)-YEAR(Assumptions!$F$11))+(MONTH('Renovation Budget'!$F$13)-MONTH(Assumptions!$F$11)))+'Renovation Budget'!$G$13-1)),-'Renovation Budget'!$C$13/'Renovation Budget'!$G$13,0)</f>
        <v/>
      </c>
      <c r="BL83" s="228">
        <f>IF(AND(BL$11&gt;=(12*(YEAR('Renovation Budget'!$F$13)-YEAR(Assumptions!$F$11))+(MONTH('Renovation Budget'!$F$13)-MONTH(Assumptions!$F$11))),BL$11&lt;=((12*(YEAR('Renovation Budget'!$F$13)-YEAR(Assumptions!$F$11))+(MONTH('Renovation Budget'!$F$13)-MONTH(Assumptions!$F$11)))+'Renovation Budget'!$G$13-1)),-'Renovation Budget'!$C$13/'Renovation Budget'!$G$13,0)</f>
        <v/>
      </c>
      <c r="BM83" s="228">
        <f>IF(AND(BM$11&gt;=(12*(YEAR('Renovation Budget'!$F$13)-YEAR(Assumptions!$F$11))+(MONTH('Renovation Budget'!$F$13)-MONTH(Assumptions!$F$11))),BM$11&lt;=((12*(YEAR('Renovation Budget'!$F$13)-YEAR(Assumptions!$F$11))+(MONTH('Renovation Budget'!$F$13)-MONTH(Assumptions!$F$11)))+'Renovation Budget'!$G$13-1)),-'Renovation Budget'!$C$13/'Renovation Budget'!$G$13,0)</f>
        <v/>
      </c>
      <c r="BN83" s="228">
        <f>IF(AND(BN$11&gt;=(12*(YEAR('Renovation Budget'!$F$13)-YEAR(Assumptions!$F$11))+(MONTH('Renovation Budget'!$F$13)-MONTH(Assumptions!$F$11))),BN$11&lt;=((12*(YEAR('Renovation Budget'!$F$13)-YEAR(Assumptions!$F$11))+(MONTH('Renovation Budget'!$F$13)-MONTH(Assumptions!$F$11)))+'Renovation Budget'!$G$13-1)),-'Renovation Budget'!$C$13/'Renovation Budget'!$G$13,0)</f>
        <v/>
      </c>
      <c r="BO83" s="228">
        <f>IF(AND(BO$11&gt;=(12*(YEAR('Renovation Budget'!$F$13)-YEAR(Assumptions!$F$11))+(MONTH('Renovation Budget'!$F$13)-MONTH(Assumptions!$F$11))),BO$11&lt;=((12*(YEAR('Renovation Budget'!$F$13)-YEAR(Assumptions!$F$11))+(MONTH('Renovation Budget'!$F$13)-MONTH(Assumptions!$F$11)))+'Renovation Budget'!$G$13-1)),-'Renovation Budget'!$C$13/'Renovation Budget'!$G$13,0)</f>
        <v/>
      </c>
      <c r="BP83" s="228">
        <f>IF(AND(BP$11&gt;=(12*(YEAR('Renovation Budget'!$F$13)-YEAR(Assumptions!$F$11))+(MONTH('Renovation Budget'!$F$13)-MONTH(Assumptions!$F$11))),BP$11&lt;=((12*(YEAR('Renovation Budget'!$F$13)-YEAR(Assumptions!$F$11))+(MONTH('Renovation Budget'!$F$13)-MONTH(Assumptions!$F$11)))+'Renovation Budget'!$G$13-1)),-'Renovation Budget'!$C$13/'Renovation Budget'!$G$13,0)</f>
        <v/>
      </c>
      <c r="BQ83" s="228">
        <f>IF(AND(BQ$11&gt;=(12*(YEAR('Renovation Budget'!$F$13)-YEAR(Assumptions!$F$11))+(MONTH('Renovation Budget'!$F$13)-MONTH(Assumptions!$F$11))),BQ$11&lt;=((12*(YEAR('Renovation Budget'!$F$13)-YEAR(Assumptions!$F$11))+(MONTH('Renovation Budget'!$F$13)-MONTH(Assumptions!$F$11)))+'Renovation Budget'!$G$13-1)),-'Renovation Budget'!$C$13/'Renovation Budget'!$G$13,0)</f>
        <v/>
      </c>
      <c r="BR83" s="228">
        <f>IF(AND(BR$11&gt;=(12*(YEAR('Renovation Budget'!$F$13)-YEAR(Assumptions!$F$11))+(MONTH('Renovation Budget'!$F$13)-MONTH(Assumptions!$F$11))),BR$11&lt;=((12*(YEAR('Renovation Budget'!$F$13)-YEAR(Assumptions!$F$11))+(MONTH('Renovation Budget'!$F$13)-MONTH(Assumptions!$F$11)))+'Renovation Budget'!$G$13-1)),-'Renovation Budget'!$C$13/'Renovation Budget'!$G$13,0)</f>
        <v/>
      </c>
      <c r="BS83" s="228">
        <f>IF(AND(BS$11&gt;=(12*(YEAR('Renovation Budget'!$F$13)-YEAR(Assumptions!$F$11))+(MONTH('Renovation Budget'!$F$13)-MONTH(Assumptions!$F$11))),BS$11&lt;=((12*(YEAR('Renovation Budget'!$F$13)-YEAR(Assumptions!$F$11))+(MONTH('Renovation Budget'!$F$13)-MONTH(Assumptions!$F$11)))+'Renovation Budget'!$G$13-1)),-'Renovation Budget'!$C$13/'Renovation Budget'!$G$13,0)</f>
        <v/>
      </c>
      <c r="BT83" s="228">
        <f>IF(AND(BT$11&gt;=(12*(YEAR('Renovation Budget'!$F$13)-YEAR(Assumptions!$F$11))+(MONTH('Renovation Budget'!$F$13)-MONTH(Assumptions!$F$11))),BT$11&lt;=((12*(YEAR('Renovation Budget'!$F$13)-YEAR(Assumptions!$F$11))+(MONTH('Renovation Budget'!$F$13)-MONTH(Assumptions!$F$11)))+'Renovation Budget'!$G$13-1)),-'Renovation Budget'!$C$13/'Renovation Budget'!$G$13,0)</f>
        <v/>
      </c>
      <c r="BU83" s="228">
        <f>IF(AND(BU$11&gt;=(12*(YEAR('Renovation Budget'!$F$13)-YEAR(Assumptions!$F$11))+(MONTH('Renovation Budget'!$F$13)-MONTH(Assumptions!$F$11))),BU$11&lt;=((12*(YEAR('Renovation Budget'!$F$13)-YEAR(Assumptions!$F$11))+(MONTH('Renovation Budget'!$F$13)-MONTH(Assumptions!$F$11)))+'Renovation Budget'!$G$13-1)),-'Renovation Budget'!$C$13/'Renovation Budget'!$G$13,0)</f>
        <v/>
      </c>
      <c r="BV83" s="228">
        <f>IF(AND(BV$11&gt;=(12*(YEAR('Renovation Budget'!$F$13)-YEAR(Assumptions!$F$11))+(MONTH('Renovation Budget'!$F$13)-MONTH(Assumptions!$F$11))),BV$11&lt;=((12*(YEAR('Renovation Budget'!$F$13)-YEAR(Assumptions!$F$11))+(MONTH('Renovation Budget'!$F$13)-MONTH(Assumptions!$F$11)))+'Renovation Budget'!$G$13-1)),-'Renovation Budget'!$C$13/'Renovation Budget'!$G$13,0)</f>
        <v/>
      </c>
      <c r="BW83" s="228">
        <f>IF(AND(BW$11&gt;=(12*(YEAR('Renovation Budget'!$F$13)-YEAR(Assumptions!$F$11))+(MONTH('Renovation Budget'!$F$13)-MONTH(Assumptions!$F$11))),BW$11&lt;=((12*(YEAR('Renovation Budget'!$F$13)-YEAR(Assumptions!$F$11))+(MONTH('Renovation Budget'!$F$13)-MONTH(Assumptions!$F$11)))+'Renovation Budget'!$G$13-1)),-'Renovation Budget'!$C$13/'Renovation Budget'!$G$13,0)</f>
        <v/>
      </c>
      <c r="BX83" s="228">
        <f>IF(AND(BX$11&gt;=(12*(YEAR('Renovation Budget'!$F$13)-YEAR(Assumptions!$F$11))+(MONTH('Renovation Budget'!$F$13)-MONTH(Assumptions!$F$11))),BX$11&lt;=((12*(YEAR('Renovation Budget'!$F$13)-YEAR(Assumptions!$F$11))+(MONTH('Renovation Budget'!$F$13)-MONTH(Assumptions!$F$11)))+'Renovation Budget'!$G$13-1)),-'Renovation Budget'!$C$13/'Renovation Budget'!$G$13,0)</f>
        <v/>
      </c>
      <c r="BY83" s="228">
        <f>IF(AND(BY$11&gt;=(12*(YEAR('Renovation Budget'!$F$13)-YEAR(Assumptions!$F$11))+(MONTH('Renovation Budget'!$F$13)-MONTH(Assumptions!$F$11))),BY$11&lt;=((12*(YEAR('Renovation Budget'!$F$13)-YEAR(Assumptions!$F$11))+(MONTH('Renovation Budget'!$F$13)-MONTH(Assumptions!$F$11)))+'Renovation Budget'!$G$13-1)),-'Renovation Budget'!$C$13/'Renovation Budget'!$G$13,0)</f>
        <v/>
      </c>
      <c r="BZ83" s="228">
        <f>IF(AND(BZ$11&gt;=(12*(YEAR('Renovation Budget'!$F$13)-YEAR(Assumptions!$F$11))+(MONTH('Renovation Budget'!$F$13)-MONTH(Assumptions!$F$11))),BZ$11&lt;=((12*(YEAR('Renovation Budget'!$F$13)-YEAR(Assumptions!$F$11))+(MONTH('Renovation Budget'!$F$13)-MONTH(Assumptions!$F$11)))+'Renovation Budget'!$G$13-1)),-'Renovation Budget'!$C$13/'Renovation Budget'!$G$13,0)</f>
        <v/>
      </c>
      <c r="CA83" s="228">
        <f>IF(AND(CA$11&gt;=(12*(YEAR('Renovation Budget'!$F$13)-YEAR(Assumptions!$F$11))+(MONTH('Renovation Budget'!$F$13)-MONTH(Assumptions!$F$11))),CA$11&lt;=((12*(YEAR('Renovation Budget'!$F$13)-YEAR(Assumptions!$F$11))+(MONTH('Renovation Budget'!$F$13)-MONTH(Assumptions!$F$11)))+'Renovation Budget'!$G$13-1)),-'Renovation Budget'!$C$13/'Renovation Budget'!$G$13,0)</f>
        <v/>
      </c>
      <c r="CB83" s="228">
        <f>IF(AND(CB$11&gt;=(12*(YEAR('Renovation Budget'!$F$13)-YEAR(Assumptions!$F$11))+(MONTH('Renovation Budget'!$F$13)-MONTH(Assumptions!$F$11))),CB$11&lt;=((12*(YEAR('Renovation Budget'!$F$13)-YEAR(Assumptions!$F$11))+(MONTH('Renovation Budget'!$F$13)-MONTH(Assumptions!$F$11)))+'Renovation Budget'!$G$13-1)),-'Renovation Budget'!$C$13/'Renovation Budget'!$G$13,0)</f>
        <v/>
      </c>
      <c r="CC83" s="228">
        <f>IF(AND(CC$11&gt;=(12*(YEAR('Renovation Budget'!$F$13)-YEAR(Assumptions!$F$11))+(MONTH('Renovation Budget'!$F$13)-MONTH(Assumptions!$F$11))),CC$11&lt;=((12*(YEAR('Renovation Budget'!$F$13)-YEAR(Assumptions!$F$11))+(MONTH('Renovation Budget'!$F$13)-MONTH(Assumptions!$F$11)))+'Renovation Budget'!$G$13-1)),-'Renovation Budget'!$C$13/'Renovation Budget'!$G$13,0)</f>
        <v/>
      </c>
      <c r="CD83" s="228">
        <f>IF(AND(CD$11&gt;=(12*(YEAR('Renovation Budget'!$F$13)-YEAR(Assumptions!$F$11))+(MONTH('Renovation Budget'!$F$13)-MONTH(Assumptions!$F$11))),CD$11&lt;=((12*(YEAR('Renovation Budget'!$F$13)-YEAR(Assumptions!$F$11))+(MONTH('Renovation Budget'!$F$13)-MONTH(Assumptions!$F$11)))+'Renovation Budget'!$G$13-1)),-'Renovation Budget'!$C$13/'Renovation Budget'!$G$13,0)</f>
        <v/>
      </c>
      <c r="CE83" s="228">
        <f>IF(AND(CE$11&gt;=(12*(YEAR('Renovation Budget'!$F$13)-YEAR(Assumptions!$F$11))+(MONTH('Renovation Budget'!$F$13)-MONTH(Assumptions!$F$11))),CE$11&lt;=((12*(YEAR('Renovation Budget'!$F$13)-YEAR(Assumptions!$F$11))+(MONTH('Renovation Budget'!$F$13)-MONTH(Assumptions!$F$11)))+'Renovation Budget'!$G$13-1)),-'Renovation Budget'!$C$13/'Renovation Budget'!$G$13,0)</f>
        <v/>
      </c>
      <c r="CF83" s="228">
        <f>IF(AND(CF$11&gt;=(12*(YEAR('Renovation Budget'!$F$13)-YEAR(Assumptions!$F$11))+(MONTH('Renovation Budget'!$F$13)-MONTH(Assumptions!$F$11))),CF$11&lt;=((12*(YEAR('Renovation Budget'!$F$13)-YEAR(Assumptions!$F$11))+(MONTH('Renovation Budget'!$F$13)-MONTH(Assumptions!$F$11)))+'Renovation Budget'!$G$13-1)),-'Renovation Budget'!$C$13/'Renovation Budget'!$G$13,0)</f>
        <v/>
      </c>
      <c r="CG83" s="228">
        <f>IF(AND(CG$11&gt;=(12*(YEAR('Renovation Budget'!$F$13)-YEAR(Assumptions!$F$11))+(MONTH('Renovation Budget'!$F$13)-MONTH(Assumptions!$F$11))),CG$11&lt;=((12*(YEAR('Renovation Budget'!$F$13)-YEAR(Assumptions!$F$11))+(MONTH('Renovation Budget'!$F$13)-MONTH(Assumptions!$F$11)))+'Renovation Budget'!$G$13-1)),-'Renovation Budget'!$C$13/'Renovation Budget'!$G$13,0)</f>
        <v/>
      </c>
      <c r="CH83" s="228">
        <f>IF(AND(CH$11&gt;=(12*(YEAR('Renovation Budget'!$F$13)-YEAR(Assumptions!$F$11))+(MONTH('Renovation Budget'!$F$13)-MONTH(Assumptions!$F$11))),CH$11&lt;=((12*(YEAR('Renovation Budget'!$F$13)-YEAR(Assumptions!$F$11))+(MONTH('Renovation Budget'!$F$13)-MONTH(Assumptions!$F$11)))+'Renovation Budget'!$G$13-1)),-'Renovation Budget'!$C$13/'Renovation Budget'!$G$13,0)</f>
        <v/>
      </c>
      <c r="CI83" s="228">
        <f>IF(AND(CI$11&gt;=(12*(YEAR('Renovation Budget'!$F$13)-YEAR(Assumptions!$F$11))+(MONTH('Renovation Budget'!$F$13)-MONTH(Assumptions!$F$11))),CI$11&lt;=((12*(YEAR('Renovation Budget'!$F$13)-YEAR(Assumptions!$F$11))+(MONTH('Renovation Budget'!$F$13)-MONTH(Assumptions!$F$11)))+'Renovation Budget'!$G$13-1)),-'Renovation Budget'!$C$13/'Renovation Budget'!$G$13,0)</f>
        <v/>
      </c>
      <c r="CJ83" s="228">
        <f>IF(AND(CJ$11&gt;=(12*(YEAR('Renovation Budget'!$F$13)-YEAR(Assumptions!$F$11))+(MONTH('Renovation Budget'!$F$13)-MONTH(Assumptions!$F$11))),CJ$11&lt;=((12*(YEAR('Renovation Budget'!$F$13)-YEAR(Assumptions!$F$11))+(MONTH('Renovation Budget'!$F$13)-MONTH(Assumptions!$F$11)))+'Renovation Budget'!$G$13-1)),-'Renovation Budget'!$C$13/'Renovation Budget'!$G$13,0)</f>
        <v/>
      </c>
      <c r="CK83" s="228">
        <f>IF(AND(CK$11&gt;=(12*(YEAR('Renovation Budget'!$F$13)-YEAR(Assumptions!$F$11))+(MONTH('Renovation Budget'!$F$13)-MONTH(Assumptions!$F$11))),CK$11&lt;=((12*(YEAR('Renovation Budget'!$F$13)-YEAR(Assumptions!$F$11))+(MONTH('Renovation Budget'!$F$13)-MONTH(Assumptions!$F$11)))+'Renovation Budget'!$G$13-1)),-'Renovation Budget'!$C$13/'Renovation Budget'!$G$13,0)</f>
        <v/>
      </c>
      <c r="CL83" s="228">
        <f>IF(AND(CL$11&gt;=(12*(YEAR('Renovation Budget'!$F$13)-YEAR(Assumptions!$F$11))+(MONTH('Renovation Budget'!$F$13)-MONTH(Assumptions!$F$11))),CL$11&lt;=((12*(YEAR('Renovation Budget'!$F$13)-YEAR(Assumptions!$F$11))+(MONTH('Renovation Budget'!$F$13)-MONTH(Assumptions!$F$11)))+'Renovation Budget'!$G$13-1)),-'Renovation Budget'!$C$13/'Renovation Budget'!$G$13,0)</f>
        <v/>
      </c>
      <c r="CM83" s="228">
        <f>IF(AND(CM$11&gt;=(12*(YEAR('Renovation Budget'!$F$13)-YEAR(Assumptions!$F$11))+(MONTH('Renovation Budget'!$F$13)-MONTH(Assumptions!$F$11))),CM$11&lt;=((12*(YEAR('Renovation Budget'!$F$13)-YEAR(Assumptions!$F$11))+(MONTH('Renovation Budget'!$F$13)-MONTH(Assumptions!$F$11)))+'Renovation Budget'!$G$13-1)),-'Renovation Budget'!$C$13/'Renovation Budget'!$G$13,0)</f>
        <v/>
      </c>
      <c r="CN83" s="228">
        <f>IF(AND(CN$11&gt;=(12*(YEAR('Renovation Budget'!$F$13)-YEAR(Assumptions!$F$11))+(MONTH('Renovation Budget'!$F$13)-MONTH(Assumptions!$F$11))),CN$11&lt;=((12*(YEAR('Renovation Budget'!$F$13)-YEAR(Assumptions!$F$11))+(MONTH('Renovation Budget'!$F$13)-MONTH(Assumptions!$F$11)))+'Renovation Budget'!$G$13-1)),-'Renovation Budget'!$C$13/'Renovation Budget'!$G$13,0)</f>
        <v/>
      </c>
      <c r="CO83" s="228">
        <f>IF(AND(CO$11&gt;=(12*(YEAR('Renovation Budget'!$F$13)-YEAR(Assumptions!$F$11))+(MONTH('Renovation Budget'!$F$13)-MONTH(Assumptions!$F$11))),CO$11&lt;=((12*(YEAR('Renovation Budget'!$F$13)-YEAR(Assumptions!$F$11))+(MONTH('Renovation Budget'!$F$13)-MONTH(Assumptions!$F$11)))+'Renovation Budget'!$G$13-1)),-'Renovation Budget'!$C$13/'Renovation Budget'!$G$13,0)</f>
        <v/>
      </c>
      <c r="CP83" s="228">
        <f>IF(AND(CP$11&gt;=(12*(YEAR('Renovation Budget'!$F$13)-YEAR(Assumptions!$F$11))+(MONTH('Renovation Budget'!$F$13)-MONTH(Assumptions!$F$11))),CP$11&lt;=((12*(YEAR('Renovation Budget'!$F$13)-YEAR(Assumptions!$F$11))+(MONTH('Renovation Budget'!$F$13)-MONTH(Assumptions!$F$11)))+'Renovation Budget'!$G$13-1)),-'Renovation Budget'!$C$13/'Renovation Budget'!$G$13,0)</f>
        <v/>
      </c>
      <c r="CQ83" s="228">
        <f>IF(AND(CQ$11&gt;=(12*(YEAR('Renovation Budget'!$F$13)-YEAR(Assumptions!$F$11))+(MONTH('Renovation Budget'!$F$13)-MONTH(Assumptions!$F$11))),CQ$11&lt;=((12*(YEAR('Renovation Budget'!$F$13)-YEAR(Assumptions!$F$11))+(MONTH('Renovation Budget'!$F$13)-MONTH(Assumptions!$F$11)))+'Renovation Budget'!$G$13-1)),-'Renovation Budget'!$C$13/'Renovation Budget'!$G$13,0)</f>
        <v/>
      </c>
      <c r="CR83" s="228">
        <f>IF(AND(CR$11&gt;=(12*(YEAR('Renovation Budget'!$F$13)-YEAR(Assumptions!$F$11))+(MONTH('Renovation Budget'!$F$13)-MONTH(Assumptions!$F$11))),CR$11&lt;=((12*(YEAR('Renovation Budget'!$F$13)-YEAR(Assumptions!$F$11))+(MONTH('Renovation Budget'!$F$13)-MONTH(Assumptions!$F$11)))+'Renovation Budget'!$G$13-1)),-'Renovation Budget'!$C$13/'Renovation Budget'!$G$13,0)</f>
        <v/>
      </c>
      <c r="CS83" s="228">
        <f>IF(AND(CS$11&gt;=(12*(YEAR('Renovation Budget'!$F$13)-YEAR(Assumptions!$F$11))+(MONTH('Renovation Budget'!$F$13)-MONTH(Assumptions!$F$11))),CS$11&lt;=((12*(YEAR('Renovation Budget'!$F$13)-YEAR(Assumptions!$F$11))+(MONTH('Renovation Budget'!$F$13)-MONTH(Assumptions!$F$11)))+'Renovation Budget'!$G$13-1)),-'Renovation Budget'!$C$13/'Renovation Budget'!$G$13,0)</f>
        <v/>
      </c>
      <c r="CT83" s="228">
        <f>IF(AND(CT$11&gt;=(12*(YEAR('Renovation Budget'!$F$13)-YEAR(Assumptions!$F$11))+(MONTH('Renovation Budget'!$F$13)-MONTH(Assumptions!$F$11))),CT$11&lt;=((12*(YEAR('Renovation Budget'!$F$13)-YEAR(Assumptions!$F$11))+(MONTH('Renovation Budget'!$F$13)-MONTH(Assumptions!$F$11)))+'Renovation Budget'!$G$13-1)),-'Renovation Budget'!$C$13/'Renovation Budget'!$G$13,0)</f>
        <v/>
      </c>
      <c r="CU83" s="228">
        <f>IF(AND(CU$11&gt;=(12*(YEAR('Renovation Budget'!$F$13)-YEAR(Assumptions!$F$11))+(MONTH('Renovation Budget'!$F$13)-MONTH(Assumptions!$F$11))),CU$11&lt;=((12*(YEAR('Renovation Budget'!$F$13)-YEAR(Assumptions!$F$11))+(MONTH('Renovation Budget'!$F$13)-MONTH(Assumptions!$F$11)))+'Renovation Budget'!$G$13-1)),-'Renovation Budget'!$C$13/'Renovation Budget'!$G$13,0)</f>
        <v/>
      </c>
      <c r="CV83" s="228">
        <f>IF(AND(CV$11&gt;=(12*(YEAR('Renovation Budget'!$F$13)-YEAR(Assumptions!$F$11))+(MONTH('Renovation Budget'!$F$13)-MONTH(Assumptions!$F$11))),CV$11&lt;=((12*(YEAR('Renovation Budget'!$F$13)-YEAR(Assumptions!$F$11))+(MONTH('Renovation Budget'!$F$13)-MONTH(Assumptions!$F$11)))+'Renovation Budget'!$G$13-1)),-'Renovation Budget'!$C$13/'Renovation Budget'!$G$13,0)</f>
        <v/>
      </c>
      <c r="CW83" s="228">
        <f>IF(AND(CW$11&gt;=(12*(YEAR('Renovation Budget'!$F$13)-YEAR(Assumptions!$F$11))+(MONTH('Renovation Budget'!$F$13)-MONTH(Assumptions!$F$11))),CW$11&lt;=((12*(YEAR('Renovation Budget'!$F$13)-YEAR(Assumptions!$F$11))+(MONTH('Renovation Budget'!$F$13)-MONTH(Assumptions!$F$11)))+'Renovation Budget'!$G$13-1)),-'Renovation Budget'!$C$13/'Renovation Budget'!$G$13,0)</f>
        <v/>
      </c>
      <c r="CX83" s="228">
        <f>IF(AND(CX$11&gt;=(12*(YEAR('Renovation Budget'!$F$13)-YEAR(Assumptions!$F$11))+(MONTH('Renovation Budget'!$F$13)-MONTH(Assumptions!$F$11))),CX$11&lt;=((12*(YEAR('Renovation Budget'!$F$13)-YEAR(Assumptions!$F$11))+(MONTH('Renovation Budget'!$F$13)-MONTH(Assumptions!$F$11)))+'Renovation Budget'!$G$13-1)),-'Renovation Budget'!$C$13/'Renovation Budget'!$G$13,0)</f>
        <v/>
      </c>
      <c r="CY83" s="228">
        <f>IF(AND(CY$11&gt;=(12*(YEAR('Renovation Budget'!$F$13)-YEAR(Assumptions!$F$11))+(MONTH('Renovation Budget'!$F$13)-MONTH(Assumptions!$F$11))),CY$11&lt;=((12*(YEAR('Renovation Budget'!$F$13)-YEAR(Assumptions!$F$11))+(MONTH('Renovation Budget'!$F$13)-MONTH(Assumptions!$F$11)))+'Renovation Budget'!$G$13-1)),-'Renovation Budget'!$C$13/'Renovation Budget'!$G$13,0)</f>
        <v/>
      </c>
      <c r="CZ83" s="228">
        <f>IF(AND(CZ$11&gt;=(12*(YEAR('Renovation Budget'!$F$13)-YEAR(Assumptions!$F$11))+(MONTH('Renovation Budget'!$F$13)-MONTH(Assumptions!$F$11))),CZ$11&lt;=((12*(YEAR('Renovation Budget'!$F$13)-YEAR(Assumptions!$F$11))+(MONTH('Renovation Budget'!$F$13)-MONTH(Assumptions!$F$11)))+'Renovation Budget'!$G$13-1)),-'Renovation Budget'!$C$13/'Renovation Budget'!$G$13,0)</f>
        <v/>
      </c>
      <c r="DA83" s="228">
        <f>IF(AND(DA$11&gt;=(12*(YEAR('Renovation Budget'!$F$13)-YEAR(Assumptions!$F$11))+(MONTH('Renovation Budget'!$F$13)-MONTH(Assumptions!$F$11))),DA$11&lt;=((12*(YEAR('Renovation Budget'!$F$13)-YEAR(Assumptions!$F$11))+(MONTH('Renovation Budget'!$F$13)-MONTH(Assumptions!$F$11)))+'Renovation Budget'!$G$13-1)),-'Renovation Budget'!$C$13/'Renovation Budget'!$G$13,0)</f>
        <v/>
      </c>
      <c r="DB83" s="228">
        <f>IF(AND(DB$11&gt;=(12*(YEAR('Renovation Budget'!$F$13)-YEAR(Assumptions!$F$11))+(MONTH('Renovation Budget'!$F$13)-MONTH(Assumptions!$F$11))),DB$11&lt;=((12*(YEAR('Renovation Budget'!$F$13)-YEAR(Assumptions!$F$11))+(MONTH('Renovation Budget'!$F$13)-MONTH(Assumptions!$F$11)))+'Renovation Budget'!$G$13-1)),-'Renovation Budget'!$C$13/'Renovation Budget'!$G$13,0)</f>
        <v/>
      </c>
      <c r="DC83" s="228">
        <f>IF(AND(DC$11&gt;=(12*(YEAR('Renovation Budget'!$F$13)-YEAR(Assumptions!$F$11))+(MONTH('Renovation Budget'!$F$13)-MONTH(Assumptions!$F$11))),DC$11&lt;=((12*(YEAR('Renovation Budget'!$F$13)-YEAR(Assumptions!$F$11))+(MONTH('Renovation Budget'!$F$13)-MONTH(Assumptions!$F$11)))+'Renovation Budget'!$G$13-1)),-'Renovation Budget'!$C$13/'Renovation Budget'!$G$13,0)</f>
        <v/>
      </c>
      <c r="DD83" s="228">
        <f>IF(AND(DD$11&gt;=(12*(YEAR('Renovation Budget'!$F$13)-YEAR(Assumptions!$F$11))+(MONTH('Renovation Budget'!$F$13)-MONTH(Assumptions!$F$11))),DD$11&lt;=((12*(YEAR('Renovation Budget'!$F$13)-YEAR(Assumptions!$F$11))+(MONTH('Renovation Budget'!$F$13)-MONTH(Assumptions!$F$11)))+'Renovation Budget'!$G$13-1)),-'Renovation Budget'!$C$13/'Renovation Budget'!$G$13,0)</f>
        <v/>
      </c>
      <c r="DE83" s="228">
        <f>IF(AND(DE$11&gt;=(12*(YEAR('Renovation Budget'!$F$13)-YEAR(Assumptions!$F$11))+(MONTH('Renovation Budget'!$F$13)-MONTH(Assumptions!$F$11))),DE$11&lt;=((12*(YEAR('Renovation Budget'!$F$13)-YEAR(Assumptions!$F$11))+(MONTH('Renovation Budget'!$F$13)-MONTH(Assumptions!$F$11)))+'Renovation Budget'!$G$13-1)),-'Renovation Budget'!$C$13/'Renovation Budget'!$G$13,0)</f>
        <v/>
      </c>
      <c r="DF83" s="228">
        <f>IF(AND(DF$11&gt;=(12*(YEAR('Renovation Budget'!$F$13)-YEAR(Assumptions!$F$11))+(MONTH('Renovation Budget'!$F$13)-MONTH(Assumptions!$F$11))),DF$11&lt;=((12*(YEAR('Renovation Budget'!$F$13)-YEAR(Assumptions!$F$11))+(MONTH('Renovation Budget'!$F$13)-MONTH(Assumptions!$F$11)))+'Renovation Budget'!$G$13-1)),-'Renovation Budget'!$C$13/'Renovation Budget'!$G$13,0)</f>
        <v/>
      </c>
      <c r="DG83" s="228">
        <f>IF(AND(DG$11&gt;=(12*(YEAR('Renovation Budget'!$F$13)-YEAR(Assumptions!$F$11))+(MONTH('Renovation Budget'!$F$13)-MONTH(Assumptions!$F$11))),DG$11&lt;=((12*(YEAR('Renovation Budget'!$F$13)-YEAR(Assumptions!$F$11))+(MONTH('Renovation Budget'!$F$13)-MONTH(Assumptions!$F$11)))+'Renovation Budget'!$G$13-1)),-'Renovation Budget'!$C$13/'Renovation Budget'!$G$13,0)</f>
        <v/>
      </c>
      <c r="DH83" s="228">
        <f>IF(AND(DH$11&gt;=(12*(YEAR('Renovation Budget'!$F$13)-YEAR(Assumptions!$F$11))+(MONTH('Renovation Budget'!$F$13)-MONTH(Assumptions!$F$11))),DH$11&lt;=((12*(YEAR('Renovation Budget'!$F$13)-YEAR(Assumptions!$F$11))+(MONTH('Renovation Budget'!$F$13)-MONTH(Assumptions!$F$11)))+'Renovation Budget'!$G$13-1)),-'Renovation Budget'!$C$13/'Renovation Budget'!$G$13,0)</f>
        <v/>
      </c>
      <c r="DI83" s="228">
        <f>IF(AND(DI$11&gt;=(12*(YEAR('Renovation Budget'!$F$13)-YEAR(Assumptions!$F$11))+(MONTH('Renovation Budget'!$F$13)-MONTH(Assumptions!$F$11))),DI$11&lt;=((12*(YEAR('Renovation Budget'!$F$13)-YEAR(Assumptions!$F$11))+(MONTH('Renovation Budget'!$F$13)-MONTH(Assumptions!$F$11)))+'Renovation Budget'!$G$13-1)),-'Renovation Budget'!$C$13/'Renovation Budget'!$G$13,0)</f>
        <v/>
      </c>
      <c r="DJ83" s="228">
        <f>IF(AND(DJ$11&gt;=(12*(YEAR('Renovation Budget'!$F$13)-YEAR(Assumptions!$F$11))+(MONTH('Renovation Budget'!$F$13)-MONTH(Assumptions!$F$11))),DJ$11&lt;=((12*(YEAR('Renovation Budget'!$F$13)-YEAR(Assumptions!$F$11))+(MONTH('Renovation Budget'!$F$13)-MONTH(Assumptions!$F$11)))+'Renovation Budget'!$G$13-1)),-'Renovation Budget'!$C$13/'Renovation Budget'!$G$13,0)</f>
        <v/>
      </c>
      <c r="DK83" s="228">
        <f>IF(AND(DK$11&gt;=(12*(YEAR('Renovation Budget'!$F$13)-YEAR(Assumptions!$F$11))+(MONTH('Renovation Budget'!$F$13)-MONTH(Assumptions!$F$11))),DK$11&lt;=((12*(YEAR('Renovation Budget'!$F$13)-YEAR(Assumptions!$F$11))+(MONTH('Renovation Budget'!$F$13)-MONTH(Assumptions!$F$11)))+'Renovation Budget'!$G$13-1)),-'Renovation Budget'!$C$13/'Renovation Budget'!$G$13,0)</f>
        <v/>
      </c>
      <c r="DL83" s="228">
        <f>IF(AND(DL$11&gt;=(12*(YEAR('Renovation Budget'!$F$13)-YEAR(Assumptions!$F$11))+(MONTH('Renovation Budget'!$F$13)-MONTH(Assumptions!$F$11))),DL$11&lt;=((12*(YEAR('Renovation Budget'!$F$13)-YEAR(Assumptions!$F$11))+(MONTH('Renovation Budget'!$F$13)-MONTH(Assumptions!$F$11)))+'Renovation Budget'!$G$13-1)),-'Renovation Budget'!$C$13/'Renovation Budget'!$G$13,0)</f>
        <v/>
      </c>
      <c r="DM83" s="228">
        <f>IF(AND(DM$11&gt;=(12*(YEAR('Renovation Budget'!$F$13)-YEAR(Assumptions!$F$11))+(MONTH('Renovation Budget'!$F$13)-MONTH(Assumptions!$F$11))),DM$11&lt;=((12*(YEAR('Renovation Budget'!$F$13)-YEAR(Assumptions!$F$11))+(MONTH('Renovation Budget'!$F$13)-MONTH(Assumptions!$F$11)))+'Renovation Budget'!$G$13-1)),-'Renovation Budget'!$C$13/'Renovation Budget'!$G$13,0)</f>
        <v/>
      </c>
      <c r="DN83" s="228">
        <f>IF(AND(DN$11&gt;=(12*(YEAR('Renovation Budget'!$F$13)-YEAR(Assumptions!$F$11))+(MONTH('Renovation Budget'!$F$13)-MONTH(Assumptions!$F$11))),DN$11&lt;=((12*(YEAR('Renovation Budget'!$F$13)-YEAR(Assumptions!$F$11))+(MONTH('Renovation Budget'!$F$13)-MONTH(Assumptions!$F$11)))+'Renovation Budget'!$G$13-1)),-'Renovation Budget'!$C$13/'Renovation Budget'!$G$13,0)</f>
        <v/>
      </c>
      <c r="DO83" s="228">
        <f>IF(AND(DO$11&gt;=(12*(YEAR('Renovation Budget'!$F$13)-YEAR(Assumptions!$F$11))+(MONTH('Renovation Budget'!$F$13)-MONTH(Assumptions!$F$11))),DO$11&lt;=((12*(YEAR('Renovation Budget'!$F$13)-YEAR(Assumptions!$F$11))+(MONTH('Renovation Budget'!$F$13)-MONTH(Assumptions!$F$11)))+'Renovation Budget'!$G$13-1)),-'Renovation Budget'!$C$13/'Renovation Budget'!$G$13,0)</f>
        <v/>
      </c>
      <c r="DP83" s="228">
        <f>IF(AND(DP$11&gt;=(12*(YEAR('Renovation Budget'!$F$13)-YEAR(Assumptions!$F$11))+(MONTH('Renovation Budget'!$F$13)-MONTH(Assumptions!$F$11))),DP$11&lt;=((12*(YEAR('Renovation Budget'!$F$13)-YEAR(Assumptions!$F$11))+(MONTH('Renovation Budget'!$F$13)-MONTH(Assumptions!$F$11)))+'Renovation Budget'!$G$13-1)),-'Renovation Budget'!$C$13/'Renovation Budget'!$G$13,0)</f>
        <v/>
      </c>
      <c r="DQ83" s="228">
        <f>IF(AND(DQ$11&gt;=(12*(YEAR('Renovation Budget'!$F$13)-YEAR(Assumptions!$F$11))+(MONTH('Renovation Budget'!$F$13)-MONTH(Assumptions!$F$11))),DQ$11&lt;=((12*(YEAR('Renovation Budget'!$F$13)-YEAR(Assumptions!$F$11))+(MONTH('Renovation Budget'!$F$13)-MONTH(Assumptions!$F$11)))+'Renovation Budget'!$G$13-1)),-'Renovation Budget'!$C$13/'Renovation Budget'!$G$13,0)</f>
        <v/>
      </c>
      <c r="DR83" s="228">
        <f>IF(AND(DR$11&gt;=(12*(YEAR('Renovation Budget'!$F$13)-YEAR(Assumptions!$F$11))+(MONTH('Renovation Budget'!$F$13)-MONTH(Assumptions!$F$11))),DR$11&lt;=((12*(YEAR('Renovation Budget'!$F$13)-YEAR(Assumptions!$F$11))+(MONTH('Renovation Budget'!$F$13)-MONTH(Assumptions!$F$11)))+'Renovation Budget'!$G$13-1)),-'Renovation Budget'!$C$13/'Renovation Budget'!$G$13,0)</f>
        <v/>
      </c>
      <c r="DS83" s="228">
        <f>IF(AND(DS$11&gt;=(12*(YEAR('Renovation Budget'!$F$13)-YEAR(Assumptions!$F$11))+(MONTH('Renovation Budget'!$F$13)-MONTH(Assumptions!$F$11))),DS$11&lt;=((12*(YEAR('Renovation Budget'!$F$13)-YEAR(Assumptions!$F$11))+(MONTH('Renovation Budget'!$F$13)-MONTH(Assumptions!$F$11)))+'Renovation Budget'!$G$13-1)),-'Renovation Budget'!$C$13/'Renovation Budget'!$G$13,0)</f>
        <v/>
      </c>
      <c r="DT83" s="228">
        <f>IF(AND(DT$11&gt;=(12*(YEAR('Renovation Budget'!$F$13)-YEAR(Assumptions!$F$11))+(MONTH('Renovation Budget'!$F$13)-MONTH(Assumptions!$F$11))),DT$11&lt;=((12*(YEAR('Renovation Budget'!$F$13)-YEAR(Assumptions!$F$11))+(MONTH('Renovation Budget'!$F$13)-MONTH(Assumptions!$F$11)))+'Renovation Budget'!$G$13-1)),-'Renovation Budget'!$C$13/'Renovation Budget'!$G$13,0)</f>
        <v/>
      </c>
    </row>
    <row r="84" ht="15" customHeight="1" s="148">
      <c r="A84" s="112" t="inlineStr">
        <is>
          <t>Garage - Above Grade</t>
        </is>
      </c>
      <c r="C84" s="228">
        <f>SUM(D84:DT84)</f>
        <v/>
      </c>
      <c r="D84" s="228">
        <f>IF(AND(D$11&gt;=(12*(YEAR('Renovation Budget'!$F$14)-YEAR(Assumptions!$F$11))+(MONTH('Renovation Budget'!$F$14)-MONTH(Assumptions!$F$11))),D$11&lt;=((12*(YEAR('Renovation Budget'!$F$14)-YEAR(Assumptions!$F$11))+(MONTH('Renovation Budget'!$F$14)-MONTH(Assumptions!$F$11)))+'Renovation Budget'!$G$14-1)),-'Renovation Budget'!$C$14/'Renovation Budget'!$G$14,0)</f>
        <v/>
      </c>
      <c r="E84" s="228">
        <f>IF(AND(E$11&gt;=(12*(YEAR('Renovation Budget'!$F$14)-YEAR(Assumptions!$F$11))+(MONTH('Renovation Budget'!$F$14)-MONTH(Assumptions!$F$11))),E$11&lt;=((12*(YEAR('Renovation Budget'!$F$14)-YEAR(Assumptions!$F$11))+(MONTH('Renovation Budget'!$F$14)-MONTH(Assumptions!$F$11)))+'Renovation Budget'!$G$14-1)),-'Renovation Budget'!$C$14/'Renovation Budget'!$G$14,0)</f>
        <v/>
      </c>
      <c r="F84" s="228">
        <f>IF(AND(F$11&gt;=(12*(YEAR('Renovation Budget'!$F$14)-YEAR(Assumptions!$F$11))+(MONTH('Renovation Budget'!$F$14)-MONTH(Assumptions!$F$11))),F$11&lt;=((12*(YEAR('Renovation Budget'!$F$14)-YEAR(Assumptions!$F$11))+(MONTH('Renovation Budget'!$F$14)-MONTH(Assumptions!$F$11)))+'Renovation Budget'!$G$14-1)),-'Renovation Budget'!$C$14/'Renovation Budget'!$G$14,0)</f>
        <v/>
      </c>
      <c r="G84" s="228">
        <f>IF(AND(G$11&gt;=(12*(YEAR('Renovation Budget'!$F$14)-YEAR(Assumptions!$F$11))+(MONTH('Renovation Budget'!$F$14)-MONTH(Assumptions!$F$11))),G$11&lt;=((12*(YEAR('Renovation Budget'!$F$14)-YEAR(Assumptions!$F$11))+(MONTH('Renovation Budget'!$F$14)-MONTH(Assumptions!$F$11)))+'Renovation Budget'!$G$14-1)),-'Renovation Budget'!$C$14/'Renovation Budget'!$G$14,0)</f>
        <v/>
      </c>
      <c r="H84" s="228">
        <f>IF(AND(H$11&gt;=(12*(YEAR('Renovation Budget'!$F$14)-YEAR(Assumptions!$F$11))+(MONTH('Renovation Budget'!$F$14)-MONTH(Assumptions!$F$11))),H$11&lt;=((12*(YEAR('Renovation Budget'!$F$14)-YEAR(Assumptions!$F$11))+(MONTH('Renovation Budget'!$F$14)-MONTH(Assumptions!$F$11)))+'Renovation Budget'!$G$14-1)),-'Renovation Budget'!$C$14/'Renovation Budget'!$G$14,0)</f>
        <v/>
      </c>
      <c r="I84" s="228">
        <f>IF(AND(I$11&gt;=(12*(YEAR('Renovation Budget'!$F$14)-YEAR(Assumptions!$F$11))+(MONTH('Renovation Budget'!$F$14)-MONTH(Assumptions!$F$11))),I$11&lt;=((12*(YEAR('Renovation Budget'!$F$14)-YEAR(Assumptions!$F$11))+(MONTH('Renovation Budget'!$F$14)-MONTH(Assumptions!$F$11)))+'Renovation Budget'!$G$14-1)),-'Renovation Budget'!$C$14/'Renovation Budget'!$G$14,0)</f>
        <v/>
      </c>
      <c r="J84" s="228">
        <f>IF(AND(J$11&gt;=(12*(YEAR('Renovation Budget'!$F$14)-YEAR(Assumptions!$F$11))+(MONTH('Renovation Budget'!$F$14)-MONTH(Assumptions!$F$11))),J$11&lt;=((12*(YEAR('Renovation Budget'!$F$14)-YEAR(Assumptions!$F$11))+(MONTH('Renovation Budget'!$F$14)-MONTH(Assumptions!$F$11)))+'Renovation Budget'!$G$14-1)),-'Renovation Budget'!$C$14/'Renovation Budget'!$G$14,0)</f>
        <v/>
      </c>
      <c r="K84" s="228">
        <f>IF(AND(K$11&gt;=(12*(YEAR('Renovation Budget'!$F$14)-YEAR(Assumptions!$F$11))+(MONTH('Renovation Budget'!$F$14)-MONTH(Assumptions!$F$11))),K$11&lt;=((12*(YEAR('Renovation Budget'!$F$14)-YEAR(Assumptions!$F$11))+(MONTH('Renovation Budget'!$F$14)-MONTH(Assumptions!$F$11)))+'Renovation Budget'!$G$14-1)),-'Renovation Budget'!$C$14/'Renovation Budget'!$G$14,0)</f>
        <v/>
      </c>
      <c r="L84" s="228">
        <f>IF(AND(L$11&gt;=(12*(YEAR('Renovation Budget'!$F$14)-YEAR(Assumptions!$F$11))+(MONTH('Renovation Budget'!$F$14)-MONTH(Assumptions!$F$11))),L$11&lt;=((12*(YEAR('Renovation Budget'!$F$14)-YEAR(Assumptions!$F$11))+(MONTH('Renovation Budget'!$F$14)-MONTH(Assumptions!$F$11)))+'Renovation Budget'!$G$14-1)),-'Renovation Budget'!$C$14/'Renovation Budget'!$G$14,0)</f>
        <v/>
      </c>
      <c r="M84" s="228">
        <f>IF(AND(M$11&gt;=(12*(YEAR('Renovation Budget'!$F$14)-YEAR(Assumptions!$F$11))+(MONTH('Renovation Budget'!$F$14)-MONTH(Assumptions!$F$11))),M$11&lt;=((12*(YEAR('Renovation Budget'!$F$14)-YEAR(Assumptions!$F$11))+(MONTH('Renovation Budget'!$F$14)-MONTH(Assumptions!$F$11)))+'Renovation Budget'!$G$14-1)),-'Renovation Budget'!$C$14/'Renovation Budget'!$G$14,0)</f>
        <v/>
      </c>
      <c r="N84" s="228">
        <f>IF(AND(N$11&gt;=(12*(YEAR('Renovation Budget'!$F$14)-YEAR(Assumptions!$F$11))+(MONTH('Renovation Budget'!$F$14)-MONTH(Assumptions!$F$11))),N$11&lt;=((12*(YEAR('Renovation Budget'!$F$14)-YEAR(Assumptions!$F$11))+(MONTH('Renovation Budget'!$F$14)-MONTH(Assumptions!$F$11)))+'Renovation Budget'!$G$14-1)),-'Renovation Budget'!$C$14/'Renovation Budget'!$G$14,0)</f>
        <v/>
      </c>
      <c r="O84" s="228">
        <f>IF(AND(O$11&gt;=(12*(YEAR('Renovation Budget'!$F$14)-YEAR(Assumptions!$F$11))+(MONTH('Renovation Budget'!$F$14)-MONTH(Assumptions!$F$11))),O$11&lt;=((12*(YEAR('Renovation Budget'!$F$14)-YEAR(Assumptions!$F$11))+(MONTH('Renovation Budget'!$F$14)-MONTH(Assumptions!$F$11)))+'Renovation Budget'!$G$14-1)),-'Renovation Budget'!$C$14/'Renovation Budget'!$G$14,0)</f>
        <v/>
      </c>
      <c r="P84" s="228">
        <f>IF(AND(P$11&gt;=(12*(YEAR('Renovation Budget'!$F$14)-YEAR(Assumptions!$F$11))+(MONTH('Renovation Budget'!$F$14)-MONTH(Assumptions!$F$11))),P$11&lt;=((12*(YEAR('Renovation Budget'!$F$14)-YEAR(Assumptions!$F$11))+(MONTH('Renovation Budget'!$F$14)-MONTH(Assumptions!$F$11)))+'Renovation Budget'!$G$14-1)),-'Renovation Budget'!$C$14/'Renovation Budget'!$G$14,0)</f>
        <v/>
      </c>
      <c r="Q84" s="228">
        <f>IF(AND(Q$11&gt;=(12*(YEAR('Renovation Budget'!$F$14)-YEAR(Assumptions!$F$11))+(MONTH('Renovation Budget'!$F$14)-MONTH(Assumptions!$F$11))),Q$11&lt;=((12*(YEAR('Renovation Budget'!$F$14)-YEAR(Assumptions!$F$11))+(MONTH('Renovation Budget'!$F$14)-MONTH(Assumptions!$F$11)))+'Renovation Budget'!$G$14-1)),-'Renovation Budget'!$C$14/'Renovation Budget'!$G$14,0)</f>
        <v/>
      </c>
      <c r="R84" s="228">
        <f>IF(AND(R$11&gt;=(12*(YEAR('Renovation Budget'!$F$14)-YEAR(Assumptions!$F$11))+(MONTH('Renovation Budget'!$F$14)-MONTH(Assumptions!$F$11))),R$11&lt;=((12*(YEAR('Renovation Budget'!$F$14)-YEAR(Assumptions!$F$11))+(MONTH('Renovation Budget'!$F$14)-MONTH(Assumptions!$F$11)))+'Renovation Budget'!$G$14-1)),-'Renovation Budget'!$C$14/'Renovation Budget'!$G$14,0)</f>
        <v/>
      </c>
      <c r="S84" s="228">
        <f>IF(AND(S$11&gt;=(12*(YEAR('Renovation Budget'!$F$14)-YEAR(Assumptions!$F$11))+(MONTH('Renovation Budget'!$F$14)-MONTH(Assumptions!$F$11))),S$11&lt;=((12*(YEAR('Renovation Budget'!$F$14)-YEAR(Assumptions!$F$11))+(MONTH('Renovation Budget'!$F$14)-MONTH(Assumptions!$F$11)))+'Renovation Budget'!$G$14-1)),-'Renovation Budget'!$C$14/'Renovation Budget'!$G$14,0)</f>
        <v/>
      </c>
      <c r="T84" s="228">
        <f>IF(AND(T$11&gt;=(12*(YEAR('Renovation Budget'!$F$14)-YEAR(Assumptions!$F$11))+(MONTH('Renovation Budget'!$F$14)-MONTH(Assumptions!$F$11))),T$11&lt;=((12*(YEAR('Renovation Budget'!$F$14)-YEAR(Assumptions!$F$11))+(MONTH('Renovation Budget'!$F$14)-MONTH(Assumptions!$F$11)))+'Renovation Budget'!$G$14-1)),-'Renovation Budget'!$C$14/'Renovation Budget'!$G$14,0)</f>
        <v/>
      </c>
      <c r="U84" s="228">
        <f>IF(AND(U$11&gt;=(12*(YEAR('Renovation Budget'!$F$14)-YEAR(Assumptions!$F$11))+(MONTH('Renovation Budget'!$F$14)-MONTH(Assumptions!$F$11))),U$11&lt;=((12*(YEAR('Renovation Budget'!$F$14)-YEAR(Assumptions!$F$11))+(MONTH('Renovation Budget'!$F$14)-MONTH(Assumptions!$F$11)))+'Renovation Budget'!$G$14-1)),-'Renovation Budget'!$C$14/'Renovation Budget'!$G$14,0)</f>
        <v/>
      </c>
      <c r="V84" s="228">
        <f>IF(AND(V$11&gt;=(12*(YEAR('Renovation Budget'!$F$14)-YEAR(Assumptions!$F$11))+(MONTH('Renovation Budget'!$F$14)-MONTH(Assumptions!$F$11))),V$11&lt;=((12*(YEAR('Renovation Budget'!$F$14)-YEAR(Assumptions!$F$11))+(MONTH('Renovation Budget'!$F$14)-MONTH(Assumptions!$F$11)))+'Renovation Budget'!$G$14-1)),-'Renovation Budget'!$C$14/'Renovation Budget'!$G$14,0)</f>
        <v/>
      </c>
      <c r="W84" s="228">
        <f>IF(AND(W$11&gt;=(12*(YEAR('Renovation Budget'!$F$14)-YEAR(Assumptions!$F$11))+(MONTH('Renovation Budget'!$F$14)-MONTH(Assumptions!$F$11))),W$11&lt;=((12*(YEAR('Renovation Budget'!$F$14)-YEAR(Assumptions!$F$11))+(MONTH('Renovation Budget'!$F$14)-MONTH(Assumptions!$F$11)))+'Renovation Budget'!$G$14-1)),-'Renovation Budget'!$C$14/'Renovation Budget'!$G$14,0)</f>
        <v/>
      </c>
      <c r="X84" s="228">
        <f>IF(AND(X$11&gt;=(12*(YEAR('Renovation Budget'!$F$14)-YEAR(Assumptions!$F$11))+(MONTH('Renovation Budget'!$F$14)-MONTH(Assumptions!$F$11))),X$11&lt;=((12*(YEAR('Renovation Budget'!$F$14)-YEAR(Assumptions!$F$11))+(MONTH('Renovation Budget'!$F$14)-MONTH(Assumptions!$F$11)))+'Renovation Budget'!$G$14-1)),-'Renovation Budget'!$C$14/'Renovation Budget'!$G$14,0)</f>
        <v/>
      </c>
      <c r="Y84" s="228">
        <f>IF(AND(Y$11&gt;=(12*(YEAR('Renovation Budget'!$F$14)-YEAR(Assumptions!$F$11))+(MONTH('Renovation Budget'!$F$14)-MONTH(Assumptions!$F$11))),Y$11&lt;=((12*(YEAR('Renovation Budget'!$F$14)-YEAR(Assumptions!$F$11))+(MONTH('Renovation Budget'!$F$14)-MONTH(Assumptions!$F$11)))+'Renovation Budget'!$G$14-1)),-'Renovation Budget'!$C$14/'Renovation Budget'!$G$14,0)</f>
        <v/>
      </c>
      <c r="Z84" s="228">
        <f>IF(AND(Z$11&gt;=(12*(YEAR('Renovation Budget'!$F$14)-YEAR(Assumptions!$F$11))+(MONTH('Renovation Budget'!$F$14)-MONTH(Assumptions!$F$11))),Z$11&lt;=((12*(YEAR('Renovation Budget'!$F$14)-YEAR(Assumptions!$F$11))+(MONTH('Renovation Budget'!$F$14)-MONTH(Assumptions!$F$11)))+'Renovation Budget'!$G$14-1)),-'Renovation Budget'!$C$14/'Renovation Budget'!$G$14,0)</f>
        <v/>
      </c>
      <c r="AA84" s="228">
        <f>IF(AND(AA$11&gt;=(12*(YEAR('Renovation Budget'!$F$14)-YEAR(Assumptions!$F$11))+(MONTH('Renovation Budget'!$F$14)-MONTH(Assumptions!$F$11))),AA$11&lt;=((12*(YEAR('Renovation Budget'!$F$14)-YEAR(Assumptions!$F$11))+(MONTH('Renovation Budget'!$F$14)-MONTH(Assumptions!$F$11)))+'Renovation Budget'!$G$14-1)),-'Renovation Budget'!$C$14/'Renovation Budget'!$G$14,0)</f>
        <v/>
      </c>
      <c r="AB84" s="228">
        <f>IF(AND(AB$11&gt;=(12*(YEAR('Renovation Budget'!$F$14)-YEAR(Assumptions!$F$11))+(MONTH('Renovation Budget'!$F$14)-MONTH(Assumptions!$F$11))),AB$11&lt;=((12*(YEAR('Renovation Budget'!$F$14)-YEAR(Assumptions!$F$11))+(MONTH('Renovation Budget'!$F$14)-MONTH(Assumptions!$F$11)))+'Renovation Budget'!$G$14-1)),-'Renovation Budget'!$C$14/'Renovation Budget'!$G$14,0)</f>
        <v/>
      </c>
      <c r="AC84" s="228">
        <f>IF(AND(AC$11&gt;=(12*(YEAR('Renovation Budget'!$F$14)-YEAR(Assumptions!$F$11))+(MONTH('Renovation Budget'!$F$14)-MONTH(Assumptions!$F$11))),AC$11&lt;=((12*(YEAR('Renovation Budget'!$F$14)-YEAR(Assumptions!$F$11))+(MONTH('Renovation Budget'!$F$14)-MONTH(Assumptions!$F$11)))+'Renovation Budget'!$G$14-1)),-'Renovation Budget'!$C$14/'Renovation Budget'!$G$14,0)</f>
        <v/>
      </c>
      <c r="AD84" s="228">
        <f>IF(AND(AD$11&gt;=(12*(YEAR('Renovation Budget'!$F$14)-YEAR(Assumptions!$F$11))+(MONTH('Renovation Budget'!$F$14)-MONTH(Assumptions!$F$11))),AD$11&lt;=((12*(YEAR('Renovation Budget'!$F$14)-YEAR(Assumptions!$F$11))+(MONTH('Renovation Budget'!$F$14)-MONTH(Assumptions!$F$11)))+'Renovation Budget'!$G$14-1)),-'Renovation Budget'!$C$14/'Renovation Budget'!$G$14,0)</f>
        <v/>
      </c>
      <c r="AE84" s="228">
        <f>IF(AND(AE$11&gt;=(12*(YEAR('Renovation Budget'!$F$14)-YEAR(Assumptions!$F$11))+(MONTH('Renovation Budget'!$F$14)-MONTH(Assumptions!$F$11))),AE$11&lt;=((12*(YEAR('Renovation Budget'!$F$14)-YEAR(Assumptions!$F$11))+(MONTH('Renovation Budget'!$F$14)-MONTH(Assumptions!$F$11)))+'Renovation Budget'!$G$14-1)),-'Renovation Budget'!$C$14/'Renovation Budget'!$G$14,0)</f>
        <v/>
      </c>
      <c r="AF84" s="228">
        <f>IF(AND(AF$11&gt;=(12*(YEAR('Renovation Budget'!$F$14)-YEAR(Assumptions!$F$11))+(MONTH('Renovation Budget'!$F$14)-MONTH(Assumptions!$F$11))),AF$11&lt;=((12*(YEAR('Renovation Budget'!$F$14)-YEAR(Assumptions!$F$11))+(MONTH('Renovation Budget'!$F$14)-MONTH(Assumptions!$F$11)))+'Renovation Budget'!$G$14-1)),-'Renovation Budget'!$C$14/'Renovation Budget'!$G$14,0)</f>
        <v/>
      </c>
      <c r="AG84" s="228">
        <f>IF(AND(AG$11&gt;=(12*(YEAR('Renovation Budget'!$F$14)-YEAR(Assumptions!$F$11))+(MONTH('Renovation Budget'!$F$14)-MONTH(Assumptions!$F$11))),AG$11&lt;=((12*(YEAR('Renovation Budget'!$F$14)-YEAR(Assumptions!$F$11))+(MONTH('Renovation Budget'!$F$14)-MONTH(Assumptions!$F$11)))+'Renovation Budget'!$G$14-1)),-'Renovation Budget'!$C$14/'Renovation Budget'!$G$14,0)</f>
        <v/>
      </c>
      <c r="AH84" s="228">
        <f>IF(AND(AH$11&gt;=(12*(YEAR('Renovation Budget'!$F$14)-YEAR(Assumptions!$F$11))+(MONTH('Renovation Budget'!$F$14)-MONTH(Assumptions!$F$11))),AH$11&lt;=((12*(YEAR('Renovation Budget'!$F$14)-YEAR(Assumptions!$F$11))+(MONTH('Renovation Budget'!$F$14)-MONTH(Assumptions!$F$11)))+'Renovation Budget'!$G$14-1)),-'Renovation Budget'!$C$14/'Renovation Budget'!$G$14,0)</f>
        <v/>
      </c>
      <c r="AI84" s="228">
        <f>IF(AND(AI$11&gt;=(12*(YEAR('Renovation Budget'!$F$14)-YEAR(Assumptions!$F$11))+(MONTH('Renovation Budget'!$F$14)-MONTH(Assumptions!$F$11))),AI$11&lt;=((12*(YEAR('Renovation Budget'!$F$14)-YEAR(Assumptions!$F$11))+(MONTH('Renovation Budget'!$F$14)-MONTH(Assumptions!$F$11)))+'Renovation Budget'!$G$14-1)),-'Renovation Budget'!$C$14/'Renovation Budget'!$G$14,0)</f>
        <v/>
      </c>
      <c r="AJ84" s="228">
        <f>IF(AND(AJ$11&gt;=(12*(YEAR('Renovation Budget'!$F$14)-YEAR(Assumptions!$F$11))+(MONTH('Renovation Budget'!$F$14)-MONTH(Assumptions!$F$11))),AJ$11&lt;=((12*(YEAR('Renovation Budget'!$F$14)-YEAR(Assumptions!$F$11))+(MONTH('Renovation Budget'!$F$14)-MONTH(Assumptions!$F$11)))+'Renovation Budget'!$G$14-1)),-'Renovation Budget'!$C$14/'Renovation Budget'!$G$14,0)</f>
        <v/>
      </c>
      <c r="AK84" s="228">
        <f>IF(AND(AK$11&gt;=(12*(YEAR('Renovation Budget'!$F$14)-YEAR(Assumptions!$F$11))+(MONTH('Renovation Budget'!$F$14)-MONTH(Assumptions!$F$11))),AK$11&lt;=((12*(YEAR('Renovation Budget'!$F$14)-YEAR(Assumptions!$F$11))+(MONTH('Renovation Budget'!$F$14)-MONTH(Assumptions!$F$11)))+'Renovation Budget'!$G$14-1)),-'Renovation Budget'!$C$14/'Renovation Budget'!$G$14,0)</f>
        <v/>
      </c>
      <c r="AL84" s="228">
        <f>IF(AND(AL$11&gt;=(12*(YEAR('Renovation Budget'!$F$14)-YEAR(Assumptions!$F$11))+(MONTH('Renovation Budget'!$F$14)-MONTH(Assumptions!$F$11))),AL$11&lt;=((12*(YEAR('Renovation Budget'!$F$14)-YEAR(Assumptions!$F$11))+(MONTH('Renovation Budget'!$F$14)-MONTH(Assumptions!$F$11)))+'Renovation Budget'!$G$14-1)),-'Renovation Budget'!$C$14/'Renovation Budget'!$G$14,0)</f>
        <v/>
      </c>
      <c r="AM84" s="228">
        <f>IF(AND(AM$11&gt;=(12*(YEAR('Renovation Budget'!$F$14)-YEAR(Assumptions!$F$11))+(MONTH('Renovation Budget'!$F$14)-MONTH(Assumptions!$F$11))),AM$11&lt;=((12*(YEAR('Renovation Budget'!$F$14)-YEAR(Assumptions!$F$11))+(MONTH('Renovation Budget'!$F$14)-MONTH(Assumptions!$F$11)))+'Renovation Budget'!$G$14-1)),-'Renovation Budget'!$C$14/'Renovation Budget'!$G$14,0)</f>
        <v/>
      </c>
      <c r="AN84" s="228">
        <f>IF(AND(AN$11&gt;=(12*(YEAR('Renovation Budget'!$F$14)-YEAR(Assumptions!$F$11))+(MONTH('Renovation Budget'!$F$14)-MONTH(Assumptions!$F$11))),AN$11&lt;=((12*(YEAR('Renovation Budget'!$F$14)-YEAR(Assumptions!$F$11))+(MONTH('Renovation Budget'!$F$14)-MONTH(Assumptions!$F$11)))+'Renovation Budget'!$G$14-1)),-'Renovation Budget'!$C$14/'Renovation Budget'!$G$14,0)</f>
        <v/>
      </c>
      <c r="AO84" s="228">
        <f>IF(AND(AO$11&gt;=(12*(YEAR('Renovation Budget'!$F$14)-YEAR(Assumptions!$F$11))+(MONTH('Renovation Budget'!$F$14)-MONTH(Assumptions!$F$11))),AO$11&lt;=((12*(YEAR('Renovation Budget'!$F$14)-YEAR(Assumptions!$F$11))+(MONTH('Renovation Budget'!$F$14)-MONTH(Assumptions!$F$11)))+'Renovation Budget'!$G$14-1)),-'Renovation Budget'!$C$14/'Renovation Budget'!$G$14,0)</f>
        <v/>
      </c>
      <c r="AP84" s="228">
        <f>IF(AND(AP$11&gt;=(12*(YEAR('Renovation Budget'!$F$14)-YEAR(Assumptions!$F$11))+(MONTH('Renovation Budget'!$F$14)-MONTH(Assumptions!$F$11))),AP$11&lt;=((12*(YEAR('Renovation Budget'!$F$14)-YEAR(Assumptions!$F$11))+(MONTH('Renovation Budget'!$F$14)-MONTH(Assumptions!$F$11)))+'Renovation Budget'!$G$14-1)),-'Renovation Budget'!$C$14/'Renovation Budget'!$G$14,0)</f>
        <v/>
      </c>
      <c r="AQ84" s="228">
        <f>IF(AND(AQ$11&gt;=(12*(YEAR('Renovation Budget'!$F$14)-YEAR(Assumptions!$F$11))+(MONTH('Renovation Budget'!$F$14)-MONTH(Assumptions!$F$11))),AQ$11&lt;=((12*(YEAR('Renovation Budget'!$F$14)-YEAR(Assumptions!$F$11))+(MONTH('Renovation Budget'!$F$14)-MONTH(Assumptions!$F$11)))+'Renovation Budget'!$G$14-1)),-'Renovation Budget'!$C$14/'Renovation Budget'!$G$14,0)</f>
        <v/>
      </c>
      <c r="AR84" s="228">
        <f>IF(AND(AR$11&gt;=(12*(YEAR('Renovation Budget'!$F$14)-YEAR(Assumptions!$F$11))+(MONTH('Renovation Budget'!$F$14)-MONTH(Assumptions!$F$11))),AR$11&lt;=((12*(YEAR('Renovation Budget'!$F$14)-YEAR(Assumptions!$F$11))+(MONTH('Renovation Budget'!$F$14)-MONTH(Assumptions!$F$11)))+'Renovation Budget'!$G$14-1)),-'Renovation Budget'!$C$14/'Renovation Budget'!$G$14,0)</f>
        <v/>
      </c>
      <c r="AS84" s="228">
        <f>IF(AND(AS$11&gt;=(12*(YEAR('Renovation Budget'!$F$14)-YEAR(Assumptions!$F$11))+(MONTH('Renovation Budget'!$F$14)-MONTH(Assumptions!$F$11))),AS$11&lt;=((12*(YEAR('Renovation Budget'!$F$14)-YEAR(Assumptions!$F$11))+(MONTH('Renovation Budget'!$F$14)-MONTH(Assumptions!$F$11)))+'Renovation Budget'!$G$14-1)),-'Renovation Budget'!$C$14/'Renovation Budget'!$G$14,0)</f>
        <v/>
      </c>
      <c r="AT84" s="228">
        <f>IF(AND(AT$11&gt;=(12*(YEAR('Renovation Budget'!$F$14)-YEAR(Assumptions!$F$11))+(MONTH('Renovation Budget'!$F$14)-MONTH(Assumptions!$F$11))),AT$11&lt;=((12*(YEAR('Renovation Budget'!$F$14)-YEAR(Assumptions!$F$11))+(MONTH('Renovation Budget'!$F$14)-MONTH(Assumptions!$F$11)))+'Renovation Budget'!$G$14-1)),-'Renovation Budget'!$C$14/'Renovation Budget'!$G$14,0)</f>
        <v/>
      </c>
      <c r="AU84" s="228">
        <f>IF(AND(AU$11&gt;=(12*(YEAR('Renovation Budget'!$F$14)-YEAR(Assumptions!$F$11))+(MONTH('Renovation Budget'!$F$14)-MONTH(Assumptions!$F$11))),AU$11&lt;=((12*(YEAR('Renovation Budget'!$F$14)-YEAR(Assumptions!$F$11))+(MONTH('Renovation Budget'!$F$14)-MONTH(Assumptions!$F$11)))+'Renovation Budget'!$G$14-1)),-'Renovation Budget'!$C$14/'Renovation Budget'!$G$14,0)</f>
        <v/>
      </c>
      <c r="AV84" s="228">
        <f>IF(AND(AV$11&gt;=(12*(YEAR('Renovation Budget'!$F$14)-YEAR(Assumptions!$F$11))+(MONTH('Renovation Budget'!$F$14)-MONTH(Assumptions!$F$11))),AV$11&lt;=((12*(YEAR('Renovation Budget'!$F$14)-YEAR(Assumptions!$F$11))+(MONTH('Renovation Budget'!$F$14)-MONTH(Assumptions!$F$11)))+'Renovation Budget'!$G$14-1)),-'Renovation Budget'!$C$14/'Renovation Budget'!$G$14,0)</f>
        <v/>
      </c>
      <c r="AW84" s="228">
        <f>IF(AND(AW$11&gt;=(12*(YEAR('Renovation Budget'!$F$14)-YEAR(Assumptions!$F$11))+(MONTH('Renovation Budget'!$F$14)-MONTH(Assumptions!$F$11))),AW$11&lt;=((12*(YEAR('Renovation Budget'!$F$14)-YEAR(Assumptions!$F$11))+(MONTH('Renovation Budget'!$F$14)-MONTH(Assumptions!$F$11)))+'Renovation Budget'!$G$14-1)),-'Renovation Budget'!$C$14/'Renovation Budget'!$G$14,0)</f>
        <v/>
      </c>
      <c r="AX84" s="228">
        <f>IF(AND(AX$11&gt;=(12*(YEAR('Renovation Budget'!$F$14)-YEAR(Assumptions!$F$11))+(MONTH('Renovation Budget'!$F$14)-MONTH(Assumptions!$F$11))),AX$11&lt;=((12*(YEAR('Renovation Budget'!$F$14)-YEAR(Assumptions!$F$11))+(MONTH('Renovation Budget'!$F$14)-MONTH(Assumptions!$F$11)))+'Renovation Budget'!$G$14-1)),-'Renovation Budget'!$C$14/'Renovation Budget'!$G$14,0)</f>
        <v/>
      </c>
      <c r="AY84" s="228">
        <f>IF(AND(AY$11&gt;=(12*(YEAR('Renovation Budget'!$F$14)-YEAR(Assumptions!$F$11))+(MONTH('Renovation Budget'!$F$14)-MONTH(Assumptions!$F$11))),AY$11&lt;=((12*(YEAR('Renovation Budget'!$F$14)-YEAR(Assumptions!$F$11))+(MONTH('Renovation Budget'!$F$14)-MONTH(Assumptions!$F$11)))+'Renovation Budget'!$G$14-1)),-'Renovation Budget'!$C$14/'Renovation Budget'!$G$14,0)</f>
        <v/>
      </c>
      <c r="AZ84" s="228">
        <f>IF(AND(AZ$11&gt;=(12*(YEAR('Renovation Budget'!$F$14)-YEAR(Assumptions!$F$11))+(MONTH('Renovation Budget'!$F$14)-MONTH(Assumptions!$F$11))),AZ$11&lt;=((12*(YEAR('Renovation Budget'!$F$14)-YEAR(Assumptions!$F$11))+(MONTH('Renovation Budget'!$F$14)-MONTH(Assumptions!$F$11)))+'Renovation Budget'!$G$14-1)),-'Renovation Budget'!$C$14/'Renovation Budget'!$G$14,0)</f>
        <v/>
      </c>
      <c r="BA84" s="228">
        <f>IF(AND(BA$11&gt;=(12*(YEAR('Renovation Budget'!$F$14)-YEAR(Assumptions!$F$11))+(MONTH('Renovation Budget'!$F$14)-MONTH(Assumptions!$F$11))),BA$11&lt;=((12*(YEAR('Renovation Budget'!$F$14)-YEAR(Assumptions!$F$11))+(MONTH('Renovation Budget'!$F$14)-MONTH(Assumptions!$F$11)))+'Renovation Budget'!$G$14-1)),-'Renovation Budget'!$C$14/'Renovation Budget'!$G$14,0)</f>
        <v/>
      </c>
      <c r="BB84" s="228">
        <f>IF(AND(BB$11&gt;=(12*(YEAR('Renovation Budget'!$F$14)-YEAR(Assumptions!$F$11))+(MONTH('Renovation Budget'!$F$14)-MONTH(Assumptions!$F$11))),BB$11&lt;=((12*(YEAR('Renovation Budget'!$F$14)-YEAR(Assumptions!$F$11))+(MONTH('Renovation Budget'!$F$14)-MONTH(Assumptions!$F$11)))+'Renovation Budget'!$G$14-1)),-'Renovation Budget'!$C$14/'Renovation Budget'!$G$14,0)</f>
        <v/>
      </c>
      <c r="BC84" s="228">
        <f>IF(AND(BC$11&gt;=(12*(YEAR('Renovation Budget'!$F$14)-YEAR(Assumptions!$F$11))+(MONTH('Renovation Budget'!$F$14)-MONTH(Assumptions!$F$11))),BC$11&lt;=((12*(YEAR('Renovation Budget'!$F$14)-YEAR(Assumptions!$F$11))+(MONTH('Renovation Budget'!$F$14)-MONTH(Assumptions!$F$11)))+'Renovation Budget'!$G$14-1)),-'Renovation Budget'!$C$14/'Renovation Budget'!$G$14,0)</f>
        <v/>
      </c>
      <c r="BD84" s="228">
        <f>IF(AND(BD$11&gt;=(12*(YEAR('Renovation Budget'!$F$14)-YEAR(Assumptions!$F$11))+(MONTH('Renovation Budget'!$F$14)-MONTH(Assumptions!$F$11))),BD$11&lt;=((12*(YEAR('Renovation Budget'!$F$14)-YEAR(Assumptions!$F$11))+(MONTH('Renovation Budget'!$F$14)-MONTH(Assumptions!$F$11)))+'Renovation Budget'!$G$14-1)),-'Renovation Budget'!$C$14/'Renovation Budget'!$G$14,0)</f>
        <v/>
      </c>
      <c r="BE84" s="228">
        <f>IF(AND(BE$11&gt;=(12*(YEAR('Renovation Budget'!$F$14)-YEAR(Assumptions!$F$11))+(MONTH('Renovation Budget'!$F$14)-MONTH(Assumptions!$F$11))),BE$11&lt;=((12*(YEAR('Renovation Budget'!$F$14)-YEAR(Assumptions!$F$11))+(MONTH('Renovation Budget'!$F$14)-MONTH(Assumptions!$F$11)))+'Renovation Budget'!$G$14-1)),-'Renovation Budget'!$C$14/'Renovation Budget'!$G$14,0)</f>
        <v/>
      </c>
      <c r="BF84" s="228">
        <f>IF(AND(BF$11&gt;=(12*(YEAR('Renovation Budget'!$F$14)-YEAR(Assumptions!$F$11))+(MONTH('Renovation Budget'!$F$14)-MONTH(Assumptions!$F$11))),BF$11&lt;=((12*(YEAR('Renovation Budget'!$F$14)-YEAR(Assumptions!$F$11))+(MONTH('Renovation Budget'!$F$14)-MONTH(Assumptions!$F$11)))+'Renovation Budget'!$G$14-1)),-'Renovation Budget'!$C$14/'Renovation Budget'!$G$14,0)</f>
        <v/>
      </c>
      <c r="BG84" s="228">
        <f>IF(AND(BG$11&gt;=(12*(YEAR('Renovation Budget'!$F$14)-YEAR(Assumptions!$F$11))+(MONTH('Renovation Budget'!$F$14)-MONTH(Assumptions!$F$11))),BG$11&lt;=((12*(YEAR('Renovation Budget'!$F$14)-YEAR(Assumptions!$F$11))+(MONTH('Renovation Budget'!$F$14)-MONTH(Assumptions!$F$11)))+'Renovation Budget'!$G$14-1)),-'Renovation Budget'!$C$14/'Renovation Budget'!$G$14,0)</f>
        <v/>
      </c>
      <c r="BH84" s="228">
        <f>IF(AND(BH$11&gt;=(12*(YEAR('Renovation Budget'!$F$14)-YEAR(Assumptions!$F$11))+(MONTH('Renovation Budget'!$F$14)-MONTH(Assumptions!$F$11))),BH$11&lt;=((12*(YEAR('Renovation Budget'!$F$14)-YEAR(Assumptions!$F$11))+(MONTH('Renovation Budget'!$F$14)-MONTH(Assumptions!$F$11)))+'Renovation Budget'!$G$14-1)),-'Renovation Budget'!$C$14/'Renovation Budget'!$G$14,0)</f>
        <v/>
      </c>
      <c r="BI84" s="228">
        <f>IF(AND(BI$11&gt;=(12*(YEAR('Renovation Budget'!$F$14)-YEAR(Assumptions!$F$11))+(MONTH('Renovation Budget'!$F$14)-MONTH(Assumptions!$F$11))),BI$11&lt;=((12*(YEAR('Renovation Budget'!$F$14)-YEAR(Assumptions!$F$11))+(MONTH('Renovation Budget'!$F$14)-MONTH(Assumptions!$F$11)))+'Renovation Budget'!$G$14-1)),-'Renovation Budget'!$C$14/'Renovation Budget'!$G$14,0)</f>
        <v/>
      </c>
      <c r="BJ84" s="228">
        <f>IF(AND(BJ$11&gt;=(12*(YEAR('Renovation Budget'!$F$14)-YEAR(Assumptions!$F$11))+(MONTH('Renovation Budget'!$F$14)-MONTH(Assumptions!$F$11))),BJ$11&lt;=((12*(YEAR('Renovation Budget'!$F$14)-YEAR(Assumptions!$F$11))+(MONTH('Renovation Budget'!$F$14)-MONTH(Assumptions!$F$11)))+'Renovation Budget'!$G$14-1)),-'Renovation Budget'!$C$14/'Renovation Budget'!$G$14,0)</f>
        <v/>
      </c>
      <c r="BK84" s="228">
        <f>IF(AND(BK$11&gt;=(12*(YEAR('Renovation Budget'!$F$14)-YEAR(Assumptions!$F$11))+(MONTH('Renovation Budget'!$F$14)-MONTH(Assumptions!$F$11))),BK$11&lt;=((12*(YEAR('Renovation Budget'!$F$14)-YEAR(Assumptions!$F$11))+(MONTH('Renovation Budget'!$F$14)-MONTH(Assumptions!$F$11)))+'Renovation Budget'!$G$14-1)),-'Renovation Budget'!$C$14/'Renovation Budget'!$G$14,0)</f>
        <v/>
      </c>
      <c r="BL84" s="228">
        <f>IF(AND(BL$11&gt;=(12*(YEAR('Renovation Budget'!$F$14)-YEAR(Assumptions!$F$11))+(MONTH('Renovation Budget'!$F$14)-MONTH(Assumptions!$F$11))),BL$11&lt;=((12*(YEAR('Renovation Budget'!$F$14)-YEAR(Assumptions!$F$11))+(MONTH('Renovation Budget'!$F$14)-MONTH(Assumptions!$F$11)))+'Renovation Budget'!$G$14-1)),-'Renovation Budget'!$C$14/'Renovation Budget'!$G$14,0)</f>
        <v/>
      </c>
      <c r="BM84" s="228">
        <f>IF(AND(BM$11&gt;=(12*(YEAR('Renovation Budget'!$F$14)-YEAR(Assumptions!$F$11))+(MONTH('Renovation Budget'!$F$14)-MONTH(Assumptions!$F$11))),BM$11&lt;=((12*(YEAR('Renovation Budget'!$F$14)-YEAR(Assumptions!$F$11))+(MONTH('Renovation Budget'!$F$14)-MONTH(Assumptions!$F$11)))+'Renovation Budget'!$G$14-1)),-'Renovation Budget'!$C$14/'Renovation Budget'!$G$14,0)</f>
        <v/>
      </c>
      <c r="BN84" s="228">
        <f>IF(AND(BN$11&gt;=(12*(YEAR('Renovation Budget'!$F$14)-YEAR(Assumptions!$F$11))+(MONTH('Renovation Budget'!$F$14)-MONTH(Assumptions!$F$11))),BN$11&lt;=((12*(YEAR('Renovation Budget'!$F$14)-YEAR(Assumptions!$F$11))+(MONTH('Renovation Budget'!$F$14)-MONTH(Assumptions!$F$11)))+'Renovation Budget'!$G$14-1)),-'Renovation Budget'!$C$14/'Renovation Budget'!$G$14,0)</f>
        <v/>
      </c>
      <c r="BO84" s="228">
        <f>IF(AND(BO$11&gt;=(12*(YEAR('Renovation Budget'!$F$14)-YEAR(Assumptions!$F$11))+(MONTH('Renovation Budget'!$F$14)-MONTH(Assumptions!$F$11))),BO$11&lt;=((12*(YEAR('Renovation Budget'!$F$14)-YEAR(Assumptions!$F$11))+(MONTH('Renovation Budget'!$F$14)-MONTH(Assumptions!$F$11)))+'Renovation Budget'!$G$14-1)),-'Renovation Budget'!$C$14/'Renovation Budget'!$G$14,0)</f>
        <v/>
      </c>
      <c r="BP84" s="228">
        <f>IF(AND(BP$11&gt;=(12*(YEAR('Renovation Budget'!$F$14)-YEAR(Assumptions!$F$11))+(MONTH('Renovation Budget'!$F$14)-MONTH(Assumptions!$F$11))),BP$11&lt;=((12*(YEAR('Renovation Budget'!$F$14)-YEAR(Assumptions!$F$11))+(MONTH('Renovation Budget'!$F$14)-MONTH(Assumptions!$F$11)))+'Renovation Budget'!$G$14-1)),-'Renovation Budget'!$C$14/'Renovation Budget'!$G$14,0)</f>
        <v/>
      </c>
      <c r="BQ84" s="228">
        <f>IF(AND(BQ$11&gt;=(12*(YEAR('Renovation Budget'!$F$14)-YEAR(Assumptions!$F$11))+(MONTH('Renovation Budget'!$F$14)-MONTH(Assumptions!$F$11))),BQ$11&lt;=((12*(YEAR('Renovation Budget'!$F$14)-YEAR(Assumptions!$F$11))+(MONTH('Renovation Budget'!$F$14)-MONTH(Assumptions!$F$11)))+'Renovation Budget'!$G$14-1)),-'Renovation Budget'!$C$14/'Renovation Budget'!$G$14,0)</f>
        <v/>
      </c>
      <c r="BR84" s="228">
        <f>IF(AND(BR$11&gt;=(12*(YEAR('Renovation Budget'!$F$14)-YEAR(Assumptions!$F$11))+(MONTH('Renovation Budget'!$F$14)-MONTH(Assumptions!$F$11))),BR$11&lt;=((12*(YEAR('Renovation Budget'!$F$14)-YEAR(Assumptions!$F$11))+(MONTH('Renovation Budget'!$F$14)-MONTH(Assumptions!$F$11)))+'Renovation Budget'!$G$14-1)),-'Renovation Budget'!$C$14/'Renovation Budget'!$G$14,0)</f>
        <v/>
      </c>
      <c r="BS84" s="228">
        <f>IF(AND(BS$11&gt;=(12*(YEAR('Renovation Budget'!$F$14)-YEAR(Assumptions!$F$11))+(MONTH('Renovation Budget'!$F$14)-MONTH(Assumptions!$F$11))),BS$11&lt;=((12*(YEAR('Renovation Budget'!$F$14)-YEAR(Assumptions!$F$11))+(MONTH('Renovation Budget'!$F$14)-MONTH(Assumptions!$F$11)))+'Renovation Budget'!$G$14-1)),-'Renovation Budget'!$C$14/'Renovation Budget'!$G$14,0)</f>
        <v/>
      </c>
      <c r="BT84" s="228">
        <f>IF(AND(BT$11&gt;=(12*(YEAR('Renovation Budget'!$F$14)-YEAR(Assumptions!$F$11))+(MONTH('Renovation Budget'!$F$14)-MONTH(Assumptions!$F$11))),BT$11&lt;=((12*(YEAR('Renovation Budget'!$F$14)-YEAR(Assumptions!$F$11))+(MONTH('Renovation Budget'!$F$14)-MONTH(Assumptions!$F$11)))+'Renovation Budget'!$G$14-1)),-'Renovation Budget'!$C$14/'Renovation Budget'!$G$14,0)</f>
        <v/>
      </c>
      <c r="BU84" s="228">
        <f>IF(AND(BU$11&gt;=(12*(YEAR('Renovation Budget'!$F$14)-YEAR(Assumptions!$F$11))+(MONTH('Renovation Budget'!$F$14)-MONTH(Assumptions!$F$11))),BU$11&lt;=((12*(YEAR('Renovation Budget'!$F$14)-YEAR(Assumptions!$F$11))+(MONTH('Renovation Budget'!$F$14)-MONTH(Assumptions!$F$11)))+'Renovation Budget'!$G$14-1)),-'Renovation Budget'!$C$14/'Renovation Budget'!$G$14,0)</f>
        <v/>
      </c>
      <c r="BV84" s="228">
        <f>IF(AND(BV$11&gt;=(12*(YEAR('Renovation Budget'!$F$14)-YEAR(Assumptions!$F$11))+(MONTH('Renovation Budget'!$F$14)-MONTH(Assumptions!$F$11))),BV$11&lt;=((12*(YEAR('Renovation Budget'!$F$14)-YEAR(Assumptions!$F$11))+(MONTH('Renovation Budget'!$F$14)-MONTH(Assumptions!$F$11)))+'Renovation Budget'!$G$14-1)),-'Renovation Budget'!$C$14/'Renovation Budget'!$G$14,0)</f>
        <v/>
      </c>
      <c r="BW84" s="228">
        <f>IF(AND(BW$11&gt;=(12*(YEAR('Renovation Budget'!$F$14)-YEAR(Assumptions!$F$11))+(MONTH('Renovation Budget'!$F$14)-MONTH(Assumptions!$F$11))),BW$11&lt;=((12*(YEAR('Renovation Budget'!$F$14)-YEAR(Assumptions!$F$11))+(MONTH('Renovation Budget'!$F$14)-MONTH(Assumptions!$F$11)))+'Renovation Budget'!$G$14-1)),-'Renovation Budget'!$C$14/'Renovation Budget'!$G$14,0)</f>
        <v/>
      </c>
      <c r="BX84" s="228">
        <f>IF(AND(BX$11&gt;=(12*(YEAR('Renovation Budget'!$F$14)-YEAR(Assumptions!$F$11))+(MONTH('Renovation Budget'!$F$14)-MONTH(Assumptions!$F$11))),BX$11&lt;=((12*(YEAR('Renovation Budget'!$F$14)-YEAR(Assumptions!$F$11))+(MONTH('Renovation Budget'!$F$14)-MONTH(Assumptions!$F$11)))+'Renovation Budget'!$G$14-1)),-'Renovation Budget'!$C$14/'Renovation Budget'!$G$14,0)</f>
        <v/>
      </c>
      <c r="BY84" s="228">
        <f>IF(AND(BY$11&gt;=(12*(YEAR('Renovation Budget'!$F$14)-YEAR(Assumptions!$F$11))+(MONTH('Renovation Budget'!$F$14)-MONTH(Assumptions!$F$11))),BY$11&lt;=((12*(YEAR('Renovation Budget'!$F$14)-YEAR(Assumptions!$F$11))+(MONTH('Renovation Budget'!$F$14)-MONTH(Assumptions!$F$11)))+'Renovation Budget'!$G$14-1)),-'Renovation Budget'!$C$14/'Renovation Budget'!$G$14,0)</f>
        <v/>
      </c>
      <c r="BZ84" s="228">
        <f>IF(AND(BZ$11&gt;=(12*(YEAR('Renovation Budget'!$F$14)-YEAR(Assumptions!$F$11))+(MONTH('Renovation Budget'!$F$14)-MONTH(Assumptions!$F$11))),BZ$11&lt;=((12*(YEAR('Renovation Budget'!$F$14)-YEAR(Assumptions!$F$11))+(MONTH('Renovation Budget'!$F$14)-MONTH(Assumptions!$F$11)))+'Renovation Budget'!$G$14-1)),-'Renovation Budget'!$C$14/'Renovation Budget'!$G$14,0)</f>
        <v/>
      </c>
      <c r="CA84" s="228">
        <f>IF(AND(CA$11&gt;=(12*(YEAR('Renovation Budget'!$F$14)-YEAR(Assumptions!$F$11))+(MONTH('Renovation Budget'!$F$14)-MONTH(Assumptions!$F$11))),CA$11&lt;=((12*(YEAR('Renovation Budget'!$F$14)-YEAR(Assumptions!$F$11))+(MONTH('Renovation Budget'!$F$14)-MONTH(Assumptions!$F$11)))+'Renovation Budget'!$G$14-1)),-'Renovation Budget'!$C$14/'Renovation Budget'!$G$14,0)</f>
        <v/>
      </c>
      <c r="CB84" s="228">
        <f>IF(AND(CB$11&gt;=(12*(YEAR('Renovation Budget'!$F$14)-YEAR(Assumptions!$F$11))+(MONTH('Renovation Budget'!$F$14)-MONTH(Assumptions!$F$11))),CB$11&lt;=((12*(YEAR('Renovation Budget'!$F$14)-YEAR(Assumptions!$F$11))+(MONTH('Renovation Budget'!$F$14)-MONTH(Assumptions!$F$11)))+'Renovation Budget'!$G$14-1)),-'Renovation Budget'!$C$14/'Renovation Budget'!$G$14,0)</f>
        <v/>
      </c>
      <c r="CC84" s="228">
        <f>IF(AND(CC$11&gt;=(12*(YEAR('Renovation Budget'!$F$14)-YEAR(Assumptions!$F$11))+(MONTH('Renovation Budget'!$F$14)-MONTH(Assumptions!$F$11))),CC$11&lt;=((12*(YEAR('Renovation Budget'!$F$14)-YEAR(Assumptions!$F$11))+(MONTH('Renovation Budget'!$F$14)-MONTH(Assumptions!$F$11)))+'Renovation Budget'!$G$14-1)),-'Renovation Budget'!$C$14/'Renovation Budget'!$G$14,0)</f>
        <v/>
      </c>
      <c r="CD84" s="228">
        <f>IF(AND(CD$11&gt;=(12*(YEAR('Renovation Budget'!$F$14)-YEAR(Assumptions!$F$11))+(MONTH('Renovation Budget'!$F$14)-MONTH(Assumptions!$F$11))),CD$11&lt;=((12*(YEAR('Renovation Budget'!$F$14)-YEAR(Assumptions!$F$11))+(MONTH('Renovation Budget'!$F$14)-MONTH(Assumptions!$F$11)))+'Renovation Budget'!$G$14-1)),-'Renovation Budget'!$C$14/'Renovation Budget'!$G$14,0)</f>
        <v/>
      </c>
      <c r="CE84" s="228">
        <f>IF(AND(CE$11&gt;=(12*(YEAR('Renovation Budget'!$F$14)-YEAR(Assumptions!$F$11))+(MONTH('Renovation Budget'!$F$14)-MONTH(Assumptions!$F$11))),CE$11&lt;=((12*(YEAR('Renovation Budget'!$F$14)-YEAR(Assumptions!$F$11))+(MONTH('Renovation Budget'!$F$14)-MONTH(Assumptions!$F$11)))+'Renovation Budget'!$G$14-1)),-'Renovation Budget'!$C$14/'Renovation Budget'!$G$14,0)</f>
        <v/>
      </c>
      <c r="CF84" s="228">
        <f>IF(AND(CF$11&gt;=(12*(YEAR('Renovation Budget'!$F$14)-YEAR(Assumptions!$F$11))+(MONTH('Renovation Budget'!$F$14)-MONTH(Assumptions!$F$11))),CF$11&lt;=((12*(YEAR('Renovation Budget'!$F$14)-YEAR(Assumptions!$F$11))+(MONTH('Renovation Budget'!$F$14)-MONTH(Assumptions!$F$11)))+'Renovation Budget'!$G$14-1)),-'Renovation Budget'!$C$14/'Renovation Budget'!$G$14,0)</f>
        <v/>
      </c>
      <c r="CG84" s="228">
        <f>IF(AND(CG$11&gt;=(12*(YEAR('Renovation Budget'!$F$14)-YEAR(Assumptions!$F$11))+(MONTH('Renovation Budget'!$F$14)-MONTH(Assumptions!$F$11))),CG$11&lt;=((12*(YEAR('Renovation Budget'!$F$14)-YEAR(Assumptions!$F$11))+(MONTH('Renovation Budget'!$F$14)-MONTH(Assumptions!$F$11)))+'Renovation Budget'!$G$14-1)),-'Renovation Budget'!$C$14/'Renovation Budget'!$G$14,0)</f>
        <v/>
      </c>
      <c r="CH84" s="228">
        <f>IF(AND(CH$11&gt;=(12*(YEAR('Renovation Budget'!$F$14)-YEAR(Assumptions!$F$11))+(MONTH('Renovation Budget'!$F$14)-MONTH(Assumptions!$F$11))),CH$11&lt;=((12*(YEAR('Renovation Budget'!$F$14)-YEAR(Assumptions!$F$11))+(MONTH('Renovation Budget'!$F$14)-MONTH(Assumptions!$F$11)))+'Renovation Budget'!$G$14-1)),-'Renovation Budget'!$C$14/'Renovation Budget'!$G$14,0)</f>
        <v/>
      </c>
      <c r="CI84" s="228">
        <f>IF(AND(CI$11&gt;=(12*(YEAR('Renovation Budget'!$F$14)-YEAR(Assumptions!$F$11))+(MONTH('Renovation Budget'!$F$14)-MONTH(Assumptions!$F$11))),CI$11&lt;=((12*(YEAR('Renovation Budget'!$F$14)-YEAR(Assumptions!$F$11))+(MONTH('Renovation Budget'!$F$14)-MONTH(Assumptions!$F$11)))+'Renovation Budget'!$G$14-1)),-'Renovation Budget'!$C$14/'Renovation Budget'!$G$14,0)</f>
        <v/>
      </c>
      <c r="CJ84" s="228">
        <f>IF(AND(CJ$11&gt;=(12*(YEAR('Renovation Budget'!$F$14)-YEAR(Assumptions!$F$11))+(MONTH('Renovation Budget'!$F$14)-MONTH(Assumptions!$F$11))),CJ$11&lt;=((12*(YEAR('Renovation Budget'!$F$14)-YEAR(Assumptions!$F$11))+(MONTH('Renovation Budget'!$F$14)-MONTH(Assumptions!$F$11)))+'Renovation Budget'!$G$14-1)),-'Renovation Budget'!$C$14/'Renovation Budget'!$G$14,0)</f>
        <v/>
      </c>
      <c r="CK84" s="228">
        <f>IF(AND(CK$11&gt;=(12*(YEAR('Renovation Budget'!$F$14)-YEAR(Assumptions!$F$11))+(MONTH('Renovation Budget'!$F$14)-MONTH(Assumptions!$F$11))),CK$11&lt;=((12*(YEAR('Renovation Budget'!$F$14)-YEAR(Assumptions!$F$11))+(MONTH('Renovation Budget'!$F$14)-MONTH(Assumptions!$F$11)))+'Renovation Budget'!$G$14-1)),-'Renovation Budget'!$C$14/'Renovation Budget'!$G$14,0)</f>
        <v/>
      </c>
      <c r="CL84" s="228">
        <f>IF(AND(CL$11&gt;=(12*(YEAR('Renovation Budget'!$F$14)-YEAR(Assumptions!$F$11))+(MONTH('Renovation Budget'!$F$14)-MONTH(Assumptions!$F$11))),CL$11&lt;=((12*(YEAR('Renovation Budget'!$F$14)-YEAR(Assumptions!$F$11))+(MONTH('Renovation Budget'!$F$14)-MONTH(Assumptions!$F$11)))+'Renovation Budget'!$G$14-1)),-'Renovation Budget'!$C$14/'Renovation Budget'!$G$14,0)</f>
        <v/>
      </c>
      <c r="CM84" s="228">
        <f>IF(AND(CM$11&gt;=(12*(YEAR('Renovation Budget'!$F$14)-YEAR(Assumptions!$F$11))+(MONTH('Renovation Budget'!$F$14)-MONTH(Assumptions!$F$11))),CM$11&lt;=((12*(YEAR('Renovation Budget'!$F$14)-YEAR(Assumptions!$F$11))+(MONTH('Renovation Budget'!$F$14)-MONTH(Assumptions!$F$11)))+'Renovation Budget'!$G$14-1)),-'Renovation Budget'!$C$14/'Renovation Budget'!$G$14,0)</f>
        <v/>
      </c>
      <c r="CN84" s="228">
        <f>IF(AND(CN$11&gt;=(12*(YEAR('Renovation Budget'!$F$14)-YEAR(Assumptions!$F$11))+(MONTH('Renovation Budget'!$F$14)-MONTH(Assumptions!$F$11))),CN$11&lt;=((12*(YEAR('Renovation Budget'!$F$14)-YEAR(Assumptions!$F$11))+(MONTH('Renovation Budget'!$F$14)-MONTH(Assumptions!$F$11)))+'Renovation Budget'!$G$14-1)),-'Renovation Budget'!$C$14/'Renovation Budget'!$G$14,0)</f>
        <v/>
      </c>
      <c r="CO84" s="228">
        <f>IF(AND(CO$11&gt;=(12*(YEAR('Renovation Budget'!$F$14)-YEAR(Assumptions!$F$11))+(MONTH('Renovation Budget'!$F$14)-MONTH(Assumptions!$F$11))),CO$11&lt;=((12*(YEAR('Renovation Budget'!$F$14)-YEAR(Assumptions!$F$11))+(MONTH('Renovation Budget'!$F$14)-MONTH(Assumptions!$F$11)))+'Renovation Budget'!$G$14-1)),-'Renovation Budget'!$C$14/'Renovation Budget'!$G$14,0)</f>
        <v/>
      </c>
      <c r="CP84" s="228">
        <f>IF(AND(CP$11&gt;=(12*(YEAR('Renovation Budget'!$F$14)-YEAR(Assumptions!$F$11))+(MONTH('Renovation Budget'!$F$14)-MONTH(Assumptions!$F$11))),CP$11&lt;=((12*(YEAR('Renovation Budget'!$F$14)-YEAR(Assumptions!$F$11))+(MONTH('Renovation Budget'!$F$14)-MONTH(Assumptions!$F$11)))+'Renovation Budget'!$G$14-1)),-'Renovation Budget'!$C$14/'Renovation Budget'!$G$14,0)</f>
        <v/>
      </c>
      <c r="CQ84" s="228">
        <f>IF(AND(CQ$11&gt;=(12*(YEAR('Renovation Budget'!$F$14)-YEAR(Assumptions!$F$11))+(MONTH('Renovation Budget'!$F$14)-MONTH(Assumptions!$F$11))),CQ$11&lt;=((12*(YEAR('Renovation Budget'!$F$14)-YEAR(Assumptions!$F$11))+(MONTH('Renovation Budget'!$F$14)-MONTH(Assumptions!$F$11)))+'Renovation Budget'!$G$14-1)),-'Renovation Budget'!$C$14/'Renovation Budget'!$G$14,0)</f>
        <v/>
      </c>
      <c r="CR84" s="228">
        <f>IF(AND(CR$11&gt;=(12*(YEAR('Renovation Budget'!$F$14)-YEAR(Assumptions!$F$11))+(MONTH('Renovation Budget'!$F$14)-MONTH(Assumptions!$F$11))),CR$11&lt;=((12*(YEAR('Renovation Budget'!$F$14)-YEAR(Assumptions!$F$11))+(MONTH('Renovation Budget'!$F$14)-MONTH(Assumptions!$F$11)))+'Renovation Budget'!$G$14-1)),-'Renovation Budget'!$C$14/'Renovation Budget'!$G$14,0)</f>
        <v/>
      </c>
      <c r="CS84" s="228">
        <f>IF(AND(CS$11&gt;=(12*(YEAR('Renovation Budget'!$F$14)-YEAR(Assumptions!$F$11))+(MONTH('Renovation Budget'!$F$14)-MONTH(Assumptions!$F$11))),CS$11&lt;=((12*(YEAR('Renovation Budget'!$F$14)-YEAR(Assumptions!$F$11))+(MONTH('Renovation Budget'!$F$14)-MONTH(Assumptions!$F$11)))+'Renovation Budget'!$G$14-1)),-'Renovation Budget'!$C$14/'Renovation Budget'!$G$14,0)</f>
        <v/>
      </c>
      <c r="CT84" s="228">
        <f>IF(AND(CT$11&gt;=(12*(YEAR('Renovation Budget'!$F$14)-YEAR(Assumptions!$F$11))+(MONTH('Renovation Budget'!$F$14)-MONTH(Assumptions!$F$11))),CT$11&lt;=((12*(YEAR('Renovation Budget'!$F$14)-YEAR(Assumptions!$F$11))+(MONTH('Renovation Budget'!$F$14)-MONTH(Assumptions!$F$11)))+'Renovation Budget'!$G$14-1)),-'Renovation Budget'!$C$14/'Renovation Budget'!$G$14,0)</f>
        <v/>
      </c>
      <c r="CU84" s="228">
        <f>IF(AND(CU$11&gt;=(12*(YEAR('Renovation Budget'!$F$14)-YEAR(Assumptions!$F$11))+(MONTH('Renovation Budget'!$F$14)-MONTH(Assumptions!$F$11))),CU$11&lt;=((12*(YEAR('Renovation Budget'!$F$14)-YEAR(Assumptions!$F$11))+(MONTH('Renovation Budget'!$F$14)-MONTH(Assumptions!$F$11)))+'Renovation Budget'!$G$14-1)),-'Renovation Budget'!$C$14/'Renovation Budget'!$G$14,0)</f>
        <v/>
      </c>
      <c r="CV84" s="228">
        <f>IF(AND(CV$11&gt;=(12*(YEAR('Renovation Budget'!$F$14)-YEAR(Assumptions!$F$11))+(MONTH('Renovation Budget'!$F$14)-MONTH(Assumptions!$F$11))),CV$11&lt;=((12*(YEAR('Renovation Budget'!$F$14)-YEAR(Assumptions!$F$11))+(MONTH('Renovation Budget'!$F$14)-MONTH(Assumptions!$F$11)))+'Renovation Budget'!$G$14-1)),-'Renovation Budget'!$C$14/'Renovation Budget'!$G$14,0)</f>
        <v/>
      </c>
      <c r="CW84" s="228">
        <f>IF(AND(CW$11&gt;=(12*(YEAR('Renovation Budget'!$F$14)-YEAR(Assumptions!$F$11))+(MONTH('Renovation Budget'!$F$14)-MONTH(Assumptions!$F$11))),CW$11&lt;=((12*(YEAR('Renovation Budget'!$F$14)-YEAR(Assumptions!$F$11))+(MONTH('Renovation Budget'!$F$14)-MONTH(Assumptions!$F$11)))+'Renovation Budget'!$G$14-1)),-'Renovation Budget'!$C$14/'Renovation Budget'!$G$14,0)</f>
        <v/>
      </c>
      <c r="CX84" s="228">
        <f>IF(AND(CX$11&gt;=(12*(YEAR('Renovation Budget'!$F$14)-YEAR(Assumptions!$F$11))+(MONTH('Renovation Budget'!$F$14)-MONTH(Assumptions!$F$11))),CX$11&lt;=((12*(YEAR('Renovation Budget'!$F$14)-YEAR(Assumptions!$F$11))+(MONTH('Renovation Budget'!$F$14)-MONTH(Assumptions!$F$11)))+'Renovation Budget'!$G$14-1)),-'Renovation Budget'!$C$14/'Renovation Budget'!$G$14,0)</f>
        <v/>
      </c>
      <c r="CY84" s="228">
        <f>IF(AND(CY$11&gt;=(12*(YEAR('Renovation Budget'!$F$14)-YEAR(Assumptions!$F$11))+(MONTH('Renovation Budget'!$F$14)-MONTH(Assumptions!$F$11))),CY$11&lt;=((12*(YEAR('Renovation Budget'!$F$14)-YEAR(Assumptions!$F$11))+(MONTH('Renovation Budget'!$F$14)-MONTH(Assumptions!$F$11)))+'Renovation Budget'!$G$14-1)),-'Renovation Budget'!$C$14/'Renovation Budget'!$G$14,0)</f>
        <v/>
      </c>
      <c r="CZ84" s="228">
        <f>IF(AND(CZ$11&gt;=(12*(YEAR('Renovation Budget'!$F$14)-YEAR(Assumptions!$F$11))+(MONTH('Renovation Budget'!$F$14)-MONTH(Assumptions!$F$11))),CZ$11&lt;=((12*(YEAR('Renovation Budget'!$F$14)-YEAR(Assumptions!$F$11))+(MONTH('Renovation Budget'!$F$14)-MONTH(Assumptions!$F$11)))+'Renovation Budget'!$G$14-1)),-'Renovation Budget'!$C$14/'Renovation Budget'!$G$14,0)</f>
        <v/>
      </c>
      <c r="DA84" s="228">
        <f>IF(AND(DA$11&gt;=(12*(YEAR('Renovation Budget'!$F$14)-YEAR(Assumptions!$F$11))+(MONTH('Renovation Budget'!$F$14)-MONTH(Assumptions!$F$11))),DA$11&lt;=((12*(YEAR('Renovation Budget'!$F$14)-YEAR(Assumptions!$F$11))+(MONTH('Renovation Budget'!$F$14)-MONTH(Assumptions!$F$11)))+'Renovation Budget'!$G$14-1)),-'Renovation Budget'!$C$14/'Renovation Budget'!$G$14,0)</f>
        <v/>
      </c>
      <c r="DB84" s="228">
        <f>IF(AND(DB$11&gt;=(12*(YEAR('Renovation Budget'!$F$14)-YEAR(Assumptions!$F$11))+(MONTH('Renovation Budget'!$F$14)-MONTH(Assumptions!$F$11))),DB$11&lt;=((12*(YEAR('Renovation Budget'!$F$14)-YEAR(Assumptions!$F$11))+(MONTH('Renovation Budget'!$F$14)-MONTH(Assumptions!$F$11)))+'Renovation Budget'!$G$14-1)),-'Renovation Budget'!$C$14/'Renovation Budget'!$G$14,0)</f>
        <v/>
      </c>
      <c r="DC84" s="228">
        <f>IF(AND(DC$11&gt;=(12*(YEAR('Renovation Budget'!$F$14)-YEAR(Assumptions!$F$11))+(MONTH('Renovation Budget'!$F$14)-MONTH(Assumptions!$F$11))),DC$11&lt;=((12*(YEAR('Renovation Budget'!$F$14)-YEAR(Assumptions!$F$11))+(MONTH('Renovation Budget'!$F$14)-MONTH(Assumptions!$F$11)))+'Renovation Budget'!$G$14-1)),-'Renovation Budget'!$C$14/'Renovation Budget'!$G$14,0)</f>
        <v/>
      </c>
      <c r="DD84" s="228">
        <f>IF(AND(DD$11&gt;=(12*(YEAR('Renovation Budget'!$F$14)-YEAR(Assumptions!$F$11))+(MONTH('Renovation Budget'!$F$14)-MONTH(Assumptions!$F$11))),DD$11&lt;=((12*(YEAR('Renovation Budget'!$F$14)-YEAR(Assumptions!$F$11))+(MONTH('Renovation Budget'!$F$14)-MONTH(Assumptions!$F$11)))+'Renovation Budget'!$G$14-1)),-'Renovation Budget'!$C$14/'Renovation Budget'!$G$14,0)</f>
        <v/>
      </c>
      <c r="DE84" s="228">
        <f>IF(AND(DE$11&gt;=(12*(YEAR('Renovation Budget'!$F$14)-YEAR(Assumptions!$F$11))+(MONTH('Renovation Budget'!$F$14)-MONTH(Assumptions!$F$11))),DE$11&lt;=((12*(YEAR('Renovation Budget'!$F$14)-YEAR(Assumptions!$F$11))+(MONTH('Renovation Budget'!$F$14)-MONTH(Assumptions!$F$11)))+'Renovation Budget'!$G$14-1)),-'Renovation Budget'!$C$14/'Renovation Budget'!$G$14,0)</f>
        <v/>
      </c>
      <c r="DF84" s="228">
        <f>IF(AND(DF$11&gt;=(12*(YEAR('Renovation Budget'!$F$14)-YEAR(Assumptions!$F$11))+(MONTH('Renovation Budget'!$F$14)-MONTH(Assumptions!$F$11))),DF$11&lt;=((12*(YEAR('Renovation Budget'!$F$14)-YEAR(Assumptions!$F$11))+(MONTH('Renovation Budget'!$F$14)-MONTH(Assumptions!$F$11)))+'Renovation Budget'!$G$14-1)),-'Renovation Budget'!$C$14/'Renovation Budget'!$G$14,0)</f>
        <v/>
      </c>
      <c r="DG84" s="228">
        <f>IF(AND(DG$11&gt;=(12*(YEAR('Renovation Budget'!$F$14)-YEAR(Assumptions!$F$11))+(MONTH('Renovation Budget'!$F$14)-MONTH(Assumptions!$F$11))),DG$11&lt;=((12*(YEAR('Renovation Budget'!$F$14)-YEAR(Assumptions!$F$11))+(MONTH('Renovation Budget'!$F$14)-MONTH(Assumptions!$F$11)))+'Renovation Budget'!$G$14-1)),-'Renovation Budget'!$C$14/'Renovation Budget'!$G$14,0)</f>
        <v/>
      </c>
      <c r="DH84" s="228">
        <f>IF(AND(DH$11&gt;=(12*(YEAR('Renovation Budget'!$F$14)-YEAR(Assumptions!$F$11))+(MONTH('Renovation Budget'!$F$14)-MONTH(Assumptions!$F$11))),DH$11&lt;=((12*(YEAR('Renovation Budget'!$F$14)-YEAR(Assumptions!$F$11))+(MONTH('Renovation Budget'!$F$14)-MONTH(Assumptions!$F$11)))+'Renovation Budget'!$G$14-1)),-'Renovation Budget'!$C$14/'Renovation Budget'!$G$14,0)</f>
        <v/>
      </c>
      <c r="DI84" s="228">
        <f>IF(AND(DI$11&gt;=(12*(YEAR('Renovation Budget'!$F$14)-YEAR(Assumptions!$F$11))+(MONTH('Renovation Budget'!$F$14)-MONTH(Assumptions!$F$11))),DI$11&lt;=((12*(YEAR('Renovation Budget'!$F$14)-YEAR(Assumptions!$F$11))+(MONTH('Renovation Budget'!$F$14)-MONTH(Assumptions!$F$11)))+'Renovation Budget'!$G$14-1)),-'Renovation Budget'!$C$14/'Renovation Budget'!$G$14,0)</f>
        <v/>
      </c>
      <c r="DJ84" s="228">
        <f>IF(AND(DJ$11&gt;=(12*(YEAR('Renovation Budget'!$F$14)-YEAR(Assumptions!$F$11))+(MONTH('Renovation Budget'!$F$14)-MONTH(Assumptions!$F$11))),DJ$11&lt;=((12*(YEAR('Renovation Budget'!$F$14)-YEAR(Assumptions!$F$11))+(MONTH('Renovation Budget'!$F$14)-MONTH(Assumptions!$F$11)))+'Renovation Budget'!$G$14-1)),-'Renovation Budget'!$C$14/'Renovation Budget'!$G$14,0)</f>
        <v/>
      </c>
      <c r="DK84" s="228">
        <f>IF(AND(DK$11&gt;=(12*(YEAR('Renovation Budget'!$F$14)-YEAR(Assumptions!$F$11))+(MONTH('Renovation Budget'!$F$14)-MONTH(Assumptions!$F$11))),DK$11&lt;=((12*(YEAR('Renovation Budget'!$F$14)-YEAR(Assumptions!$F$11))+(MONTH('Renovation Budget'!$F$14)-MONTH(Assumptions!$F$11)))+'Renovation Budget'!$G$14-1)),-'Renovation Budget'!$C$14/'Renovation Budget'!$G$14,0)</f>
        <v/>
      </c>
      <c r="DL84" s="228">
        <f>IF(AND(DL$11&gt;=(12*(YEAR('Renovation Budget'!$F$14)-YEAR(Assumptions!$F$11))+(MONTH('Renovation Budget'!$F$14)-MONTH(Assumptions!$F$11))),DL$11&lt;=((12*(YEAR('Renovation Budget'!$F$14)-YEAR(Assumptions!$F$11))+(MONTH('Renovation Budget'!$F$14)-MONTH(Assumptions!$F$11)))+'Renovation Budget'!$G$14-1)),-'Renovation Budget'!$C$14/'Renovation Budget'!$G$14,0)</f>
        <v/>
      </c>
      <c r="DM84" s="228">
        <f>IF(AND(DM$11&gt;=(12*(YEAR('Renovation Budget'!$F$14)-YEAR(Assumptions!$F$11))+(MONTH('Renovation Budget'!$F$14)-MONTH(Assumptions!$F$11))),DM$11&lt;=((12*(YEAR('Renovation Budget'!$F$14)-YEAR(Assumptions!$F$11))+(MONTH('Renovation Budget'!$F$14)-MONTH(Assumptions!$F$11)))+'Renovation Budget'!$G$14-1)),-'Renovation Budget'!$C$14/'Renovation Budget'!$G$14,0)</f>
        <v/>
      </c>
      <c r="DN84" s="228">
        <f>IF(AND(DN$11&gt;=(12*(YEAR('Renovation Budget'!$F$14)-YEAR(Assumptions!$F$11))+(MONTH('Renovation Budget'!$F$14)-MONTH(Assumptions!$F$11))),DN$11&lt;=((12*(YEAR('Renovation Budget'!$F$14)-YEAR(Assumptions!$F$11))+(MONTH('Renovation Budget'!$F$14)-MONTH(Assumptions!$F$11)))+'Renovation Budget'!$G$14-1)),-'Renovation Budget'!$C$14/'Renovation Budget'!$G$14,0)</f>
        <v/>
      </c>
      <c r="DO84" s="228">
        <f>IF(AND(DO$11&gt;=(12*(YEAR('Renovation Budget'!$F$14)-YEAR(Assumptions!$F$11))+(MONTH('Renovation Budget'!$F$14)-MONTH(Assumptions!$F$11))),DO$11&lt;=((12*(YEAR('Renovation Budget'!$F$14)-YEAR(Assumptions!$F$11))+(MONTH('Renovation Budget'!$F$14)-MONTH(Assumptions!$F$11)))+'Renovation Budget'!$G$14-1)),-'Renovation Budget'!$C$14/'Renovation Budget'!$G$14,0)</f>
        <v/>
      </c>
      <c r="DP84" s="228">
        <f>IF(AND(DP$11&gt;=(12*(YEAR('Renovation Budget'!$F$14)-YEAR(Assumptions!$F$11))+(MONTH('Renovation Budget'!$F$14)-MONTH(Assumptions!$F$11))),DP$11&lt;=((12*(YEAR('Renovation Budget'!$F$14)-YEAR(Assumptions!$F$11))+(MONTH('Renovation Budget'!$F$14)-MONTH(Assumptions!$F$11)))+'Renovation Budget'!$G$14-1)),-'Renovation Budget'!$C$14/'Renovation Budget'!$G$14,0)</f>
        <v/>
      </c>
      <c r="DQ84" s="228">
        <f>IF(AND(DQ$11&gt;=(12*(YEAR('Renovation Budget'!$F$14)-YEAR(Assumptions!$F$11))+(MONTH('Renovation Budget'!$F$14)-MONTH(Assumptions!$F$11))),DQ$11&lt;=((12*(YEAR('Renovation Budget'!$F$14)-YEAR(Assumptions!$F$11))+(MONTH('Renovation Budget'!$F$14)-MONTH(Assumptions!$F$11)))+'Renovation Budget'!$G$14-1)),-'Renovation Budget'!$C$14/'Renovation Budget'!$G$14,0)</f>
        <v/>
      </c>
      <c r="DR84" s="228">
        <f>IF(AND(DR$11&gt;=(12*(YEAR('Renovation Budget'!$F$14)-YEAR(Assumptions!$F$11))+(MONTH('Renovation Budget'!$F$14)-MONTH(Assumptions!$F$11))),DR$11&lt;=((12*(YEAR('Renovation Budget'!$F$14)-YEAR(Assumptions!$F$11))+(MONTH('Renovation Budget'!$F$14)-MONTH(Assumptions!$F$11)))+'Renovation Budget'!$G$14-1)),-'Renovation Budget'!$C$14/'Renovation Budget'!$G$14,0)</f>
        <v/>
      </c>
      <c r="DS84" s="228">
        <f>IF(AND(DS$11&gt;=(12*(YEAR('Renovation Budget'!$F$14)-YEAR(Assumptions!$F$11))+(MONTH('Renovation Budget'!$F$14)-MONTH(Assumptions!$F$11))),DS$11&lt;=((12*(YEAR('Renovation Budget'!$F$14)-YEAR(Assumptions!$F$11))+(MONTH('Renovation Budget'!$F$14)-MONTH(Assumptions!$F$11)))+'Renovation Budget'!$G$14-1)),-'Renovation Budget'!$C$14/'Renovation Budget'!$G$14,0)</f>
        <v/>
      </c>
      <c r="DT84" s="228">
        <f>IF(AND(DT$11&gt;=(12*(YEAR('Renovation Budget'!$F$14)-YEAR(Assumptions!$F$11))+(MONTH('Renovation Budget'!$F$14)-MONTH(Assumptions!$F$11))),DT$11&lt;=((12*(YEAR('Renovation Budget'!$F$14)-YEAR(Assumptions!$F$11))+(MONTH('Renovation Budget'!$F$14)-MONTH(Assumptions!$F$11)))+'Renovation Budget'!$G$14-1)),-'Renovation Budget'!$C$14/'Renovation Budget'!$G$14,0)</f>
        <v/>
      </c>
    </row>
    <row r="85" ht="15" customHeight="1" s="148">
      <c r="A85" s="112" t="inlineStr">
        <is>
          <t>Thermal and Moisture Protection</t>
        </is>
      </c>
      <c r="C85" s="228">
        <f>SUM(D85:DT85)</f>
        <v/>
      </c>
      <c r="D85" s="228">
        <f>IF(AND(D$11&gt;=(12*(YEAR('Renovation Budget'!$F$15)-YEAR(Assumptions!$F$11))+(MONTH('Renovation Budget'!$F$15)-MONTH(Assumptions!$F$11))),D$11&lt;=((12*(YEAR('Renovation Budget'!$F$15)-YEAR(Assumptions!$F$11))+(MONTH('Renovation Budget'!$F$15)-MONTH(Assumptions!$F$11)))+'Renovation Budget'!$G$15-1)),-'Renovation Budget'!$C$15/'Renovation Budget'!$G$15,0)</f>
        <v/>
      </c>
      <c r="E85" s="228">
        <f>IF(AND(E$11&gt;=(12*(YEAR('Renovation Budget'!$F$15)-YEAR(Assumptions!$F$11))+(MONTH('Renovation Budget'!$F$15)-MONTH(Assumptions!$F$11))),E$11&lt;=((12*(YEAR('Renovation Budget'!$F$15)-YEAR(Assumptions!$F$11))+(MONTH('Renovation Budget'!$F$15)-MONTH(Assumptions!$F$11)))+'Renovation Budget'!$G$15-1)),-'Renovation Budget'!$C$15/'Renovation Budget'!$G$15,0)</f>
        <v/>
      </c>
      <c r="F85" s="228">
        <f>IF(AND(F$11&gt;=(12*(YEAR('Renovation Budget'!$F$15)-YEAR(Assumptions!$F$11))+(MONTH('Renovation Budget'!$F$15)-MONTH(Assumptions!$F$11))),F$11&lt;=((12*(YEAR('Renovation Budget'!$F$15)-YEAR(Assumptions!$F$11))+(MONTH('Renovation Budget'!$F$15)-MONTH(Assumptions!$F$11)))+'Renovation Budget'!$G$15-1)),-'Renovation Budget'!$C$15/'Renovation Budget'!$G$15,0)</f>
        <v/>
      </c>
      <c r="G85" s="228">
        <f>IF(AND(G$11&gt;=(12*(YEAR('Renovation Budget'!$F$15)-YEAR(Assumptions!$F$11))+(MONTH('Renovation Budget'!$F$15)-MONTH(Assumptions!$F$11))),G$11&lt;=((12*(YEAR('Renovation Budget'!$F$15)-YEAR(Assumptions!$F$11))+(MONTH('Renovation Budget'!$F$15)-MONTH(Assumptions!$F$11)))+'Renovation Budget'!$G$15-1)),-'Renovation Budget'!$C$15/'Renovation Budget'!$G$15,0)</f>
        <v/>
      </c>
      <c r="H85" s="228">
        <f>IF(AND(H$11&gt;=(12*(YEAR('Renovation Budget'!$F$15)-YEAR(Assumptions!$F$11))+(MONTH('Renovation Budget'!$F$15)-MONTH(Assumptions!$F$11))),H$11&lt;=((12*(YEAR('Renovation Budget'!$F$15)-YEAR(Assumptions!$F$11))+(MONTH('Renovation Budget'!$F$15)-MONTH(Assumptions!$F$11)))+'Renovation Budget'!$G$15-1)),-'Renovation Budget'!$C$15/'Renovation Budget'!$G$15,0)</f>
        <v/>
      </c>
      <c r="I85" s="228">
        <f>IF(AND(I$11&gt;=(12*(YEAR('Renovation Budget'!$F$15)-YEAR(Assumptions!$F$11))+(MONTH('Renovation Budget'!$F$15)-MONTH(Assumptions!$F$11))),I$11&lt;=((12*(YEAR('Renovation Budget'!$F$15)-YEAR(Assumptions!$F$11))+(MONTH('Renovation Budget'!$F$15)-MONTH(Assumptions!$F$11)))+'Renovation Budget'!$G$15-1)),-'Renovation Budget'!$C$15/'Renovation Budget'!$G$15,0)</f>
        <v/>
      </c>
      <c r="J85" s="228">
        <f>IF(AND(J$11&gt;=(12*(YEAR('Renovation Budget'!$F$15)-YEAR(Assumptions!$F$11))+(MONTH('Renovation Budget'!$F$15)-MONTH(Assumptions!$F$11))),J$11&lt;=((12*(YEAR('Renovation Budget'!$F$15)-YEAR(Assumptions!$F$11))+(MONTH('Renovation Budget'!$F$15)-MONTH(Assumptions!$F$11)))+'Renovation Budget'!$G$15-1)),-'Renovation Budget'!$C$15/'Renovation Budget'!$G$15,0)</f>
        <v/>
      </c>
      <c r="K85" s="228">
        <f>IF(AND(K$11&gt;=(12*(YEAR('Renovation Budget'!$F$15)-YEAR(Assumptions!$F$11))+(MONTH('Renovation Budget'!$F$15)-MONTH(Assumptions!$F$11))),K$11&lt;=((12*(YEAR('Renovation Budget'!$F$15)-YEAR(Assumptions!$F$11))+(MONTH('Renovation Budget'!$F$15)-MONTH(Assumptions!$F$11)))+'Renovation Budget'!$G$15-1)),-'Renovation Budget'!$C$15/'Renovation Budget'!$G$15,0)</f>
        <v/>
      </c>
      <c r="L85" s="228">
        <f>IF(AND(L$11&gt;=(12*(YEAR('Renovation Budget'!$F$15)-YEAR(Assumptions!$F$11))+(MONTH('Renovation Budget'!$F$15)-MONTH(Assumptions!$F$11))),L$11&lt;=((12*(YEAR('Renovation Budget'!$F$15)-YEAR(Assumptions!$F$11))+(MONTH('Renovation Budget'!$F$15)-MONTH(Assumptions!$F$11)))+'Renovation Budget'!$G$15-1)),-'Renovation Budget'!$C$15/'Renovation Budget'!$G$15,0)</f>
        <v/>
      </c>
      <c r="M85" s="228">
        <f>IF(AND(M$11&gt;=(12*(YEAR('Renovation Budget'!$F$15)-YEAR(Assumptions!$F$11))+(MONTH('Renovation Budget'!$F$15)-MONTH(Assumptions!$F$11))),M$11&lt;=((12*(YEAR('Renovation Budget'!$F$15)-YEAR(Assumptions!$F$11))+(MONTH('Renovation Budget'!$F$15)-MONTH(Assumptions!$F$11)))+'Renovation Budget'!$G$15-1)),-'Renovation Budget'!$C$15/'Renovation Budget'!$G$15,0)</f>
        <v/>
      </c>
      <c r="N85" s="228">
        <f>IF(AND(N$11&gt;=(12*(YEAR('Renovation Budget'!$F$15)-YEAR(Assumptions!$F$11))+(MONTH('Renovation Budget'!$F$15)-MONTH(Assumptions!$F$11))),N$11&lt;=((12*(YEAR('Renovation Budget'!$F$15)-YEAR(Assumptions!$F$11))+(MONTH('Renovation Budget'!$F$15)-MONTH(Assumptions!$F$11)))+'Renovation Budget'!$G$15-1)),-'Renovation Budget'!$C$15/'Renovation Budget'!$G$15,0)</f>
        <v/>
      </c>
      <c r="O85" s="228">
        <f>IF(AND(O$11&gt;=(12*(YEAR('Renovation Budget'!$F$15)-YEAR(Assumptions!$F$11))+(MONTH('Renovation Budget'!$F$15)-MONTH(Assumptions!$F$11))),O$11&lt;=((12*(YEAR('Renovation Budget'!$F$15)-YEAR(Assumptions!$F$11))+(MONTH('Renovation Budget'!$F$15)-MONTH(Assumptions!$F$11)))+'Renovation Budget'!$G$15-1)),-'Renovation Budget'!$C$15/'Renovation Budget'!$G$15,0)</f>
        <v/>
      </c>
      <c r="P85" s="228">
        <f>IF(AND(P$11&gt;=(12*(YEAR('Renovation Budget'!$F$15)-YEAR(Assumptions!$F$11))+(MONTH('Renovation Budget'!$F$15)-MONTH(Assumptions!$F$11))),P$11&lt;=((12*(YEAR('Renovation Budget'!$F$15)-YEAR(Assumptions!$F$11))+(MONTH('Renovation Budget'!$F$15)-MONTH(Assumptions!$F$11)))+'Renovation Budget'!$G$15-1)),-'Renovation Budget'!$C$15/'Renovation Budget'!$G$15,0)</f>
        <v/>
      </c>
      <c r="Q85" s="228">
        <f>IF(AND(Q$11&gt;=(12*(YEAR('Renovation Budget'!$F$15)-YEAR(Assumptions!$F$11))+(MONTH('Renovation Budget'!$F$15)-MONTH(Assumptions!$F$11))),Q$11&lt;=((12*(YEAR('Renovation Budget'!$F$15)-YEAR(Assumptions!$F$11))+(MONTH('Renovation Budget'!$F$15)-MONTH(Assumptions!$F$11)))+'Renovation Budget'!$G$15-1)),-'Renovation Budget'!$C$15/'Renovation Budget'!$G$15,0)</f>
        <v/>
      </c>
      <c r="R85" s="228">
        <f>IF(AND(R$11&gt;=(12*(YEAR('Renovation Budget'!$F$15)-YEAR(Assumptions!$F$11))+(MONTH('Renovation Budget'!$F$15)-MONTH(Assumptions!$F$11))),R$11&lt;=((12*(YEAR('Renovation Budget'!$F$15)-YEAR(Assumptions!$F$11))+(MONTH('Renovation Budget'!$F$15)-MONTH(Assumptions!$F$11)))+'Renovation Budget'!$G$15-1)),-'Renovation Budget'!$C$15/'Renovation Budget'!$G$15,0)</f>
        <v/>
      </c>
      <c r="S85" s="228">
        <f>IF(AND(S$11&gt;=(12*(YEAR('Renovation Budget'!$F$15)-YEAR(Assumptions!$F$11))+(MONTH('Renovation Budget'!$F$15)-MONTH(Assumptions!$F$11))),S$11&lt;=((12*(YEAR('Renovation Budget'!$F$15)-YEAR(Assumptions!$F$11))+(MONTH('Renovation Budget'!$F$15)-MONTH(Assumptions!$F$11)))+'Renovation Budget'!$G$15-1)),-'Renovation Budget'!$C$15/'Renovation Budget'!$G$15,0)</f>
        <v/>
      </c>
      <c r="T85" s="228">
        <f>IF(AND(T$11&gt;=(12*(YEAR('Renovation Budget'!$F$15)-YEAR(Assumptions!$F$11))+(MONTH('Renovation Budget'!$F$15)-MONTH(Assumptions!$F$11))),T$11&lt;=((12*(YEAR('Renovation Budget'!$F$15)-YEAR(Assumptions!$F$11))+(MONTH('Renovation Budget'!$F$15)-MONTH(Assumptions!$F$11)))+'Renovation Budget'!$G$15-1)),-'Renovation Budget'!$C$15/'Renovation Budget'!$G$15,0)</f>
        <v/>
      </c>
      <c r="U85" s="228">
        <f>IF(AND(U$11&gt;=(12*(YEAR('Renovation Budget'!$F$15)-YEAR(Assumptions!$F$11))+(MONTH('Renovation Budget'!$F$15)-MONTH(Assumptions!$F$11))),U$11&lt;=((12*(YEAR('Renovation Budget'!$F$15)-YEAR(Assumptions!$F$11))+(MONTH('Renovation Budget'!$F$15)-MONTH(Assumptions!$F$11)))+'Renovation Budget'!$G$15-1)),-'Renovation Budget'!$C$15/'Renovation Budget'!$G$15,0)</f>
        <v/>
      </c>
      <c r="V85" s="228">
        <f>IF(AND(V$11&gt;=(12*(YEAR('Renovation Budget'!$F$15)-YEAR(Assumptions!$F$11))+(MONTH('Renovation Budget'!$F$15)-MONTH(Assumptions!$F$11))),V$11&lt;=((12*(YEAR('Renovation Budget'!$F$15)-YEAR(Assumptions!$F$11))+(MONTH('Renovation Budget'!$F$15)-MONTH(Assumptions!$F$11)))+'Renovation Budget'!$G$15-1)),-'Renovation Budget'!$C$15/'Renovation Budget'!$G$15,0)</f>
        <v/>
      </c>
      <c r="W85" s="228">
        <f>IF(AND(W$11&gt;=(12*(YEAR('Renovation Budget'!$F$15)-YEAR(Assumptions!$F$11))+(MONTH('Renovation Budget'!$F$15)-MONTH(Assumptions!$F$11))),W$11&lt;=((12*(YEAR('Renovation Budget'!$F$15)-YEAR(Assumptions!$F$11))+(MONTH('Renovation Budget'!$F$15)-MONTH(Assumptions!$F$11)))+'Renovation Budget'!$G$15-1)),-'Renovation Budget'!$C$15/'Renovation Budget'!$G$15,0)</f>
        <v/>
      </c>
      <c r="X85" s="228">
        <f>IF(AND(X$11&gt;=(12*(YEAR('Renovation Budget'!$F$15)-YEAR(Assumptions!$F$11))+(MONTH('Renovation Budget'!$F$15)-MONTH(Assumptions!$F$11))),X$11&lt;=((12*(YEAR('Renovation Budget'!$F$15)-YEAR(Assumptions!$F$11))+(MONTH('Renovation Budget'!$F$15)-MONTH(Assumptions!$F$11)))+'Renovation Budget'!$G$15-1)),-'Renovation Budget'!$C$15/'Renovation Budget'!$G$15,0)</f>
        <v/>
      </c>
      <c r="Y85" s="228">
        <f>IF(AND(Y$11&gt;=(12*(YEAR('Renovation Budget'!$F$15)-YEAR(Assumptions!$F$11))+(MONTH('Renovation Budget'!$F$15)-MONTH(Assumptions!$F$11))),Y$11&lt;=((12*(YEAR('Renovation Budget'!$F$15)-YEAR(Assumptions!$F$11))+(MONTH('Renovation Budget'!$F$15)-MONTH(Assumptions!$F$11)))+'Renovation Budget'!$G$15-1)),-'Renovation Budget'!$C$15/'Renovation Budget'!$G$15,0)</f>
        <v/>
      </c>
      <c r="Z85" s="228">
        <f>IF(AND(Z$11&gt;=(12*(YEAR('Renovation Budget'!$F$15)-YEAR(Assumptions!$F$11))+(MONTH('Renovation Budget'!$F$15)-MONTH(Assumptions!$F$11))),Z$11&lt;=((12*(YEAR('Renovation Budget'!$F$15)-YEAR(Assumptions!$F$11))+(MONTH('Renovation Budget'!$F$15)-MONTH(Assumptions!$F$11)))+'Renovation Budget'!$G$15-1)),-'Renovation Budget'!$C$15/'Renovation Budget'!$G$15,0)</f>
        <v/>
      </c>
      <c r="AA85" s="228">
        <f>IF(AND(AA$11&gt;=(12*(YEAR('Renovation Budget'!$F$15)-YEAR(Assumptions!$F$11))+(MONTH('Renovation Budget'!$F$15)-MONTH(Assumptions!$F$11))),AA$11&lt;=((12*(YEAR('Renovation Budget'!$F$15)-YEAR(Assumptions!$F$11))+(MONTH('Renovation Budget'!$F$15)-MONTH(Assumptions!$F$11)))+'Renovation Budget'!$G$15-1)),-'Renovation Budget'!$C$15/'Renovation Budget'!$G$15,0)</f>
        <v/>
      </c>
      <c r="AB85" s="228">
        <f>IF(AND(AB$11&gt;=(12*(YEAR('Renovation Budget'!$F$15)-YEAR(Assumptions!$F$11))+(MONTH('Renovation Budget'!$F$15)-MONTH(Assumptions!$F$11))),AB$11&lt;=((12*(YEAR('Renovation Budget'!$F$15)-YEAR(Assumptions!$F$11))+(MONTH('Renovation Budget'!$F$15)-MONTH(Assumptions!$F$11)))+'Renovation Budget'!$G$15-1)),-'Renovation Budget'!$C$15/'Renovation Budget'!$G$15,0)</f>
        <v/>
      </c>
      <c r="AC85" s="228">
        <f>IF(AND(AC$11&gt;=(12*(YEAR('Renovation Budget'!$F$15)-YEAR(Assumptions!$F$11))+(MONTH('Renovation Budget'!$F$15)-MONTH(Assumptions!$F$11))),AC$11&lt;=((12*(YEAR('Renovation Budget'!$F$15)-YEAR(Assumptions!$F$11))+(MONTH('Renovation Budget'!$F$15)-MONTH(Assumptions!$F$11)))+'Renovation Budget'!$G$15-1)),-'Renovation Budget'!$C$15/'Renovation Budget'!$G$15,0)</f>
        <v/>
      </c>
      <c r="AD85" s="228">
        <f>IF(AND(AD$11&gt;=(12*(YEAR('Renovation Budget'!$F$15)-YEAR(Assumptions!$F$11))+(MONTH('Renovation Budget'!$F$15)-MONTH(Assumptions!$F$11))),AD$11&lt;=((12*(YEAR('Renovation Budget'!$F$15)-YEAR(Assumptions!$F$11))+(MONTH('Renovation Budget'!$F$15)-MONTH(Assumptions!$F$11)))+'Renovation Budget'!$G$15-1)),-'Renovation Budget'!$C$15/'Renovation Budget'!$G$15,0)</f>
        <v/>
      </c>
      <c r="AE85" s="228">
        <f>IF(AND(AE$11&gt;=(12*(YEAR('Renovation Budget'!$F$15)-YEAR(Assumptions!$F$11))+(MONTH('Renovation Budget'!$F$15)-MONTH(Assumptions!$F$11))),AE$11&lt;=((12*(YEAR('Renovation Budget'!$F$15)-YEAR(Assumptions!$F$11))+(MONTH('Renovation Budget'!$F$15)-MONTH(Assumptions!$F$11)))+'Renovation Budget'!$G$15-1)),-'Renovation Budget'!$C$15/'Renovation Budget'!$G$15,0)</f>
        <v/>
      </c>
      <c r="AF85" s="228">
        <f>IF(AND(AF$11&gt;=(12*(YEAR('Renovation Budget'!$F$15)-YEAR(Assumptions!$F$11))+(MONTH('Renovation Budget'!$F$15)-MONTH(Assumptions!$F$11))),AF$11&lt;=((12*(YEAR('Renovation Budget'!$F$15)-YEAR(Assumptions!$F$11))+(MONTH('Renovation Budget'!$F$15)-MONTH(Assumptions!$F$11)))+'Renovation Budget'!$G$15-1)),-'Renovation Budget'!$C$15/'Renovation Budget'!$G$15,0)</f>
        <v/>
      </c>
      <c r="AG85" s="228">
        <f>IF(AND(AG$11&gt;=(12*(YEAR('Renovation Budget'!$F$15)-YEAR(Assumptions!$F$11))+(MONTH('Renovation Budget'!$F$15)-MONTH(Assumptions!$F$11))),AG$11&lt;=((12*(YEAR('Renovation Budget'!$F$15)-YEAR(Assumptions!$F$11))+(MONTH('Renovation Budget'!$F$15)-MONTH(Assumptions!$F$11)))+'Renovation Budget'!$G$15-1)),-'Renovation Budget'!$C$15/'Renovation Budget'!$G$15,0)</f>
        <v/>
      </c>
      <c r="AH85" s="228">
        <f>IF(AND(AH$11&gt;=(12*(YEAR('Renovation Budget'!$F$15)-YEAR(Assumptions!$F$11))+(MONTH('Renovation Budget'!$F$15)-MONTH(Assumptions!$F$11))),AH$11&lt;=((12*(YEAR('Renovation Budget'!$F$15)-YEAR(Assumptions!$F$11))+(MONTH('Renovation Budget'!$F$15)-MONTH(Assumptions!$F$11)))+'Renovation Budget'!$G$15-1)),-'Renovation Budget'!$C$15/'Renovation Budget'!$G$15,0)</f>
        <v/>
      </c>
      <c r="AI85" s="228">
        <f>IF(AND(AI$11&gt;=(12*(YEAR('Renovation Budget'!$F$15)-YEAR(Assumptions!$F$11))+(MONTH('Renovation Budget'!$F$15)-MONTH(Assumptions!$F$11))),AI$11&lt;=((12*(YEAR('Renovation Budget'!$F$15)-YEAR(Assumptions!$F$11))+(MONTH('Renovation Budget'!$F$15)-MONTH(Assumptions!$F$11)))+'Renovation Budget'!$G$15-1)),-'Renovation Budget'!$C$15/'Renovation Budget'!$G$15,0)</f>
        <v/>
      </c>
      <c r="AJ85" s="228">
        <f>IF(AND(AJ$11&gt;=(12*(YEAR('Renovation Budget'!$F$15)-YEAR(Assumptions!$F$11))+(MONTH('Renovation Budget'!$F$15)-MONTH(Assumptions!$F$11))),AJ$11&lt;=((12*(YEAR('Renovation Budget'!$F$15)-YEAR(Assumptions!$F$11))+(MONTH('Renovation Budget'!$F$15)-MONTH(Assumptions!$F$11)))+'Renovation Budget'!$G$15-1)),-'Renovation Budget'!$C$15/'Renovation Budget'!$G$15,0)</f>
        <v/>
      </c>
      <c r="AK85" s="228">
        <f>IF(AND(AK$11&gt;=(12*(YEAR('Renovation Budget'!$F$15)-YEAR(Assumptions!$F$11))+(MONTH('Renovation Budget'!$F$15)-MONTH(Assumptions!$F$11))),AK$11&lt;=((12*(YEAR('Renovation Budget'!$F$15)-YEAR(Assumptions!$F$11))+(MONTH('Renovation Budget'!$F$15)-MONTH(Assumptions!$F$11)))+'Renovation Budget'!$G$15-1)),-'Renovation Budget'!$C$15/'Renovation Budget'!$G$15,0)</f>
        <v/>
      </c>
      <c r="AL85" s="228">
        <f>IF(AND(AL$11&gt;=(12*(YEAR('Renovation Budget'!$F$15)-YEAR(Assumptions!$F$11))+(MONTH('Renovation Budget'!$F$15)-MONTH(Assumptions!$F$11))),AL$11&lt;=((12*(YEAR('Renovation Budget'!$F$15)-YEAR(Assumptions!$F$11))+(MONTH('Renovation Budget'!$F$15)-MONTH(Assumptions!$F$11)))+'Renovation Budget'!$G$15-1)),-'Renovation Budget'!$C$15/'Renovation Budget'!$G$15,0)</f>
        <v/>
      </c>
      <c r="AM85" s="228">
        <f>IF(AND(AM$11&gt;=(12*(YEAR('Renovation Budget'!$F$15)-YEAR(Assumptions!$F$11))+(MONTH('Renovation Budget'!$F$15)-MONTH(Assumptions!$F$11))),AM$11&lt;=((12*(YEAR('Renovation Budget'!$F$15)-YEAR(Assumptions!$F$11))+(MONTH('Renovation Budget'!$F$15)-MONTH(Assumptions!$F$11)))+'Renovation Budget'!$G$15-1)),-'Renovation Budget'!$C$15/'Renovation Budget'!$G$15,0)</f>
        <v/>
      </c>
      <c r="AN85" s="228">
        <f>IF(AND(AN$11&gt;=(12*(YEAR('Renovation Budget'!$F$15)-YEAR(Assumptions!$F$11))+(MONTH('Renovation Budget'!$F$15)-MONTH(Assumptions!$F$11))),AN$11&lt;=((12*(YEAR('Renovation Budget'!$F$15)-YEAR(Assumptions!$F$11))+(MONTH('Renovation Budget'!$F$15)-MONTH(Assumptions!$F$11)))+'Renovation Budget'!$G$15-1)),-'Renovation Budget'!$C$15/'Renovation Budget'!$G$15,0)</f>
        <v/>
      </c>
      <c r="AO85" s="228">
        <f>IF(AND(AO$11&gt;=(12*(YEAR('Renovation Budget'!$F$15)-YEAR(Assumptions!$F$11))+(MONTH('Renovation Budget'!$F$15)-MONTH(Assumptions!$F$11))),AO$11&lt;=((12*(YEAR('Renovation Budget'!$F$15)-YEAR(Assumptions!$F$11))+(MONTH('Renovation Budget'!$F$15)-MONTH(Assumptions!$F$11)))+'Renovation Budget'!$G$15-1)),-'Renovation Budget'!$C$15/'Renovation Budget'!$G$15,0)</f>
        <v/>
      </c>
      <c r="AP85" s="228">
        <f>IF(AND(AP$11&gt;=(12*(YEAR('Renovation Budget'!$F$15)-YEAR(Assumptions!$F$11))+(MONTH('Renovation Budget'!$F$15)-MONTH(Assumptions!$F$11))),AP$11&lt;=((12*(YEAR('Renovation Budget'!$F$15)-YEAR(Assumptions!$F$11))+(MONTH('Renovation Budget'!$F$15)-MONTH(Assumptions!$F$11)))+'Renovation Budget'!$G$15-1)),-'Renovation Budget'!$C$15/'Renovation Budget'!$G$15,0)</f>
        <v/>
      </c>
      <c r="AQ85" s="228">
        <f>IF(AND(AQ$11&gt;=(12*(YEAR('Renovation Budget'!$F$15)-YEAR(Assumptions!$F$11))+(MONTH('Renovation Budget'!$F$15)-MONTH(Assumptions!$F$11))),AQ$11&lt;=((12*(YEAR('Renovation Budget'!$F$15)-YEAR(Assumptions!$F$11))+(MONTH('Renovation Budget'!$F$15)-MONTH(Assumptions!$F$11)))+'Renovation Budget'!$G$15-1)),-'Renovation Budget'!$C$15/'Renovation Budget'!$G$15,0)</f>
        <v/>
      </c>
      <c r="AR85" s="228">
        <f>IF(AND(AR$11&gt;=(12*(YEAR('Renovation Budget'!$F$15)-YEAR(Assumptions!$F$11))+(MONTH('Renovation Budget'!$F$15)-MONTH(Assumptions!$F$11))),AR$11&lt;=((12*(YEAR('Renovation Budget'!$F$15)-YEAR(Assumptions!$F$11))+(MONTH('Renovation Budget'!$F$15)-MONTH(Assumptions!$F$11)))+'Renovation Budget'!$G$15-1)),-'Renovation Budget'!$C$15/'Renovation Budget'!$G$15,0)</f>
        <v/>
      </c>
      <c r="AS85" s="228">
        <f>IF(AND(AS$11&gt;=(12*(YEAR('Renovation Budget'!$F$15)-YEAR(Assumptions!$F$11))+(MONTH('Renovation Budget'!$F$15)-MONTH(Assumptions!$F$11))),AS$11&lt;=((12*(YEAR('Renovation Budget'!$F$15)-YEAR(Assumptions!$F$11))+(MONTH('Renovation Budget'!$F$15)-MONTH(Assumptions!$F$11)))+'Renovation Budget'!$G$15-1)),-'Renovation Budget'!$C$15/'Renovation Budget'!$G$15,0)</f>
        <v/>
      </c>
      <c r="AT85" s="228">
        <f>IF(AND(AT$11&gt;=(12*(YEAR('Renovation Budget'!$F$15)-YEAR(Assumptions!$F$11))+(MONTH('Renovation Budget'!$F$15)-MONTH(Assumptions!$F$11))),AT$11&lt;=((12*(YEAR('Renovation Budget'!$F$15)-YEAR(Assumptions!$F$11))+(MONTH('Renovation Budget'!$F$15)-MONTH(Assumptions!$F$11)))+'Renovation Budget'!$G$15-1)),-'Renovation Budget'!$C$15/'Renovation Budget'!$G$15,0)</f>
        <v/>
      </c>
      <c r="AU85" s="228">
        <f>IF(AND(AU$11&gt;=(12*(YEAR('Renovation Budget'!$F$15)-YEAR(Assumptions!$F$11))+(MONTH('Renovation Budget'!$F$15)-MONTH(Assumptions!$F$11))),AU$11&lt;=((12*(YEAR('Renovation Budget'!$F$15)-YEAR(Assumptions!$F$11))+(MONTH('Renovation Budget'!$F$15)-MONTH(Assumptions!$F$11)))+'Renovation Budget'!$G$15-1)),-'Renovation Budget'!$C$15/'Renovation Budget'!$G$15,0)</f>
        <v/>
      </c>
      <c r="AV85" s="228">
        <f>IF(AND(AV$11&gt;=(12*(YEAR('Renovation Budget'!$F$15)-YEAR(Assumptions!$F$11))+(MONTH('Renovation Budget'!$F$15)-MONTH(Assumptions!$F$11))),AV$11&lt;=((12*(YEAR('Renovation Budget'!$F$15)-YEAR(Assumptions!$F$11))+(MONTH('Renovation Budget'!$F$15)-MONTH(Assumptions!$F$11)))+'Renovation Budget'!$G$15-1)),-'Renovation Budget'!$C$15/'Renovation Budget'!$G$15,0)</f>
        <v/>
      </c>
      <c r="AW85" s="228">
        <f>IF(AND(AW$11&gt;=(12*(YEAR('Renovation Budget'!$F$15)-YEAR(Assumptions!$F$11))+(MONTH('Renovation Budget'!$F$15)-MONTH(Assumptions!$F$11))),AW$11&lt;=((12*(YEAR('Renovation Budget'!$F$15)-YEAR(Assumptions!$F$11))+(MONTH('Renovation Budget'!$F$15)-MONTH(Assumptions!$F$11)))+'Renovation Budget'!$G$15-1)),-'Renovation Budget'!$C$15/'Renovation Budget'!$G$15,0)</f>
        <v/>
      </c>
      <c r="AX85" s="228">
        <f>IF(AND(AX$11&gt;=(12*(YEAR('Renovation Budget'!$F$15)-YEAR(Assumptions!$F$11))+(MONTH('Renovation Budget'!$F$15)-MONTH(Assumptions!$F$11))),AX$11&lt;=((12*(YEAR('Renovation Budget'!$F$15)-YEAR(Assumptions!$F$11))+(MONTH('Renovation Budget'!$F$15)-MONTH(Assumptions!$F$11)))+'Renovation Budget'!$G$15-1)),-'Renovation Budget'!$C$15/'Renovation Budget'!$G$15,0)</f>
        <v/>
      </c>
      <c r="AY85" s="228">
        <f>IF(AND(AY$11&gt;=(12*(YEAR('Renovation Budget'!$F$15)-YEAR(Assumptions!$F$11))+(MONTH('Renovation Budget'!$F$15)-MONTH(Assumptions!$F$11))),AY$11&lt;=((12*(YEAR('Renovation Budget'!$F$15)-YEAR(Assumptions!$F$11))+(MONTH('Renovation Budget'!$F$15)-MONTH(Assumptions!$F$11)))+'Renovation Budget'!$G$15-1)),-'Renovation Budget'!$C$15/'Renovation Budget'!$G$15,0)</f>
        <v/>
      </c>
      <c r="AZ85" s="228">
        <f>IF(AND(AZ$11&gt;=(12*(YEAR('Renovation Budget'!$F$15)-YEAR(Assumptions!$F$11))+(MONTH('Renovation Budget'!$F$15)-MONTH(Assumptions!$F$11))),AZ$11&lt;=((12*(YEAR('Renovation Budget'!$F$15)-YEAR(Assumptions!$F$11))+(MONTH('Renovation Budget'!$F$15)-MONTH(Assumptions!$F$11)))+'Renovation Budget'!$G$15-1)),-'Renovation Budget'!$C$15/'Renovation Budget'!$G$15,0)</f>
        <v/>
      </c>
      <c r="BA85" s="228">
        <f>IF(AND(BA$11&gt;=(12*(YEAR('Renovation Budget'!$F$15)-YEAR(Assumptions!$F$11))+(MONTH('Renovation Budget'!$F$15)-MONTH(Assumptions!$F$11))),BA$11&lt;=((12*(YEAR('Renovation Budget'!$F$15)-YEAR(Assumptions!$F$11))+(MONTH('Renovation Budget'!$F$15)-MONTH(Assumptions!$F$11)))+'Renovation Budget'!$G$15-1)),-'Renovation Budget'!$C$15/'Renovation Budget'!$G$15,0)</f>
        <v/>
      </c>
      <c r="BB85" s="228">
        <f>IF(AND(BB$11&gt;=(12*(YEAR('Renovation Budget'!$F$15)-YEAR(Assumptions!$F$11))+(MONTH('Renovation Budget'!$F$15)-MONTH(Assumptions!$F$11))),BB$11&lt;=((12*(YEAR('Renovation Budget'!$F$15)-YEAR(Assumptions!$F$11))+(MONTH('Renovation Budget'!$F$15)-MONTH(Assumptions!$F$11)))+'Renovation Budget'!$G$15-1)),-'Renovation Budget'!$C$15/'Renovation Budget'!$G$15,0)</f>
        <v/>
      </c>
      <c r="BC85" s="228">
        <f>IF(AND(BC$11&gt;=(12*(YEAR('Renovation Budget'!$F$15)-YEAR(Assumptions!$F$11))+(MONTH('Renovation Budget'!$F$15)-MONTH(Assumptions!$F$11))),BC$11&lt;=((12*(YEAR('Renovation Budget'!$F$15)-YEAR(Assumptions!$F$11))+(MONTH('Renovation Budget'!$F$15)-MONTH(Assumptions!$F$11)))+'Renovation Budget'!$G$15-1)),-'Renovation Budget'!$C$15/'Renovation Budget'!$G$15,0)</f>
        <v/>
      </c>
      <c r="BD85" s="228">
        <f>IF(AND(BD$11&gt;=(12*(YEAR('Renovation Budget'!$F$15)-YEAR(Assumptions!$F$11))+(MONTH('Renovation Budget'!$F$15)-MONTH(Assumptions!$F$11))),BD$11&lt;=((12*(YEAR('Renovation Budget'!$F$15)-YEAR(Assumptions!$F$11))+(MONTH('Renovation Budget'!$F$15)-MONTH(Assumptions!$F$11)))+'Renovation Budget'!$G$15-1)),-'Renovation Budget'!$C$15/'Renovation Budget'!$G$15,0)</f>
        <v/>
      </c>
      <c r="BE85" s="228">
        <f>IF(AND(BE$11&gt;=(12*(YEAR('Renovation Budget'!$F$15)-YEAR(Assumptions!$F$11))+(MONTH('Renovation Budget'!$F$15)-MONTH(Assumptions!$F$11))),BE$11&lt;=((12*(YEAR('Renovation Budget'!$F$15)-YEAR(Assumptions!$F$11))+(MONTH('Renovation Budget'!$F$15)-MONTH(Assumptions!$F$11)))+'Renovation Budget'!$G$15-1)),-'Renovation Budget'!$C$15/'Renovation Budget'!$G$15,0)</f>
        <v/>
      </c>
      <c r="BF85" s="228">
        <f>IF(AND(BF$11&gt;=(12*(YEAR('Renovation Budget'!$F$15)-YEAR(Assumptions!$F$11))+(MONTH('Renovation Budget'!$F$15)-MONTH(Assumptions!$F$11))),BF$11&lt;=((12*(YEAR('Renovation Budget'!$F$15)-YEAR(Assumptions!$F$11))+(MONTH('Renovation Budget'!$F$15)-MONTH(Assumptions!$F$11)))+'Renovation Budget'!$G$15-1)),-'Renovation Budget'!$C$15/'Renovation Budget'!$G$15,0)</f>
        <v/>
      </c>
      <c r="BG85" s="228">
        <f>IF(AND(BG$11&gt;=(12*(YEAR('Renovation Budget'!$F$15)-YEAR(Assumptions!$F$11))+(MONTH('Renovation Budget'!$F$15)-MONTH(Assumptions!$F$11))),BG$11&lt;=((12*(YEAR('Renovation Budget'!$F$15)-YEAR(Assumptions!$F$11))+(MONTH('Renovation Budget'!$F$15)-MONTH(Assumptions!$F$11)))+'Renovation Budget'!$G$15-1)),-'Renovation Budget'!$C$15/'Renovation Budget'!$G$15,0)</f>
        <v/>
      </c>
      <c r="BH85" s="228">
        <f>IF(AND(BH$11&gt;=(12*(YEAR('Renovation Budget'!$F$15)-YEAR(Assumptions!$F$11))+(MONTH('Renovation Budget'!$F$15)-MONTH(Assumptions!$F$11))),BH$11&lt;=((12*(YEAR('Renovation Budget'!$F$15)-YEAR(Assumptions!$F$11))+(MONTH('Renovation Budget'!$F$15)-MONTH(Assumptions!$F$11)))+'Renovation Budget'!$G$15-1)),-'Renovation Budget'!$C$15/'Renovation Budget'!$G$15,0)</f>
        <v/>
      </c>
      <c r="BI85" s="228">
        <f>IF(AND(BI$11&gt;=(12*(YEAR('Renovation Budget'!$F$15)-YEAR(Assumptions!$F$11))+(MONTH('Renovation Budget'!$F$15)-MONTH(Assumptions!$F$11))),BI$11&lt;=((12*(YEAR('Renovation Budget'!$F$15)-YEAR(Assumptions!$F$11))+(MONTH('Renovation Budget'!$F$15)-MONTH(Assumptions!$F$11)))+'Renovation Budget'!$G$15-1)),-'Renovation Budget'!$C$15/'Renovation Budget'!$G$15,0)</f>
        <v/>
      </c>
      <c r="BJ85" s="228">
        <f>IF(AND(BJ$11&gt;=(12*(YEAR('Renovation Budget'!$F$15)-YEAR(Assumptions!$F$11))+(MONTH('Renovation Budget'!$F$15)-MONTH(Assumptions!$F$11))),BJ$11&lt;=((12*(YEAR('Renovation Budget'!$F$15)-YEAR(Assumptions!$F$11))+(MONTH('Renovation Budget'!$F$15)-MONTH(Assumptions!$F$11)))+'Renovation Budget'!$G$15-1)),-'Renovation Budget'!$C$15/'Renovation Budget'!$G$15,0)</f>
        <v/>
      </c>
      <c r="BK85" s="228">
        <f>IF(AND(BK$11&gt;=(12*(YEAR('Renovation Budget'!$F$15)-YEAR(Assumptions!$F$11))+(MONTH('Renovation Budget'!$F$15)-MONTH(Assumptions!$F$11))),BK$11&lt;=((12*(YEAR('Renovation Budget'!$F$15)-YEAR(Assumptions!$F$11))+(MONTH('Renovation Budget'!$F$15)-MONTH(Assumptions!$F$11)))+'Renovation Budget'!$G$15-1)),-'Renovation Budget'!$C$15/'Renovation Budget'!$G$15,0)</f>
        <v/>
      </c>
      <c r="BL85" s="228">
        <f>IF(AND(BL$11&gt;=(12*(YEAR('Renovation Budget'!$F$15)-YEAR(Assumptions!$F$11))+(MONTH('Renovation Budget'!$F$15)-MONTH(Assumptions!$F$11))),BL$11&lt;=((12*(YEAR('Renovation Budget'!$F$15)-YEAR(Assumptions!$F$11))+(MONTH('Renovation Budget'!$F$15)-MONTH(Assumptions!$F$11)))+'Renovation Budget'!$G$15-1)),-'Renovation Budget'!$C$15/'Renovation Budget'!$G$15,0)</f>
        <v/>
      </c>
      <c r="BM85" s="228">
        <f>IF(AND(BM$11&gt;=(12*(YEAR('Renovation Budget'!$F$15)-YEAR(Assumptions!$F$11))+(MONTH('Renovation Budget'!$F$15)-MONTH(Assumptions!$F$11))),BM$11&lt;=((12*(YEAR('Renovation Budget'!$F$15)-YEAR(Assumptions!$F$11))+(MONTH('Renovation Budget'!$F$15)-MONTH(Assumptions!$F$11)))+'Renovation Budget'!$G$15-1)),-'Renovation Budget'!$C$15/'Renovation Budget'!$G$15,0)</f>
        <v/>
      </c>
      <c r="BN85" s="228">
        <f>IF(AND(BN$11&gt;=(12*(YEAR('Renovation Budget'!$F$15)-YEAR(Assumptions!$F$11))+(MONTH('Renovation Budget'!$F$15)-MONTH(Assumptions!$F$11))),BN$11&lt;=((12*(YEAR('Renovation Budget'!$F$15)-YEAR(Assumptions!$F$11))+(MONTH('Renovation Budget'!$F$15)-MONTH(Assumptions!$F$11)))+'Renovation Budget'!$G$15-1)),-'Renovation Budget'!$C$15/'Renovation Budget'!$G$15,0)</f>
        <v/>
      </c>
      <c r="BO85" s="228">
        <f>IF(AND(BO$11&gt;=(12*(YEAR('Renovation Budget'!$F$15)-YEAR(Assumptions!$F$11))+(MONTH('Renovation Budget'!$F$15)-MONTH(Assumptions!$F$11))),BO$11&lt;=((12*(YEAR('Renovation Budget'!$F$15)-YEAR(Assumptions!$F$11))+(MONTH('Renovation Budget'!$F$15)-MONTH(Assumptions!$F$11)))+'Renovation Budget'!$G$15-1)),-'Renovation Budget'!$C$15/'Renovation Budget'!$G$15,0)</f>
        <v/>
      </c>
      <c r="BP85" s="228">
        <f>IF(AND(BP$11&gt;=(12*(YEAR('Renovation Budget'!$F$15)-YEAR(Assumptions!$F$11))+(MONTH('Renovation Budget'!$F$15)-MONTH(Assumptions!$F$11))),BP$11&lt;=((12*(YEAR('Renovation Budget'!$F$15)-YEAR(Assumptions!$F$11))+(MONTH('Renovation Budget'!$F$15)-MONTH(Assumptions!$F$11)))+'Renovation Budget'!$G$15-1)),-'Renovation Budget'!$C$15/'Renovation Budget'!$G$15,0)</f>
        <v/>
      </c>
      <c r="BQ85" s="228">
        <f>IF(AND(BQ$11&gt;=(12*(YEAR('Renovation Budget'!$F$15)-YEAR(Assumptions!$F$11))+(MONTH('Renovation Budget'!$F$15)-MONTH(Assumptions!$F$11))),BQ$11&lt;=((12*(YEAR('Renovation Budget'!$F$15)-YEAR(Assumptions!$F$11))+(MONTH('Renovation Budget'!$F$15)-MONTH(Assumptions!$F$11)))+'Renovation Budget'!$G$15-1)),-'Renovation Budget'!$C$15/'Renovation Budget'!$G$15,0)</f>
        <v/>
      </c>
      <c r="BR85" s="228">
        <f>IF(AND(BR$11&gt;=(12*(YEAR('Renovation Budget'!$F$15)-YEAR(Assumptions!$F$11))+(MONTH('Renovation Budget'!$F$15)-MONTH(Assumptions!$F$11))),BR$11&lt;=((12*(YEAR('Renovation Budget'!$F$15)-YEAR(Assumptions!$F$11))+(MONTH('Renovation Budget'!$F$15)-MONTH(Assumptions!$F$11)))+'Renovation Budget'!$G$15-1)),-'Renovation Budget'!$C$15/'Renovation Budget'!$G$15,0)</f>
        <v/>
      </c>
      <c r="BS85" s="228">
        <f>IF(AND(BS$11&gt;=(12*(YEAR('Renovation Budget'!$F$15)-YEAR(Assumptions!$F$11))+(MONTH('Renovation Budget'!$F$15)-MONTH(Assumptions!$F$11))),BS$11&lt;=((12*(YEAR('Renovation Budget'!$F$15)-YEAR(Assumptions!$F$11))+(MONTH('Renovation Budget'!$F$15)-MONTH(Assumptions!$F$11)))+'Renovation Budget'!$G$15-1)),-'Renovation Budget'!$C$15/'Renovation Budget'!$G$15,0)</f>
        <v/>
      </c>
      <c r="BT85" s="228">
        <f>IF(AND(BT$11&gt;=(12*(YEAR('Renovation Budget'!$F$15)-YEAR(Assumptions!$F$11))+(MONTH('Renovation Budget'!$F$15)-MONTH(Assumptions!$F$11))),BT$11&lt;=((12*(YEAR('Renovation Budget'!$F$15)-YEAR(Assumptions!$F$11))+(MONTH('Renovation Budget'!$F$15)-MONTH(Assumptions!$F$11)))+'Renovation Budget'!$G$15-1)),-'Renovation Budget'!$C$15/'Renovation Budget'!$G$15,0)</f>
        <v/>
      </c>
      <c r="BU85" s="228">
        <f>IF(AND(BU$11&gt;=(12*(YEAR('Renovation Budget'!$F$15)-YEAR(Assumptions!$F$11))+(MONTH('Renovation Budget'!$F$15)-MONTH(Assumptions!$F$11))),BU$11&lt;=((12*(YEAR('Renovation Budget'!$F$15)-YEAR(Assumptions!$F$11))+(MONTH('Renovation Budget'!$F$15)-MONTH(Assumptions!$F$11)))+'Renovation Budget'!$G$15-1)),-'Renovation Budget'!$C$15/'Renovation Budget'!$G$15,0)</f>
        <v/>
      </c>
      <c r="BV85" s="228">
        <f>IF(AND(BV$11&gt;=(12*(YEAR('Renovation Budget'!$F$15)-YEAR(Assumptions!$F$11))+(MONTH('Renovation Budget'!$F$15)-MONTH(Assumptions!$F$11))),BV$11&lt;=((12*(YEAR('Renovation Budget'!$F$15)-YEAR(Assumptions!$F$11))+(MONTH('Renovation Budget'!$F$15)-MONTH(Assumptions!$F$11)))+'Renovation Budget'!$G$15-1)),-'Renovation Budget'!$C$15/'Renovation Budget'!$G$15,0)</f>
        <v/>
      </c>
      <c r="BW85" s="228">
        <f>IF(AND(BW$11&gt;=(12*(YEAR('Renovation Budget'!$F$15)-YEAR(Assumptions!$F$11))+(MONTH('Renovation Budget'!$F$15)-MONTH(Assumptions!$F$11))),BW$11&lt;=((12*(YEAR('Renovation Budget'!$F$15)-YEAR(Assumptions!$F$11))+(MONTH('Renovation Budget'!$F$15)-MONTH(Assumptions!$F$11)))+'Renovation Budget'!$G$15-1)),-'Renovation Budget'!$C$15/'Renovation Budget'!$G$15,0)</f>
        <v/>
      </c>
      <c r="BX85" s="228">
        <f>IF(AND(BX$11&gt;=(12*(YEAR('Renovation Budget'!$F$15)-YEAR(Assumptions!$F$11))+(MONTH('Renovation Budget'!$F$15)-MONTH(Assumptions!$F$11))),BX$11&lt;=((12*(YEAR('Renovation Budget'!$F$15)-YEAR(Assumptions!$F$11))+(MONTH('Renovation Budget'!$F$15)-MONTH(Assumptions!$F$11)))+'Renovation Budget'!$G$15-1)),-'Renovation Budget'!$C$15/'Renovation Budget'!$G$15,0)</f>
        <v/>
      </c>
      <c r="BY85" s="228">
        <f>IF(AND(BY$11&gt;=(12*(YEAR('Renovation Budget'!$F$15)-YEAR(Assumptions!$F$11))+(MONTH('Renovation Budget'!$F$15)-MONTH(Assumptions!$F$11))),BY$11&lt;=((12*(YEAR('Renovation Budget'!$F$15)-YEAR(Assumptions!$F$11))+(MONTH('Renovation Budget'!$F$15)-MONTH(Assumptions!$F$11)))+'Renovation Budget'!$G$15-1)),-'Renovation Budget'!$C$15/'Renovation Budget'!$G$15,0)</f>
        <v/>
      </c>
      <c r="BZ85" s="228">
        <f>IF(AND(BZ$11&gt;=(12*(YEAR('Renovation Budget'!$F$15)-YEAR(Assumptions!$F$11))+(MONTH('Renovation Budget'!$F$15)-MONTH(Assumptions!$F$11))),BZ$11&lt;=((12*(YEAR('Renovation Budget'!$F$15)-YEAR(Assumptions!$F$11))+(MONTH('Renovation Budget'!$F$15)-MONTH(Assumptions!$F$11)))+'Renovation Budget'!$G$15-1)),-'Renovation Budget'!$C$15/'Renovation Budget'!$G$15,0)</f>
        <v/>
      </c>
      <c r="CA85" s="228">
        <f>IF(AND(CA$11&gt;=(12*(YEAR('Renovation Budget'!$F$15)-YEAR(Assumptions!$F$11))+(MONTH('Renovation Budget'!$F$15)-MONTH(Assumptions!$F$11))),CA$11&lt;=((12*(YEAR('Renovation Budget'!$F$15)-YEAR(Assumptions!$F$11))+(MONTH('Renovation Budget'!$F$15)-MONTH(Assumptions!$F$11)))+'Renovation Budget'!$G$15-1)),-'Renovation Budget'!$C$15/'Renovation Budget'!$G$15,0)</f>
        <v/>
      </c>
      <c r="CB85" s="228">
        <f>IF(AND(CB$11&gt;=(12*(YEAR('Renovation Budget'!$F$15)-YEAR(Assumptions!$F$11))+(MONTH('Renovation Budget'!$F$15)-MONTH(Assumptions!$F$11))),CB$11&lt;=((12*(YEAR('Renovation Budget'!$F$15)-YEAR(Assumptions!$F$11))+(MONTH('Renovation Budget'!$F$15)-MONTH(Assumptions!$F$11)))+'Renovation Budget'!$G$15-1)),-'Renovation Budget'!$C$15/'Renovation Budget'!$G$15,0)</f>
        <v/>
      </c>
      <c r="CC85" s="228">
        <f>IF(AND(CC$11&gt;=(12*(YEAR('Renovation Budget'!$F$15)-YEAR(Assumptions!$F$11))+(MONTH('Renovation Budget'!$F$15)-MONTH(Assumptions!$F$11))),CC$11&lt;=((12*(YEAR('Renovation Budget'!$F$15)-YEAR(Assumptions!$F$11))+(MONTH('Renovation Budget'!$F$15)-MONTH(Assumptions!$F$11)))+'Renovation Budget'!$G$15-1)),-'Renovation Budget'!$C$15/'Renovation Budget'!$G$15,0)</f>
        <v/>
      </c>
      <c r="CD85" s="228">
        <f>IF(AND(CD$11&gt;=(12*(YEAR('Renovation Budget'!$F$15)-YEAR(Assumptions!$F$11))+(MONTH('Renovation Budget'!$F$15)-MONTH(Assumptions!$F$11))),CD$11&lt;=((12*(YEAR('Renovation Budget'!$F$15)-YEAR(Assumptions!$F$11))+(MONTH('Renovation Budget'!$F$15)-MONTH(Assumptions!$F$11)))+'Renovation Budget'!$G$15-1)),-'Renovation Budget'!$C$15/'Renovation Budget'!$G$15,0)</f>
        <v/>
      </c>
      <c r="CE85" s="228">
        <f>IF(AND(CE$11&gt;=(12*(YEAR('Renovation Budget'!$F$15)-YEAR(Assumptions!$F$11))+(MONTH('Renovation Budget'!$F$15)-MONTH(Assumptions!$F$11))),CE$11&lt;=((12*(YEAR('Renovation Budget'!$F$15)-YEAR(Assumptions!$F$11))+(MONTH('Renovation Budget'!$F$15)-MONTH(Assumptions!$F$11)))+'Renovation Budget'!$G$15-1)),-'Renovation Budget'!$C$15/'Renovation Budget'!$G$15,0)</f>
        <v/>
      </c>
      <c r="CF85" s="228">
        <f>IF(AND(CF$11&gt;=(12*(YEAR('Renovation Budget'!$F$15)-YEAR(Assumptions!$F$11))+(MONTH('Renovation Budget'!$F$15)-MONTH(Assumptions!$F$11))),CF$11&lt;=((12*(YEAR('Renovation Budget'!$F$15)-YEAR(Assumptions!$F$11))+(MONTH('Renovation Budget'!$F$15)-MONTH(Assumptions!$F$11)))+'Renovation Budget'!$G$15-1)),-'Renovation Budget'!$C$15/'Renovation Budget'!$G$15,0)</f>
        <v/>
      </c>
      <c r="CG85" s="228">
        <f>IF(AND(CG$11&gt;=(12*(YEAR('Renovation Budget'!$F$15)-YEAR(Assumptions!$F$11))+(MONTH('Renovation Budget'!$F$15)-MONTH(Assumptions!$F$11))),CG$11&lt;=((12*(YEAR('Renovation Budget'!$F$15)-YEAR(Assumptions!$F$11))+(MONTH('Renovation Budget'!$F$15)-MONTH(Assumptions!$F$11)))+'Renovation Budget'!$G$15-1)),-'Renovation Budget'!$C$15/'Renovation Budget'!$G$15,0)</f>
        <v/>
      </c>
      <c r="CH85" s="228">
        <f>IF(AND(CH$11&gt;=(12*(YEAR('Renovation Budget'!$F$15)-YEAR(Assumptions!$F$11))+(MONTH('Renovation Budget'!$F$15)-MONTH(Assumptions!$F$11))),CH$11&lt;=((12*(YEAR('Renovation Budget'!$F$15)-YEAR(Assumptions!$F$11))+(MONTH('Renovation Budget'!$F$15)-MONTH(Assumptions!$F$11)))+'Renovation Budget'!$G$15-1)),-'Renovation Budget'!$C$15/'Renovation Budget'!$G$15,0)</f>
        <v/>
      </c>
      <c r="CI85" s="228">
        <f>IF(AND(CI$11&gt;=(12*(YEAR('Renovation Budget'!$F$15)-YEAR(Assumptions!$F$11))+(MONTH('Renovation Budget'!$F$15)-MONTH(Assumptions!$F$11))),CI$11&lt;=((12*(YEAR('Renovation Budget'!$F$15)-YEAR(Assumptions!$F$11))+(MONTH('Renovation Budget'!$F$15)-MONTH(Assumptions!$F$11)))+'Renovation Budget'!$G$15-1)),-'Renovation Budget'!$C$15/'Renovation Budget'!$G$15,0)</f>
        <v/>
      </c>
      <c r="CJ85" s="228">
        <f>IF(AND(CJ$11&gt;=(12*(YEAR('Renovation Budget'!$F$15)-YEAR(Assumptions!$F$11))+(MONTH('Renovation Budget'!$F$15)-MONTH(Assumptions!$F$11))),CJ$11&lt;=((12*(YEAR('Renovation Budget'!$F$15)-YEAR(Assumptions!$F$11))+(MONTH('Renovation Budget'!$F$15)-MONTH(Assumptions!$F$11)))+'Renovation Budget'!$G$15-1)),-'Renovation Budget'!$C$15/'Renovation Budget'!$G$15,0)</f>
        <v/>
      </c>
      <c r="CK85" s="228">
        <f>IF(AND(CK$11&gt;=(12*(YEAR('Renovation Budget'!$F$15)-YEAR(Assumptions!$F$11))+(MONTH('Renovation Budget'!$F$15)-MONTH(Assumptions!$F$11))),CK$11&lt;=((12*(YEAR('Renovation Budget'!$F$15)-YEAR(Assumptions!$F$11))+(MONTH('Renovation Budget'!$F$15)-MONTH(Assumptions!$F$11)))+'Renovation Budget'!$G$15-1)),-'Renovation Budget'!$C$15/'Renovation Budget'!$G$15,0)</f>
        <v/>
      </c>
      <c r="CL85" s="228">
        <f>IF(AND(CL$11&gt;=(12*(YEAR('Renovation Budget'!$F$15)-YEAR(Assumptions!$F$11))+(MONTH('Renovation Budget'!$F$15)-MONTH(Assumptions!$F$11))),CL$11&lt;=((12*(YEAR('Renovation Budget'!$F$15)-YEAR(Assumptions!$F$11))+(MONTH('Renovation Budget'!$F$15)-MONTH(Assumptions!$F$11)))+'Renovation Budget'!$G$15-1)),-'Renovation Budget'!$C$15/'Renovation Budget'!$G$15,0)</f>
        <v/>
      </c>
      <c r="CM85" s="228">
        <f>IF(AND(CM$11&gt;=(12*(YEAR('Renovation Budget'!$F$15)-YEAR(Assumptions!$F$11))+(MONTH('Renovation Budget'!$F$15)-MONTH(Assumptions!$F$11))),CM$11&lt;=((12*(YEAR('Renovation Budget'!$F$15)-YEAR(Assumptions!$F$11))+(MONTH('Renovation Budget'!$F$15)-MONTH(Assumptions!$F$11)))+'Renovation Budget'!$G$15-1)),-'Renovation Budget'!$C$15/'Renovation Budget'!$G$15,0)</f>
        <v/>
      </c>
      <c r="CN85" s="228">
        <f>IF(AND(CN$11&gt;=(12*(YEAR('Renovation Budget'!$F$15)-YEAR(Assumptions!$F$11))+(MONTH('Renovation Budget'!$F$15)-MONTH(Assumptions!$F$11))),CN$11&lt;=((12*(YEAR('Renovation Budget'!$F$15)-YEAR(Assumptions!$F$11))+(MONTH('Renovation Budget'!$F$15)-MONTH(Assumptions!$F$11)))+'Renovation Budget'!$G$15-1)),-'Renovation Budget'!$C$15/'Renovation Budget'!$G$15,0)</f>
        <v/>
      </c>
      <c r="CO85" s="228">
        <f>IF(AND(CO$11&gt;=(12*(YEAR('Renovation Budget'!$F$15)-YEAR(Assumptions!$F$11))+(MONTH('Renovation Budget'!$F$15)-MONTH(Assumptions!$F$11))),CO$11&lt;=((12*(YEAR('Renovation Budget'!$F$15)-YEAR(Assumptions!$F$11))+(MONTH('Renovation Budget'!$F$15)-MONTH(Assumptions!$F$11)))+'Renovation Budget'!$G$15-1)),-'Renovation Budget'!$C$15/'Renovation Budget'!$G$15,0)</f>
        <v/>
      </c>
      <c r="CP85" s="228">
        <f>IF(AND(CP$11&gt;=(12*(YEAR('Renovation Budget'!$F$15)-YEAR(Assumptions!$F$11))+(MONTH('Renovation Budget'!$F$15)-MONTH(Assumptions!$F$11))),CP$11&lt;=((12*(YEAR('Renovation Budget'!$F$15)-YEAR(Assumptions!$F$11))+(MONTH('Renovation Budget'!$F$15)-MONTH(Assumptions!$F$11)))+'Renovation Budget'!$G$15-1)),-'Renovation Budget'!$C$15/'Renovation Budget'!$G$15,0)</f>
        <v/>
      </c>
      <c r="CQ85" s="228">
        <f>IF(AND(CQ$11&gt;=(12*(YEAR('Renovation Budget'!$F$15)-YEAR(Assumptions!$F$11))+(MONTH('Renovation Budget'!$F$15)-MONTH(Assumptions!$F$11))),CQ$11&lt;=((12*(YEAR('Renovation Budget'!$F$15)-YEAR(Assumptions!$F$11))+(MONTH('Renovation Budget'!$F$15)-MONTH(Assumptions!$F$11)))+'Renovation Budget'!$G$15-1)),-'Renovation Budget'!$C$15/'Renovation Budget'!$G$15,0)</f>
        <v/>
      </c>
      <c r="CR85" s="228">
        <f>IF(AND(CR$11&gt;=(12*(YEAR('Renovation Budget'!$F$15)-YEAR(Assumptions!$F$11))+(MONTH('Renovation Budget'!$F$15)-MONTH(Assumptions!$F$11))),CR$11&lt;=((12*(YEAR('Renovation Budget'!$F$15)-YEAR(Assumptions!$F$11))+(MONTH('Renovation Budget'!$F$15)-MONTH(Assumptions!$F$11)))+'Renovation Budget'!$G$15-1)),-'Renovation Budget'!$C$15/'Renovation Budget'!$G$15,0)</f>
        <v/>
      </c>
      <c r="CS85" s="228">
        <f>IF(AND(CS$11&gt;=(12*(YEAR('Renovation Budget'!$F$15)-YEAR(Assumptions!$F$11))+(MONTH('Renovation Budget'!$F$15)-MONTH(Assumptions!$F$11))),CS$11&lt;=((12*(YEAR('Renovation Budget'!$F$15)-YEAR(Assumptions!$F$11))+(MONTH('Renovation Budget'!$F$15)-MONTH(Assumptions!$F$11)))+'Renovation Budget'!$G$15-1)),-'Renovation Budget'!$C$15/'Renovation Budget'!$G$15,0)</f>
        <v/>
      </c>
      <c r="CT85" s="228">
        <f>IF(AND(CT$11&gt;=(12*(YEAR('Renovation Budget'!$F$15)-YEAR(Assumptions!$F$11))+(MONTH('Renovation Budget'!$F$15)-MONTH(Assumptions!$F$11))),CT$11&lt;=((12*(YEAR('Renovation Budget'!$F$15)-YEAR(Assumptions!$F$11))+(MONTH('Renovation Budget'!$F$15)-MONTH(Assumptions!$F$11)))+'Renovation Budget'!$G$15-1)),-'Renovation Budget'!$C$15/'Renovation Budget'!$G$15,0)</f>
        <v/>
      </c>
      <c r="CU85" s="228">
        <f>IF(AND(CU$11&gt;=(12*(YEAR('Renovation Budget'!$F$15)-YEAR(Assumptions!$F$11))+(MONTH('Renovation Budget'!$F$15)-MONTH(Assumptions!$F$11))),CU$11&lt;=((12*(YEAR('Renovation Budget'!$F$15)-YEAR(Assumptions!$F$11))+(MONTH('Renovation Budget'!$F$15)-MONTH(Assumptions!$F$11)))+'Renovation Budget'!$G$15-1)),-'Renovation Budget'!$C$15/'Renovation Budget'!$G$15,0)</f>
        <v/>
      </c>
      <c r="CV85" s="228">
        <f>IF(AND(CV$11&gt;=(12*(YEAR('Renovation Budget'!$F$15)-YEAR(Assumptions!$F$11))+(MONTH('Renovation Budget'!$F$15)-MONTH(Assumptions!$F$11))),CV$11&lt;=((12*(YEAR('Renovation Budget'!$F$15)-YEAR(Assumptions!$F$11))+(MONTH('Renovation Budget'!$F$15)-MONTH(Assumptions!$F$11)))+'Renovation Budget'!$G$15-1)),-'Renovation Budget'!$C$15/'Renovation Budget'!$G$15,0)</f>
        <v/>
      </c>
      <c r="CW85" s="228">
        <f>IF(AND(CW$11&gt;=(12*(YEAR('Renovation Budget'!$F$15)-YEAR(Assumptions!$F$11))+(MONTH('Renovation Budget'!$F$15)-MONTH(Assumptions!$F$11))),CW$11&lt;=((12*(YEAR('Renovation Budget'!$F$15)-YEAR(Assumptions!$F$11))+(MONTH('Renovation Budget'!$F$15)-MONTH(Assumptions!$F$11)))+'Renovation Budget'!$G$15-1)),-'Renovation Budget'!$C$15/'Renovation Budget'!$G$15,0)</f>
        <v/>
      </c>
      <c r="CX85" s="228">
        <f>IF(AND(CX$11&gt;=(12*(YEAR('Renovation Budget'!$F$15)-YEAR(Assumptions!$F$11))+(MONTH('Renovation Budget'!$F$15)-MONTH(Assumptions!$F$11))),CX$11&lt;=((12*(YEAR('Renovation Budget'!$F$15)-YEAR(Assumptions!$F$11))+(MONTH('Renovation Budget'!$F$15)-MONTH(Assumptions!$F$11)))+'Renovation Budget'!$G$15-1)),-'Renovation Budget'!$C$15/'Renovation Budget'!$G$15,0)</f>
        <v/>
      </c>
      <c r="CY85" s="228">
        <f>IF(AND(CY$11&gt;=(12*(YEAR('Renovation Budget'!$F$15)-YEAR(Assumptions!$F$11))+(MONTH('Renovation Budget'!$F$15)-MONTH(Assumptions!$F$11))),CY$11&lt;=((12*(YEAR('Renovation Budget'!$F$15)-YEAR(Assumptions!$F$11))+(MONTH('Renovation Budget'!$F$15)-MONTH(Assumptions!$F$11)))+'Renovation Budget'!$G$15-1)),-'Renovation Budget'!$C$15/'Renovation Budget'!$G$15,0)</f>
        <v/>
      </c>
      <c r="CZ85" s="228">
        <f>IF(AND(CZ$11&gt;=(12*(YEAR('Renovation Budget'!$F$15)-YEAR(Assumptions!$F$11))+(MONTH('Renovation Budget'!$F$15)-MONTH(Assumptions!$F$11))),CZ$11&lt;=((12*(YEAR('Renovation Budget'!$F$15)-YEAR(Assumptions!$F$11))+(MONTH('Renovation Budget'!$F$15)-MONTH(Assumptions!$F$11)))+'Renovation Budget'!$G$15-1)),-'Renovation Budget'!$C$15/'Renovation Budget'!$G$15,0)</f>
        <v/>
      </c>
      <c r="DA85" s="228">
        <f>IF(AND(DA$11&gt;=(12*(YEAR('Renovation Budget'!$F$15)-YEAR(Assumptions!$F$11))+(MONTH('Renovation Budget'!$F$15)-MONTH(Assumptions!$F$11))),DA$11&lt;=((12*(YEAR('Renovation Budget'!$F$15)-YEAR(Assumptions!$F$11))+(MONTH('Renovation Budget'!$F$15)-MONTH(Assumptions!$F$11)))+'Renovation Budget'!$G$15-1)),-'Renovation Budget'!$C$15/'Renovation Budget'!$G$15,0)</f>
        <v/>
      </c>
      <c r="DB85" s="228">
        <f>IF(AND(DB$11&gt;=(12*(YEAR('Renovation Budget'!$F$15)-YEAR(Assumptions!$F$11))+(MONTH('Renovation Budget'!$F$15)-MONTH(Assumptions!$F$11))),DB$11&lt;=((12*(YEAR('Renovation Budget'!$F$15)-YEAR(Assumptions!$F$11))+(MONTH('Renovation Budget'!$F$15)-MONTH(Assumptions!$F$11)))+'Renovation Budget'!$G$15-1)),-'Renovation Budget'!$C$15/'Renovation Budget'!$G$15,0)</f>
        <v/>
      </c>
      <c r="DC85" s="228">
        <f>IF(AND(DC$11&gt;=(12*(YEAR('Renovation Budget'!$F$15)-YEAR(Assumptions!$F$11))+(MONTH('Renovation Budget'!$F$15)-MONTH(Assumptions!$F$11))),DC$11&lt;=((12*(YEAR('Renovation Budget'!$F$15)-YEAR(Assumptions!$F$11))+(MONTH('Renovation Budget'!$F$15)-MONTH(Assumptions!$F$11)))+'Renovation Budget'!$G$15-1)),-'Renovation Budget'!$C$15/'Renovation Budget'!$G$15,0)</f>
        <v/>
      </c>
      <c r="DD85" s="228">
        <f>IF(AND(DD$11&gt;=(12*(YEAR('Renovation Budget'!$F$15)-YEAR(Assumptions!$F$11))+(MONTH('Renovation Budget'!$F$15)-MONTH(Assumptions!$F$11))),DD$11&lt;=((12*(YEAR('Renovation Budget'!$F$15)-YEAR(Assumptions!$F$11))+(MONTH('Renovation Budget'!$F$15)-MONTH(Assumptions!$F$11)))+'Renovation Budget'!$G$15-1)),-'Renovation Budget'!$C$15/'Renovation Budget'!$G$15,0)</f>
        <v/>
      </c>
      <c r="DE85" s="228">
        <f>IF(AND(DE$11&gt;=(12*(YEAR('Renovation Budget'!$F$15)-YEAR(Assumptions!$F$11))+(MONTH('Renovation Budget'!$F$15)-MONTH(Assumptions!$F$11))),DE$11&lt;=((12*(YEAR('Renovation Budget'!$F$15)-YEAR(Assumptions!$F$11))+(MONTH('Renovation Budget'!$F$15)-MONTH(Assumptions!$F$11)))+'Renovation Budget'!$G$15-1)),-'Renovation Budget'!$C$15/'Renovation Budget'!$G$15,0)</f>
        <v/>
      </c>
      <c r="DF85" s="228">
        <f>IF(AND(DF$11&gt;=(12*(YEAR('Renovation Budget'!$F$15)-YEAR(Assumptions!$F$11))+(MONTH('Renovation Budget'!$F$15)-MONTH(Assumptions!$F$11))),DF$11&lt;=((12*(YEAR('Renovation Budget'!$F$15)-YEAR(Assumptions!$F$11))+(MONTH('Renovation Budget'!$F$15)-MONTH(Assumptions!$F$11)))+'Renovation Budget'!$G$15-1)),-'Renovation Budget'!$C$15/'Renovation Budget'!$G$15,0)</f>
        <v/>
      </c>
      <c r="DG85" s="228">
        <f>IF(AND(DG$11&gt;=(12*(YEAR('Renovation Budget'!$F$15)-YEAR(Assumptions!$F$11))+(MONTH('Renovation Budget'!$F$15)-MONTH(Assumptions!$F$11))),DG$11&lt;=((12*(YEAR('Renovation Budget'!$F$15)-YEAR(Assumptions!$F$11))+(MONTH('Renovation Budget'!$F$15)-MONTH(Assumptions!$F$11)))+'Renovation Budget'!$G$15-1)),-'Renovation Budget'!$C$15/'Renovation Budget'!$G$15,0)</f>
        <v/>
      </c>
      <c r="DH85" s="228">
        <f>IF(AND(DH$11&gt;=(12*(YEAR('Renovation Budget'!$F$15)-YEAR(Assumptions!$F$11))+(MONTH('Renovation Budget'!$F$15)-MONTH(Assumptions!$F$11))),DH$11&lt;=((12*(YEAR('Renovation Budget'!$F$15)-YEAR(Assumptions!$F$11))+(MONTH('Renovation Budget'!$F$15)-MONTH(Assumptions!$F$11)))+'Renovation Budget'!$G$15-1)),-'Renovation Budget'!$C$15/'Renovation Budget'!$G$15,0)</f>
        <v/>
      </c>
      <c r="DI85" s="228">
        <f>IF(AND(DI$11&gt;=(12*(YEAR('Renovation Budget'!$F$15)-YEAR(Assumptions!$F$11))+(MONTH('Renovation Budget'!$F$15)-MONTH(Assumptions!$F$11))),DI$11&lt;=((12*(YEAR('Renovation Budget'!$F$15)-YEAR(Assumptions!$F$11))+(MONTH('Renovation Budget'!$F$15)-MONTH(Assumptions!$F$11)))+'Renovation Budget'!$G$15-1)),-'Renovation Budget'!$C$15/'Renovation Budget'!$G$15,0)</f>
        <v/>
      </c>
      <c r="DJ85" s="228">
        <f>IF(AND(DJ$11&gt;=(12*(YEAR('Renovation Budget'!$F$15)-YEAR(Assumptions!$F$11))+(MONTH('Renovation Budget'!$F$15)-MONTH(Assumptions!$F$11))),DJ$11&lt;=((12*(YEAR('Renovation Budget'!$F$15)-YEAR(Assumptions!$F$11))+(MONTH('Renovation Budget'!$F$15)-MONTH(Assumptions!$F$11)))+'Renovation Budget'!$G$15-1)),-'Renovation Budget'!$C$15/'Renovation Budget'!$G$15,0)</f>
        <v/>
      </c>
      <c r="DK85" s="228">
        <f>IF(AND(DK$11&gt;=(12*(YEAR('Renovation Budget'!$F$15)-YEAR(Assumptions!$F$11))+(MONTH('Renovation Budget'!$F$15)-MONTH(Assumptions!$F$11))),DK$11&lt;=((12*(YEAR('Renovation Budget'!$F$15)-YEAR(Assumptions!$F$11))+(MONTH('Renovation Budget'!$F$15)-MONTH(Assumptions!$F$11)))+'Renovation Budget'!$G$15-1)),-'Renovation Budget'!$C$15/'Renovation Budget'!$G$15,0)</f>
        <v/>
      </c>
      <c r="DL85" s="228">
        <f>IF(AND(DL$11&gt;=(12*(YEAR('Renovation Budget'!$F$15)-YEAR(Assumptions!$F$11))+(MONTH('Renovation Budget'!$F$15)-MONTH(Assumptions!$F$11))),DL$11&lt;=((12*(YEAR('Renovation Budget'!$F$15)-YEAR(Assumptions!$F$11))+(MONTH('Renovation Budget'!$F$15)-MONTH(Assumptions!$F$11)))+'Renovation Budget'!$G$15-1)),-'Renovation Budget'!$C$15/'Renovation Budget'!$G$15,0)</f>
        <v/>
      </c>
      <c r="DM85" s="228">
        <f>IF(AND(DM$11&gt;=(12*(YEAR('Renovation Budget'!$F$15)-YEAR(Assumptions!$F$11))+(MONTH('Renovation Budget'!$F$15)-MONTH(Assumptions!$F$11))),DM$11&lt;=((12*(YEAR('Renovation Budget'!$F$15)-YEAR(Assumptions!$F$11))+(MONTH('Renovation Budget'!$F$15)-MONTH(Assumptions!$F$11)))+'Renovation Budget'!$G$15-1)),-'Renovation Budget'!$C$15/'Renovation Budget'!$G$15,0)</f>
        <v/>
      </c>
      <c r="DN85" s="228">
        <f>IF(AND(DN$11&gt;=(12*(YEAR('Renovation Budget'!$F$15)-YEAR(Assumptions!$F$11))+(MONTH('Renovation Budget'!$F$15)-MONTH(Assumptions!$F$11))),DN$11&lt;=((12*(YEAR('Renovation Budget'!$F$15)-YEAR(Assumptions!$F$11))+(MONTH('Renovation Budget'!$F$15)-MONTH(Assumptions!$F$11)))+'Renovation Budget'!$G$15-1)),-'Renovation Budget'!$C$15/'Renovation Budget'!$G$15,0)</f>
        <v/>
      </c>
      <c r="DO85" s="228">
        <f>IF(AND(DO$11&gt;=(12*(YEAR('Renovation Budget'!$F$15)-YEAR(Assumptions!$F$11))+(MONTH('Renovation Budget'!$F$15)-MONTH(Assumptions!$F$11))),DO$11&lt;=((12*(YEAR('Renovation Budget'!$F$15)-YEAR(Assumptions!$F$11))+(MONTH('Renovation Budget'!$F$15)-MONTH(Assumptions!$F$11)))+'Renovation Budget'!$G$15-1)),-'Renovation Budget'!$C$15/'Renovation Budget'!$G$15,0)</f>
        <v/>
      </c>
      <c r="DP85" s="228">
        <f>IF(AND(DP$11&gt;=(12*(YEAR('Renovation Budget'!$F$15)-YEAR(Assumptions!$F$11))+(MONTH('Renovation Budget'!$F$15)-MONTH(Assumptions!$F$11))),DP$11&lt;=((12*(YEAR('Renovation Budget'!$F$15)-YEAR(Assumptions!$F$11))+(MONTH('Renovation Budget'!$F$15)-MONTH(Assumptions!$F$11)))+'Renovation Budget'!$G$15-1)),-'Renovation Budget'!$C$15/'Renovation Budget'!$G$15,0)</f>
        <v/>
      </c>
      <c r="DQ85" s="228">
        <f>IF(AND(DQ$11&gt;=(12*(YEAR('Renovation Budget'!$F$15)-YEAR(Assumptions!$F$11))+(MONTH('Renovation Budget'!$F$15)-MONTH(Assumptions!$F$11))),DQ$11&lt;=((12*(YEAR('Renovation Budget'!$F$15)-YEAR(Assumptions!$F$11))+(MONTH('Renovation Budget'!$F$15)-MONTH(Assumptions!$F$11)))+'Renovation Budget'!$G$15-1)),-'Renovation Budget'!$C$15/'Renovation Budget'!$G$15,0)</f>
        <v/>
      </c>
      <c r="DR85" s="228">
        <f>IF(AND(DR$11&gt;=(12*(YEAR('Renovation Budget'!$F$15)-YEAR(Assumptions!$F$11))+(MONTH('Renovation Budget'!$F$15)-MONTH(Assumptions!$F$11))),DR$11&lt;=((12*(YEAR('Renovation Budget'!$F$15)-YEAR(Assumptions!$F$11))+(MONTH('Renovation Budget'!$F$15)-MONTH(Assumptions!$F$11)))+'Renovation Budget'!$G$15-1)),-'Renovation Budget'!$C$15/'Renovation Budget'!$G$15,0)</f>
        <v/>
      </c>
      <c r="DS85" s="228">
        <f>IF(AND(DS$11&gt;=(12*(YEAR('Renovation Budget'!$F$15)-YEAR(Assumptions!$F$11))+(MONTH('Renovation Budget'!$F$15)-MONTH(Assumptions!$F$11))),DS$11&lt;=((12*(YEAR('Renovation Budget'!$F$15)-YEAR(Assumptions!$F$11))+(MONTH('Renovation Budget'!$F$15)-MONTH(Assumptions!$F$11)))+'Renovation Budget'!$G$15-1)),-'Renovation Budget'!$C$15/'Renovation Budget'!$G$15,0)</f>
        <v/>
      </c>
      <c r="DT85" s="228">
        <f>IF(AND(DT$11&gt;=(12*(YEAR('Renovation Budget'!$F$15)-YEAR(Assumptions!$F$11))+(MONTH('Renovation Budget'!$F$15)-MONTH(Assumptions!$F$11))),DT$11&lt;=((12*(YEAR('Renovation Budget'!$F$15)-YEAR(Assumptions!$F$11))+(MONTH('Renovation Budget'!$F$15)-MONTH(Assumptions!$F$11)))+'Renovation Budget'!$G$15-1)),-'Renovation Budget'!$C$15/'Renovation Budget'!$G$15,0)</f>
        <v/>
      </c>
    </row>
    <row r="86" ht="15" customHeight="1" s="148">
      <c r="A86" s="112" t="inlineStr">
        <is>
          <t>Doors and Windows</t>
        </is>
      </c>
      <c r="C86" s="228">
        <f>SUM(D86:DT86)</f>
        <v/>
      </c>
      <c r="D86" s="228">
        <f>IF(AND(D$11&gt;=(12*(YEAR('Renovation Budget'!$F$16)-YEAR(Assumptions!$F$11))+(MONTH('Renovation Budget'!$F$16)-MONTH(Assumptions!$F$11))),D$11&lt;=((12*(YEAR('Renovation Budget'!$F$16)-YEAR(Assumptions!$F$11))+(MONTH('Renovation Budget'!$F$16)-MONTH(Assumptions!$F$11)))+'Renovation Budget'!$G$16-1)),-'Renovation Budget'!$C$16/'Renovation Budget'!$G$16,0)</f>
        <v/>
      </c>
      <c r="E86" s="228">
        <f>IF(AND(E$11&gt;=(12*(YEAR('Renovation Budget'!$F$16)-YEAR(Assumptions!$F$11))+(MONTH('Renovation Budget'!$F$16)-MONTH(Assumptions!$F$11))),E$11&lt;=((12*(YEAR('Renovation Budget'!$F$16)-YEAR(Assumptions!$F$11))+(MONTH('Renovation Budget'!$F$16)-MONTH(Assumptions!$F$11)))+'Renovation Budget'!$G$16-1)),-'Renovation Budget'!$C$16/'Renovation Budget'!$G$16,0)</f>
        <v/>
      </c>
      <c r="F86" s="228">
        <f>IF(AND(F$11&gt;=(12*(YEAR('Renovation Budget'!$F$16)-YEAR(Assumptions!$F$11))+(MONTH('Renovation Budget'!$F$16)-MONTH(Assumptions!$F$11))),F$11&lt;=((12*(YEAR('Renovation Budget'!$F$16)-YEAR(Assumptions!$F$11))+(MONTH('Renovation Budget'!$F$16)-MONTH(Assumptions!$F$11)))+'Renovation Budget'!$G$16-1)),-'Renovation Budget'!$C$16/'Renovation Budget'!$G$16,0)</f>
        <v/>
      </c>
      <c r="G86" s="228">
        <f>IF(AND(G$11&gt;=(12*(YEAR('Renovation Budget'!$F$16)-YEAR(Assumptions!$F$11))+(MONTH('Renovation Budget'!$F$16)-MONTH(Assumptions!$F$11))),G$11&lt;=((12*(YEAR('Renovation Budget'!$F$16)-YEAR(Assumptions!$F$11))+(MONTH('Renovation Budget'!$F$16)-MONTH(Assumptions!$F$11)))+'Renovation Budget'!$G$16-1)),-'Renovation Budget'!$C$16/'Renovation Budget'!$G$16,0)</f>
        <v/>
      </c>
      <c r="H86" s="228">
        <f>IF(AND(H$11&gt;=(12*(YEAR('Renovation Budget'!$F$16)-YEAR(Assumptions!$F$11))+(MONTH('Renovation Budget'!$F$16)-MONTH(Assumptions!$F$11))),H$11&lt;=((12*(YEAR('Renovation Budget'!$F$16)-YEAR(Assumptions!$F$11))+(MONTH('Renovation Budget'!$F$16)-MONTH(Assumptions!$F$11)))+'Renovation Budget'!$G$16-1)),-'Renovation Budget'!$C$16/'Renovation Budget'!$G$16,0)</f>
        <v/>
      </c>
      <c r="I86" s="228">
        <f>IF(AND(I$11&gt;=(12*(YEAR('Renovation Budget'!$F$16)-YEAR(Assumptions!$F$11))+(MONTH('Renovation Budget'!$F$16)-MONTH(Assumptions!$F$11))),I$11&lt;=((12*(YEAR('Renovation Budget'!$F$16)-YEAR(Assumptions!$F$11))+(MONTH('Renovation Budget'!$F$16)-MONTH(Assumptions!$F$11)))+'Renovation Budget'!$G$16-1)),-'Renovation Budget'!$C$16/'Renovation Budget'!$G$16,0)</f>
        <v/>
      </c>
      <c r="J86" s="228">
        <f>IF(AND(J$11&gt;=(12*(YEAR('Renovation Budget'!$F$16)-YEAR(Assumptions!$F$11))+(MONTH('Renovation Budget'!$F$16)-MONTH(Assumptions!$F$11))),J$11&lt;=((12*(YEAR('Renovation Budget'!$F$16)-YEAR(Assumptions!$F$11))+(MONTH('Renovation Budget'!$F$16)-MONTH(Assumptions!$F$11)))+'Renovation Budget'!$G$16-1)),-'Renovation Budget'!$C$16/'Renovation Budget'!$G$16,0)</f>
        <v/>
      </c>
      <c r="K86" s="228">
        <f>IF(AND(K$11&gt;=(12*(YEAR('Renovation Budget'!$F$16)-YEAR(Assumptions!$F$11))+(MONTH('Renovation Budget'!$F$16)-MONTH(Assumptions!$F$11))),K$11&lt;=((12*(YEAR('Renovation Budget'!$F$16)-YEAR(Assumptions!$F$11))+(MONTH('Renovation Budget'!$F$16)-MONTH(Assumptions!$F$11)))+'Renovation Budget'!$G$16-1)),-'Renovation Budget'!$C$16/'Renovation Budget'!$G$16,0)</f>
        <v/>
      </c>
      <c r="L86" s="228">
        <f>IF(AND(L$11&gt;=(12*(YEAR('Renovation Budget'!$F$16)-YEAR(Assumptions!$F$11))+(MONTH('Renovation Budget'!$F$16)-MONTH(Assumptions!$F$11))),L$11&lt;=((12*(YEAR('Renovation Budget'!$F$16)-YEAR(Assumptions!$F$11))+(MONTH('Renovation Budget'!$F$16)-MONTH(Assumptions!$F$11)))+'Renovation Budget'!$G$16-1)),-'Renovation Budget'!$C$16/'Renovation Budget'!$G$16,0)</f>
        <v/>
      </c>
      <c r="M86" s="228">
        <f>IF(AND(M$11&gt;=(12*(YEAR('Renovation Budget'!$F$16)-YEAR(Assumptions!$F$11))+(MONTH('Renovation Budget'!$F$16)-MONTH(Assumptions!$F$11))),M$11&lt;=((12*(YEAR('Renovation Budget'!$F$16)-YEAR(Assumptions!$F$11))+(MONTH('Renovation Budget'!$F$16)-MONTH(Assumptions!$F$11)))+'Renovation Budget'!$G$16-1)),-'Renovation Budget'!$C$16/'Renovation Budget'!$G$16,0)</f>
        <v/>
      </c>
      <c r="N86" s="228">
        <f>IF(AND(N$11&gt;=(12*(YEAR('Renovation Budget'!$F$16)-YEAR(Assumptions!$F$11))+(MONTH('Renovation Budget'!$F$16)-MONTH(Assumptions!$F$11))),N$11&lt;=((12*(YEAR('Renovation Budget'!$F$16)-YEAR(Assumptions!$F$11))+(MONTH('Renovation Budget'!$F$16)-MONTH(Assumptions!$F$11)))+'Renovation Budget'!$G$16-1)),-'Renovation Budget'!$C$16/'Renovation Budget'!$G$16,0)</f>
        <v/>
      </c>
      <c r="O86" s="228">
        <f>IF(AND(O$11&gt;=(12*(YEAR('Renovation Budget'!$F$16)-YEAR(Assumptions!$F$11))+(MONTH('Renovation Budget'!$F$16)-MONTH(Assumptions!$F$11))),O$11&lt;=((12*(YEAR('Renovation Budget'!$F$16)-YEAR(Assumptions!$F$11))+(MONTH('Renovation Budget'!$F$16)-MONTH(Assumptions!$F$11)))+'Renovation Budget'!$G$16-1)),-'Renovation Budget'!$C$16/'Renovation Budget'!$G$16,0)</f>
        <v/>
      </c>
      <c r="P86" s="228">
        <f>IF(AND(P$11&gt;=(12*(YEAR('Renovation Budget'!$F$16)-YEAR(Assumptions!$F$11))+(MONTH('Renovation Budget'!$F$16)-MONTH(Assumptions!$F$11))),P$11&lt;=((12*(YEAR('Renovation Budget'!$F$16)-YEAR(Assumptions!$F$11))+(MONTH('Renovation Budget'!$F$16)-MONTH(Assumptions!$F$11)))+'Renovation Budget'!$G$16-1)),-'Renovation Budget'!$C$16/'Renovation Budget'!$G$16,0)</f>
        <v/>
      </c>
      <c r="Q86" s="228">
        <f>IF(AND(Q$11&gt;=(12*(YEAR('Renovation Budget'!$F$16)-YEAR(Assumptions!$F$11))+(MONTH('Renovation Budget'!$F$16)-MONTH(Assumptions!$F$11))),Q$11&lt;=((12*(YEAR('Renovation Budget'!$F$16)-YEAR(Assumptions!$F$11))+(MONTH('Renovation Budget'!$F$16)-MONTH(Assumptions!$F$11)))+'Renovation Budget'!$G$16-1)),-'Renovation Budget'!$C$16/'Renovation Budget'!$G$16,0)</f>
        <v/>
      </c>
      <c r="R86" s="228">
        <f>IF(AND(R$11&gt;=(12*(YEAR('Renovation Budget'!$F$16)-YEAR(Assumptions!$F$11))+(MONTH('Renovation Budget'!$F$16)-MONTH(Assumptions!$F$11))),R$11&lt;=((12*(YEAR('Renovation Budget'!$F$16)-YEAR(Assumptions!$F$11))+(MONTH('Renovation Budget'!$F$16)-MONTH(Assumptions!$F$11)))+'Renovation Budget'!$G$16-1)),-'Renovation Budget'!$C$16/'Renovation Budget'!$G$16,0)</f>
        <v/>
      </c>
      <c r="S86" s="228">
        <f>IF(AND(S$11&gt;=(12*(YEAR('Renovation Budget'!$F$16)-YEAR(Assumptions!$F$11))+(MONTH('Renovation Budget'!$F$16)-MONTH(Assumptions!$F$11))),S$11&lt;=((12*(YEAR('Renovation Budget'!$F$16)-YEAR(Assumptions!$F$11))+(MONTH('Renovation Budget'!$F$16)-MONTH(Assumptions!$F$11)))+'Renovation Budget'!$G$16-1)),-'Renovation Budget'!$C$16/'Renovation Budget'!$G$16,0)</f>
        <v/>
      </c>
      <c r="T86" s="228">
        <f>IF(AND(T$11&gt;=(12*(YEAR('Renovation Budget'!$F$16)-YEAR(Assumptions!$F$11))+(MONTH('Renovation Budget'!$F$16)-MONTH(Assumptions!$F$11))),T$11&lt;=((12*(YEAR('Renovation Budget'!$F$16)-YEAR(Assumptions!$F$11))+(MONTH('Renovation Budget'!$F$16)-MONTH(Assumptions!$F$11)))+'Renovation Budget'!$G$16-1)),-'Renovation Budget'!$C$16/'Renovation Budget'!$G$16,0)</f>
        <v/>
      </c>
      <c r="U86" s="228">
        <f>IF(AND(U$11&gt;=(12*(YEAR('Renovation Budget'!$F$16)-YEAR(Assumptions!$F$11))+(MONTH('Renovation Budget'!$F$16)-MONTH(Assumptions!$F$11))),U$11&lt;=((12*(YEAR('Renovation Budget'!$F$16)-YEAR(Assumptions!$F$11))+(MONTH('Renovation Budget'!$F$16)-MONTH(Assumptions!$F$11)))+'Renovation Budget'!$G$16-1)),-'Renovation Budget'!$C$16/'Renovation Budget'!$G$16,0)</f>
        <v/>
      </c>
      <c r="V86" s="228">
        <f>IF(AND(V$11&gt;=(12*(YEAR('Renovation Budget'!$F$16)-YEAR(Assumptions!$F$11))+(MONTH('Renovation Budget'!$F$16)-MONTH(Assumptions!$F$11))),V$11&lt;=((12*(YEAR('Renovation Budget'!$F$16)-YEAR(Assumptions!$F$11))+(MONTH('Renovation Budget'!$F$16)-MONTH(Assumptions!$F$11)))+'Renovation Budget'!$G$16-1)),-'Renovation Budget'!$C$16/'Renovation Budget'!$G$16,0)</f>
        <v/>
      </c>
      <c r="W86" s="228">
        <f>IF(AND(W$11&gt;=(12*(YEAR('Renovation Budget'!$F$16)-YEAR(Assumptions!$F$11))+(MONTH('Renovation Budget'!$F$16)-MONTH(Assumptions!$F$11))),W$11&lt;=((12*(YEAR('Renovation Budget'!$F$16)-YEAR(Assumptions!$F$11))+(MONTH('Renovation Budget'!$F$16)-MONTH(Assumptions!$F$11)))+'Renovation Budget'!$G$16-1)),-'Renovation Budget'!$C$16/'Renovation Budget'!$G$16,0)</f>
        <v/>
      </c>
      <c r="X86" s="228">
        <f>IF(AND(X$11&gt;=(12*(YEAR('Renovation Budget'!$F$16)-YEAR(Assumptions!$F$11))+(MONTH('Renovation Budget'!$F$16)-MONTH(Assumptions!$F$11))),X$11&lt;=((12*(YEAR('Renovation Budget'!$F$16)-YEAR(Assumptions!$F$11))+(MONTH('Renovation Budget'!$F$16)-MONTH(Assumptions!$F$11)))+'Renovation Budget'!$G$16-1)),-'Renovation Budget'!$C$16/'Renovation Budget'!$G$16,0)</f>
        <v/>
      </c>
      <c r="Y86" s="228">
        <f>IF(AND(Y$11&gt;=(12*(YEAR('Renovation Budget'!$F$16)-YEAR(Assumptions!$F$11))+(MONTH('Renovation Budget'!$F$16)-MONTH(Assumptions!$F$11))),Y$11&lt;=((12*(YEAR('Renovation Budget'!$F$16)-YEAR(Assumptions!$F$11))+(MONTH('Renovation Budget'!$F$16)-MONTH(Assumptions!$F$11)))+'Renovation Budget'!$G$16-1)),-'Renovation Budget'!$C$16/'Renovation Budget'!$G$16,0)</f>
        <v/>
      </c>
      <c r="Z86" s="228">
        <f>IF(AND(Z$11&gt;=(12*(YEAR('Renovation Budget'!$F$16)-YEAR(Assumptions!$F$11))+(MONTH('Renovation Budget'!$F$16)-MONTH(Assumptions!$F$11))),Z$11&lt;=((12*(YEAR('Renovation Budget'!$F$16)-YEAR(Assumptions!$F$11))+(MONTH('Renovation Budget'!$F$16)-MONTH(Assumptions!$F$11)))+'Renovation Budget'!$G$16-1)),-'Renovation Budget'!$C$16/'Renovation Budget'!$G$16,0)</f>
        <v/>
      </c>
      <c r="AA86" s="228">
        <f>IF(AND(AA$11&gt;=(12*(YEAR('Renovation Budget'!$F$16)-YEAR(Assumptions!$F$11))+(MONTH('Renovation Budget'!$F$16)-MONTH(Assumptions!$F$11))),AA$11&lt;=((12*(YEAR('Renovation Budget'!$F$16)-YEAR(Assumptions!$F$11))+(MONTH('Renovation Budget'!$F$16)-MONTH(Assumptions!$F$11)))+'Renovation Budget'!$G$16-1)),-'Renovation Budget'!$C$16/'Renovation Budget'!$G$16,0)</f>
        <v/>
      </c>
      <c r="AB86" s="228">
        <f>IF(AND(AB$11&gt;=(12*(YEAR('Renovation Budget'!$F$16)-YEAR(Assumptions!$F$11))+(MONTH('Renovation Budget'!$F$16)-MONTH(Assumptions!$F$11))),AB$11&lt;=((12*(YEAR('Renovation Budget'!$F$16)-YEAR(Assumptions!$F$11))+(MONTH('Renovation Budget'!$F$16)-MONTH(Assumptions!$F$11)))+'Renovation Budget'!$G$16-1)),-'Renovation Budget'!$C$16/'Renovation Budget'!$G$16,0)</f>
        <v/>
      </c>
      <c r="AC86" s="228">
        <f>IF(AND(AC$11&gt;=(12*(YEAR('Renovation Budget'!$F$16)-YEAR(Assumptions!$F$11))+(MONTH('Renovation Budget'!$F$16)-MONTH(Assumptions!$F$11))),AC$11&lt;=((12*(YEAR('Renovation Budget'!$F$16)-YEAR(Assumptions!$F$11))+(MONTH('Renovation Budget'!$F$16)-MONTH(Assumptions!$F$11)))+'Renovation Budget'!$G$16-1)),-'Renovation Budget'!$C$16/'Renovation Budget'!$G$16,0)</f>
        <v/>
      </c>
      <c r="AD86" s="228">
        <f>IF(AND(AD$11&gt;=(12*(YEAR('Renovation Budget'!$F$16)-YEAR(Assumptions!$F$11))+(MONTH('Renovation Budget'!$F$16)-MONTH(Assumptions!$F$11))),AD$11&lt;=((12*(YEAR('Renovation Budget'!$F$16)-YEAR(Assumptions!$F$11))+(MONTH('Renovation Budget'!$F$16)-MONTH(Assumptions!$F$11)))+'Renovation Budget'!$G$16-1)),-'Renovation Budget'!$C$16/'Renovation Budget'!$G$16,0)</f>
        <v/>
      </c>
      <c r="AE86" s="228">
        <f>IF(AND(AE$11&gt;=(12*(YEAR('Renovation Budget'!$F$16)-YEAR(Assumptions!$F$11))+(MONTH('Renovation Budget'!$F$16)-MONTH(Assumptions!$F$11))),AE$11&lt;=((12*(YEAR('Renovation Budget'!$F$16)-YEAR(Assumptions!$F$11))+(MONTH('Renovation Budget'!$F$16)-MONTH(Assumptions!$F$11)))+'Renovation Budget'!$G$16-1)),-'Renovation Budget'!$C$16/'Renovation Budget'!$G$16,0)</f>
        <v/>
      </c>
      <c r="AF86" s="228">
        <f>IF(AND(AF$11&gt;=(12*(YEAR('Renovation Budget'!$F$16)-YEAR(Assumptions!$F$11))+(MONTH('Renovation Budget'!$F$16)-MONTH(Assumptions!$F$11))),AF$11&lt;=((12*(YEAR('Renovation Budget'!$F$16)-YEAR(Assumptions!$F$11))+(MONTH('Renovation Budget'!$F$16)-MONTH(Assumptions!$F$11)))+'Renovation Budget'!$G$16-1)),-'Renovation Budget'!$C$16/'Renovation Budget'!$G$16,0)</f>
        <v/>
      </c>
      <c r="AG86" s="228">
        <f>IF(AND(AG$11&gt;=(12*(YEAR('Renovation Budget'!$F$16)-YEAR(Assumptions!$F$11))+(MONTH('Renovation Budget'!$F$16)-MONTH(Assumptions!$F$11))),AG$11&lt;=((12*(YEAR('Renovation Budget'!$F$16)-YEAR(Assumptions!$F$11))+(MONTH('Renovation Budget'!$F$16)-MONTH(Assumptions!$F$11)))+'Renovation Budget'!$G$16-1)),-'Renovation Budget'!$C$16/'Renovation Budget'!$G$16,0)</f>
        <v/>
      </c>
      <c r="AH86" s="228">
        <f>IF(AND(AH$11&gt;=(12*(YEAR('Renovation Budget'!$F$16)-YEAR(Assumptions!$F$11))+(MONTH('Renovation Budget'!$F$16)-MONTH(Assumptions!$F$11))),AH$11&lt;=((12*(YEAR('Renovation Budget'!$F$16)-YEAR(Assumptions!$F$11))+(MONTH('Renovation Budget'!$F$16)-MONTH(Assumptions!$F$11)))+'Renovation Budget'!$G$16-1)),-'Renovation Budget'!$C$16/'Renovation Budget'!$G$16,0)</f>
        <v/>
      </c>
      <c r="AI86" s="228">
        <f>IF(AND(AI$11&gt;=(12*(YEAR('Renovation Budget'!$F$16)-YEAR(Assumptions!$F$11))+(MONTH('Renovation Budget'!$F$16)-MONTH(Assumptions!$F$11))),AI$11&lt;=((12*(YEAR('Renovation Budget'!$F$16)-YEAR(Assumptions!$F$11))+(MONTH('Renovation Budget'!$F$16)-MONTH(Assumptions!$F$11)))+'Renovation Budget'!$G$16-1)),-'Renovation Budget'!$C$16/'Renovation Budget'!$G$16,0)</f>
        <v/>
      </c>
      <c r="AJ86" s="228">
        <f>IF(AND(AJ$11&gt;=(12*(YEAR('Renovation Budget'!$F$16)-YEAR(Assumptions!$F$11))+(MONTH('Renovation Budget'!$F$16)-MONTH(Assumptions!$F$11))),AJ$11&lt;=((12*(YEAR('Renovation Budget'!$F$16)-YEAR(Assumptions!$F$11))+(MONTH('Renovation Budget'!$F$16)-MONTH(Assumptions!$F$11)))+'Renovation Budget'!$G$16-1)),-'Renovation Budget'!$C$16/'Renovation Budget'!$G$16,0)</f>
        <v/>
      </c>
      <c r="AK86" s="228">
        <f>IF(AND(AK$11&gt;=(12*(YEAR('Renovation Budget'!$F$16)-YEAR(Assumptions!$F$11))+(MONTH('Renovation Budget'!$F$16)-MONTH(Assumptions!$F$11))),AK$11&lt;=((12*(YEAR('Renovation Budget'!$F$16)-YEAR(Assumptions!$F$11))+(MONTH('Renovation Budget'!$F$16)-MONTH(Assumptions!$F$11)))+'Renovation Budget'!$G$16-1)),-'Renovation Budget'!$C$16/'Renovation Budget'!$G$16,0)</f>
        <v/>
      </c>
      <c r="AL86" s="228">
        <f>IF(AND(AL$11&gt;=(12*(YEAR('Renovation Budget'!$F$16)-YEAR(Assumptions!$F$11))+(MONTH('Renovation Budget'!$F$16)-MONTH(Assumptions!$F$11))),AL$11&lt;=((12*(YEAR('Renovation Budget'!$F$16)-YEAR(Assumptions!$F$11))+(MONTH('Renovation Budget'!$F$16)-MONTH(Assumptions!$F$11)))+'Renovation Budget'!$G$16-1)),-'Renovation Budget'!$C$16/'Renovation Budget'!$G$16,0)</f>
        <v/>
      </c>
      <c r="AM86" s="228">
        <f>IF(AND(AM$11&gt;=(12*(YEAR('Renovation Budget'!$F$16)-YEAR(Assumptions!$F$11))+(MONTH('Renovation Budget'!$F$16)-MONTH(Assumptions!$F$11))),AM$11&lt;=((12*(YEAR('Renovation Budget'!$F$16)-YEAR(Assumptions!$F$11))+(MONTH('Renovation Budget'!$F$16)-MONTH(Assumptions!$F$11)))+'Renovation Budget'!$G$16-1)),-'Renovation Budget'!$C$16/'Renovation Budget'!$G$16,0)</f>
        <v/>
      </c>
      <c r="AN86" s="228">
        <f>IF(AND(AN$11&gt;=(12*(YEAR('Renovation Budget'!$F$16)-YEAR(Assumptions!$F$11))+(MONTH('Renovation Budget'!$F$16)-MONTH(Assumptions!$F$11))),AN$11&lt;=((12*(YEAR('Renovation Budget'!$F$16)-YEAR(Assumptions!$F$11))+(MONTH('Renovation Budget'!$F$16)-MONTH(Assumptions!$F$11)))+'Renovation Budget'!$G$16-1)),-'Renovation Budget'!$C$16/'Renovation Budget'!$G$16,0)</f>
        <v/>
      </c>
      <c r="AO86" s="228">
        <f>IF(AND(AO$11&gt;=(12*(YEAR('Renovation Budget'!$F$16)-YEAR(Assumptions!$F$11))+(MONTH('Renovation Budget'!$F$16)-MONTH(Assumptions!$F$11))),AO$11&lt;=((12*(YEAR('Renovation Budget'!$F$16)-YEAR(Assumptions!$F$11))+(MONTH('Renovation Budget'!$F$16)-MONTH(Assumptions!$F$11)))+'Renovation Budget'!$G$16-1)),-'Renovation Budget'!$C$16/'Renovation Budget'!$G$16,0)</f>
        <v/>
      </c>
      <c r="AP86" s="228">
        <f>IF(AND(AP$11&gt;=(12*(YEAR('Renovation Budget'!$F$16)-YEAR(Assumptions!$F$11))+(MONTH('Renovation Budget'!$F$16)-MONTH(Assumptions!$F$11))),AP$11&lt;=((12*(YEAR('Renovation Budget'!$F$16)-YEAR(Assumptions!$F$11))+(MONTH('Renovation Budget'!$F$16)-MONTH(Assumptions!$F$11)))+'Renovation Budget'!$G$16-1)),-'Renovation Budget'!$C$16/'Renovation Budget'!$G$16,0)</f>
        <v/>
      </c>
      <c r="AQ86" s="228">
        <f>IF(AND(AQ$11&gt;=(12*(YEAR('Renovation Budget'!$F$16)-YEAR(Assumptions!$F$11))+(MONTH('Renovation Budget'!$F$16)-MONTH(Assumptions!$F$11))),AQ$11&lt;=((12*(YEAR('Renovation Budget'!$F$16)-YEAR(Assumptions!$F$11))+(MONTH('Renovation Budget'!$F$16)-MONTH(Assumptions!$F$11)))+'Renovation Budget'!$G$16-1)),-'Renovation Budget'!$C$16/'Renovation Budget'!$G$16,0)</f>
        <v/>
      </c>
      <c r="AR86" s="228">
        <f>IF(AND(AR$11&gt;=(12*(YEAR('Renovation Budget'!$F$16)-YEAR(Assumptions!$F$11))+(MONTH('Renovation Budget'!$F$16)-MONTH(Assumptions!$F$11))),AR$11&lt;=((12*(YEAR('Renovation Budget'!$F$16)-YEAR(Assumptions!$F$11))+(MONTH('Renovation Budget'!$F$16)-MONTH(Assumptions!$F$11)))+'Renovation Budget'!$G$16-1)),-'Renovation Budget'!$C$16/'Renovation Budget'!$G$16,0)</f>
        <v/>
      </c>
      <c r="AS86" s="228">
        <f>IF(AND(AS$11&gt;=(12*(YEAR('Renovation Budget'!$F$16)-YEAR(Assumptions!$F$11))+(MONTH('Renovation Budget'!$F$16)-MONTH(Assumptions!$F$11))),AS$11&lt;=((12*(YEAR('Renovation Budget'!$F$16)-YEAR(Assumptions!$F$11))+(MONTH('Renovation Budget'!$F$16)-MONTH(Assumptions!$F$11)))+'Renovation Budget'!$G$16-1)),-'Renovation Budget'!$C$16/'Renovation Budget'!$G$16,0)</f>
        <v/>
      </c>
      <c r="AT86" s="228">
        <f>IF(AND(AT$11&gt;=(12*(YEAR('Renovation Budget'!$F$16)-YEAR(Assumptions!$F$11))+(MONTH('Renovation Budget'!$F$16)-MONTH(Assumptions!$F$11))),AT$11&lt;=((12*(YEAR('Renovation Budget'!$F$16)-YEAR(Assumptions!$F$11))+(MONTH('Renovation Budget'!$F$16)-MONTH(Assumptions!$F$11)))+'Renovation Budget'!$G$16-1)),-'Renovation Budget'!$C$16/'Renovation Budget'!$G$16,0)</f>
        <v/>
      </c>
      <c r="AU86" s="228">
        <f>IF(AND(AU$11&gt;=(12*(YEAR('Renovation Budget'!$F$16)-YEAR(Assumptions!$F$11))+(MONTH('Renovation Budget'!$F$16)-MONTH(Assumptions!$F$11))),AU$11&lt;=((12*(YEAR('Renovation Budget'!$F$16)-YEAR(Assumptions!$F$11))+(MONTH('Renovation Budget'!$F$16)-MONTH(Assumptions!$F$11)))+'Renovation Budget'!$G$16-1)),-'Renovation Budget'!$C$16/'Renovation Budget'!$G$16,0)</f>
        <v/>
      </c>
      <c r="AV86" s="228">
        <f>IF(AND(AV$11&gt;=(12*(YEAR('Renovation Budget'!$F$16)-YEAR(Assumptions!$F$11))+(MONTH('Renovation Budget'!$F$16)-MONTH(Assumptions!$F$11))),AV$11&lt;=((12*(YEAR('Renovation Budget'!$F$16)-YEAR(Assumptions!$F$11))+(MONTH('Renovation Budget'!$F$16)-MONTH(Assumptions!$F$11)))+'Renovation Budget'!$G$16-1)),-'Renovation Budget'!$C$16/'Renovation Budget'!$G$16,0)</f>
        <v/>
      </c>
      <c r="AW86" s="228">
        <f>IF(AND(AW$11&gt;=(12*(YEAR('Renovation Budget'!$F$16)-YEAR(Assumptions!$F$11))+(MONTH('Renovation Budget'!$F$16)-MONTH(Assumptions!$F$11))),AW$11&lt;=((12*(YEAR('Renovation Budget'!$F$16)-YEAR(Assumptions!$F$11))+(MONTH('Renovation Budget'!$F$16)-MONTH(Assumptions!$F$11)))+'Renovation Budget'!$G$16-1)),-'Renovation Budget'!$C$16/'Renovation Budget'!$G$16,0)</f>
        <v/>
      </c>
      <c r="AX86" s="228">
        <f>IF(AND(AX$11&gt;=(12*(YEAR('Renovation Budget'!$F$16)-YEAR(Assumptions!$F$11))+(MONTH('Renovation Budget'!$F$16)-MONTH(Assumptions!$F$11))),AX$11&lt;=((12*(YEAR('Renovation Budget'!$F$16)-YEAR(Assumptions!$F$11))+(MONTH('Renovation Budget'!$F$16)-MONTH(Assumptions!$F$11)))+'Renovation Budget'!$G$16-1)),-'Renovation Budget'!$C$16/'Renovation Budget'!$G$16,0)</f>
        <v/>
      </c>
      <c r="AY86" s="228">
        <f>IF(AND(AY$11&gt;=(12*(YEAR('Renovation Budget'!$F$16)-YEAR(Assumptions!$F$11))+(MONTH('Renovation Budget'!$F$16)-MONTH(Assumptions!$F$11))),AY$11&lt;=((12*(YEAR('Renovation Budget'!$F$16)-YEAR(Assumptions!$F$11))+(MONTH('Renovation Budget'!$F$16)-MONTH(Assumptions!$F$11)))+'Renovation Budget'!$G$16-1)),-'Renovation Budget'!$C$16/'Renovation Budget'!$G$16,0)</f>
        <v/>
      </c>
      <c r="AZ86" s="228">
        <f>IF(AND(AZ$11&gt;=(12*(YEAR('Renovation Budget'!$F$16)-YEAR(Assumptions!$F$11))+(MONTH('Renovation Budget'!$F$16)-MONTH(Assumptions!$F$11))),AZ$11&lt;=((12*(YEAR('Renovation Budget'!$F$16)-YEAR(Assumptions!$F$11))+(MONTH('Renovation Budget'!$F$16)-MONTH(Assumptions!$F$11)))+'Renovation Budget'!$G$16-1)),-'Renovation Budget'!$C$16/'Renovation Budget'!$G$16,0)</f>
        <v/>
      </c>
      <c r="BA86" s="228">
        <f>IF(AND(BA$11&gt;=(12*(YEAR('Renovation Budget'!$F$16)-YEAR(Assumptions!$F$11))+(MONTH('Renovation Budget'!$F$16)-MONTH(Assumptions!$F$11))),BA$11&lt;=((12*(YEAR('Renovation Budget'!$F$16)-YEAR(Assumptions!$F$11))+(MONTH('Renovation Budget'!$F$16)-MONTH(Assumptions!$F$11)))+'Renovation Budget'!$G$16-1)),-'Renovation Budget'!$C$16/'Renovation Budget'!$G$16,0)</f>
        <v/>
      </c>
      <c r="BB86" s="228">
        <f>IF(AND(BB$11&gt;=(12*(YEAR('Renovation Budget'!$F$16)-YEAR(Assumptions!$F$11))+(MONTH('Renovation Budget'!$F$16)-MONTH(Assumptions!$F$11))),BB$11&lt;=((12*(YEAR('Renovation Budget'!$F$16)-YEAR(Assumptions!$F$11))+(MONTH('Renovation Budget'!$F$16)-MONTH(Assumptions!$F$11)))+'Renovation Budget'!$G$16-1)),-'Renovation Budget'!$C$16/'Renovation Budget'!$G$16,0)</f>
        <v/>
      </c>
      <c r="BC86" s="228">
        <f>IF(AND(BC$11&gt;=(12*(YEAR('Renovation Budget'!$F$16)-YEAR(Assumptions!$F$11))+(MONTH('Renovation Budget'!$F$16)-MONTH(Assumptions!$F$11))),BC$11&lt;=((12*(YEAR('Renovation Budget'!$F$16)-YEAR(Assumptions!$F$11))+(MONTH('Renovation Budget'!$F$16)-MONTH(Assumptions!$F$11)))+'Renovation Budget'!$G$16-1)),-'Renovation Budget'!$C$16/'Renovation Budget'!$G$16,0)</f>
        <v/>
      </c>
      <c r="BD86" s="228">
        <f>IF(AND(BD$11&gt;=(12*(YEAR('Renovation Budget'!$F$16)-YEAR(Assumptions!$F$11))+(MONTH('Renovation Budget'!$F$16)-MONTH(Assumptions!$F$11))),BD$11&lt;=((12*(YEAR('Renovation Budget'!$F$16)-YEAR(Assumptions!$F$11))+(MONTH('Renovation Budget'!$F$16)-MONTH(Assumptions!$F$11)))+'Renovation Budget'!$G$16-1)),-'Renovation Budget'!$C$16/'Renovation Budget'!$G$16,0)</f>
        <v/>
      </c>
      <c r="BE86" s="228">
        <f>IF(AND(BE$11&gt;=(12*(YEAR('Renovation Budget'!$F$16)-YEAR(Assumptions!$F$11))+(MONTH('Renovation Budget'!$F$16)-MONTH(Assumptions!$F$11))),BE$11&lt;=((12*(YEAR('Renovation Budget'!$F$16)-YEAR(Assumptions!$F$11))+(MONTH('Renovation Budget'!$F$16)-MONTH(Assumptions!$F$11)))+'Renovation Budget'!$G$16-1)),-'Renovation Budget'!$C$16/'Renovation Budget'!$G$16,0)</f>
        <v/>
      </c>
      <c r="BF86" s="228">
        <f>IF(AND(BF$11&gt;=(12*(YEAR('Renovation Budget'!$F$16)-YEAR(Assumptions!$F$11))+(MONTH('Renovation Budget'!$F$16)-MONTH(Assumptions!$F$11))),BF$11&lt;=((12*(YEAR('Renovation Budget'!$F$16)-YEAR(Assumptions!$F$11))+(MONTH('Renovation Budget'!$F$16)-MONTH(Assumptions!$F$11)))+'Renovation Budget'!$G$16-1)),-'Renovation Budget'!$C$16/'Renovation Budget'!$G$16,0)</f>
        <v/>
      </c>
      <c r="BG86" s="228">
        <f>IF(AND(BG$11&gt;=(12*(YEAR('Renovation Budget'!$F$16)-YEAR(Assumptions!$F$11))+(MONTH('Renovation Budget'!$F$16)-MONTH(Assumptions!$F$11))),BG$11&lt;=((12*(YEAR('Renovation Budget'!$F$16)-YEAR(Assumptions!$F$11))+(MONTH('Renovation Budget'!$F$16)-MONTH(Assumptions!$F$11)))+'Renovation Budget'!$G$16-1)),-'Renovation Budget'!$C$16/'Renovation Budget'!$G$16,0)</f>
        <v/>
      </c>
      <c r="BH86" s="228">
        <f>IF(AND(BH$11&gt;=(12*(YEAR('Renovation Budget'!$F$16)-YEAR(Assumptions!$F$11))+(MONTH('Renovation Budget'!$F$16)-MONTH(Assumptions!$F$11))),BH$11&lt;=((12*(YEAR('Renovation Budget'!$F$16)-YEAR(Assumptions!$F$11))+(MONTH('Renovation Budget'!$F$16)-MONTH(Assumptions!$F$11)))+'Renovation Budget'!$G$16-1)),-'Renovation Budget'!$C$16/'Renovation Budget'!$G$16,0)</f>
        <v/>
      </c>
      <c r="BI86" s="228">
        <f>IF(AND(BI$11&gt;=(12*(YEAR('Renovation Budget'!$F$16)-YEAR(Assumptions!$F$11))+(MONTH('Renovation Budget'!$F$16)-MONTH(Assumptions!$F$11))),BI$11&lt;=((12*(YEAR('Renovation Budget'!$F$16)-YEAR(Assumptions!$F$11))+(MONTH('Renovation Budget'!$F$16)-MONTH(Assumptions!$F$11)))+'Renovation Budget'!$G$16-1)),-'Renovation Budget'!$C$16/'Renovation Budget'!$G$16,0)</f>
        <v/>
      </c>
      <c r="BJ86" s="228">
        <f>IF(AND(BJ$11&gt;=(12*(YEAR('Renovation Budget'!$F$16)-YEAR(Assumptions!$F$11))+(MONTH('Renovation Budget'!$F$16)-MONTH(Assumptions!$F$11))),BJ$11&lt;=((12*(YEAR('Renovation Budget'!$F$16)-YEAR(Assumptions!$F$11))+(MONTH('Renovation Budget'!$F$16)-MONTH(Assumptions!$F$11)))+'Renovation Budget'!$G$16-1)),-'Renovation Budget'!$C$16/'Renovation Budget'!$G$16,0)</f>
        <v/>
      </c>
      <c r="BK86" s="228">
        <f>IF(AND(BK$11&gt;=(12*(YEAR('Renovation Budget'!$F$16)-YEAR(Assumptions!$F$11))+(MONTH('Renovation Budget'!$F$16)-MONTH(Assumptions!$F$11))),BK$11&lt;=((12*(YEAR('Renovation Budget'!$F$16)-YEAR(Assumptions!$F$11))+(MONTH('Renovation Budget'!$F$16)-MONTH(Assumptions!$F$11)))+'Renovation Budget'!$G$16-1)),-'Renovation Budget'!$C$16/'Renovation Budget'!$G$16,0)</f>
        <v/>
      </c>
      <c r="BL86" s="228">
        <f>IF(AND(BL$11&gt;=(12*(YEAR('Renovation Budget'!$F$16)-YEAR(Assumptions!$F$11))+(MONTH('Renovation Budget'!$F$16)-MONTH(Assumptions!$F$11))),BL$11&lt;=((12*(YEAR('Renovation Budget'!$F$16)-YEAR(Assumptions!$F$11))+(MONTH('Renovation Budget'!$F$16)-MONTH(Assumptions!$F$11)))+'Renovation Budget'!$G$16-1)),-'Renovation Budget'!$C$16/'Renovation Budget'!$G$16,0)</f>
        <v/>
      </c>
      <c r="BM86" s="228">
        <f>IF(AND(BM$11&gt;=(12*(YEAR('Renovation Budget'!$F$16)-YEAR(Assumptions!$F$11))+(MONTH('Renovation Budget'!$F$16)-MONTH(Assumptions!$F$11))),BM$11&lt;=((12*(YEAR('Renovation Budget'!$F$16)-YEAR(Assumptions!$F$11))+(MONTH('Renovation Budget'!$F$16)-MONTH(Assumptions!$F$11)))+'Renovation Budget'!$G$16-1)),-'Renovation Budget'!$C$16/'Renovation Budget'!$G$16,0)</f>
        <v/>
      </c>
      <c r="BN86" s="228">
        <f>IF(AND(BN$11&gt;=(12*(YEAR('Renovation Budget'!$F$16)-YEAR(Assumptions!$F$11))+(MONTH('Renovation Budget'!$F$16)-MONTH(Assumptions!$F$11))),BN$11&lt;=((12*(YEAR('Renovation Budget'!$F$16)-YEAR(Assumptions!$F$11))+(MONTH('Renovation Budget'!$F$16)-MONTH(Assumptions!$F$11)))+'Renovation Budget'!$G$16-1)),-'Renovation Budget'!$C$16/'Renovation Budget'!$G$16,0)</f>
        <v/>
      </c>
      <c r="BO86" s="228">
        <f>IF(AND(BO$11&gt;=(12*(YEAR('Renovation Budget'!$F$16)-YEAR(Assumptions!$F$11))+(MONTH('Renovation Budget'!$F$16)-MONTH(Assumptions!$F$11))),BO$11&lt;=((12*(YEAR('Renovation Budget'!$F$16)-YEAR(Assumptions!$F$11))+(MONTH('Renovation Budget'!$F$16)-MONTH(Assumptions!$F$11)))+'Renovation Budget'!$G$16-1)),-'Renovation Budget'!$C$16/'Renovation Budget'!$G$16,0)</f>
        <v/>
      </c>
      <c r="BP86" s="228">
        <f>IF(AND(BP$11&gt;=(12*(YEAR('Renovation Budget'!$F$16)-YEAR(Assumptions!$F$11))+(MONTH('Renovation Budget'!$F$16)-MONTH(Assumptions!$F$11))),BP$11&lt;=((12*(YEAR('Renovation Budget'!$F$16)-YEAR(Assumptions!$F$11))+(MONTH('Renovation Budget'!$F$16)-MONTH(Assumptions!$F$11)))+'Renovation Budget'!$G$16-1)),-'Renovation Budget'!$C$16/'Renovation Budget'!$G$16,0)</f>
        <v/>
      </c>
      <c r="BQ86" s="228">
        <f>IF(AND(BQ$11&gt;=(12*(YEAR('Renovation Budget'!$F$16)-YEAR(Assumptions!$F$11))+(MONTH('Renovation Budget'!$F$16)-MONTH(Assumptions!$F$11))),BQ$11&lt;=((12*(YEAR('Renovation Budget'!$F$16)-YEAR(Assumptions!$F$11))+(MONTH('Renovation Budget'!$F$16)-MONTH(Assumptions!$F$11)))+'Renovation Budget'!$G$16-1)),-'Renovation Budget'!$C$16/'Renovation Budget'!$G$16,0)</f>
        <v/>
      </c>
      <c r="BR86" s="228">
        <f>IF(AND(BR$11&gt;=(12*(YEAR('Renovation Budget'!$F$16)-YEAR(Assumptions!$F$11))+(MONTH('Renovation Budget'!$F$16)-MONTH(Assumptions!$F$11))),BR$11&lt;=((12*(YEAR('Renovation Budget'!$F$16)-YEAR(Assumptions!$F$11))+(MONTH('Renovation Budget'!$F$16)-MONTH(Assumptions!$F$11)))+'Renovation Budget'!$G$16-1)),-'Renovation Budget'!$C$16/'Renovation Budget'!$G$16,0)</f>
        <v/>
      </c>
      <c r="BS86" s="228">
        <f>IF(AND(BS$11&gt;=(12*(YEAR('Renovation Budget'!$F$16)-YEAR(Assumptions!$F$11))+(MONTH('Renovation Budget'!$F$16)-MONTH(Assumptions!$F$11))),BS$11&lt;=((12*(YEAR('Renovation Budget'!$F$16)-YEAR(Assumptions!$F$11))+(MONTH('Renovation Budget'!$F$16)-MONTH(Assumptions!$F$11)))+'Renovation Budget'!$G$16-1)),-'Renovation Budget'!$C$16/'Renovation Budget'!$G$16,0)</f>
        <v/>
      </c>
      <c r="BT86" s="228">
        <f>IF(AND(BT$11&gt;=(12*(YEAR('Renovation Budget'!$F$16)-YEAR(Assumptions!$F$11))+(MONTH('Renovation Budget'!$F$16)-MONTH(Assumptions!$F$11))),BT$11&lt;=((12*(YEAR('Renovation Budget'!$F$16)-YEAR(Assumptions!$F$11))+(MONTH('Renovation Budget'!$F$16)-MONTH(Assumptions!$F$11)))+'Renovation Budget'!$G$16-1)),-'Renovation Budget'!$C$16/'Renovation Budget'!$G$16,0)</f>
        <v/>
      </c>
      <c r="BU86" s="228">
        <f>IF(AND(BU$11&gt;=(12*(YEAR('Renovation Budget'!$F$16)-YEAR(Assumptions!$F$11))+(MONTH('Renovation Budget'!$F$16)-MONTH(Assumptions!$F$11))),BU$11&lt;=((12*(YEAR('Renovation Budget'!$F$16)-YEAR(Assumptions!$F$11))+(MONTH('Renovation Budget'!$F$16)-MONTH(Assumptions!$F$11)))+'Renovation Budget'!$G$16-1)),-'Renovation Budget'!$C$16/'Renovation Budget'!$G$16,0)</f>
        <v/>
      </c>
      <c r="BV86" s="228">
        <f>IF(AND(BV$11&gt;=(12*(YEAR('Renovation Budget'!$F$16)-YEAR(Assumptions!$F$11))+(MONTH('Renovation Budget'!$F$16)-MONTH(Assumptions!$F$11))),BV$11&lt;=((12*(YEAR('Renovation Budget'!$F$16)-YEAR(Assumptions!$F$11))+(MONTH('Renovation Budget'!$F$16)-MONTH(Assumptions!$F$11)))+'Renovation Budget'!$G$16-1)),-'Renovation Budget'!$C$16/'Renovation Budget'!$G$16,0)</f>
        <v/>
      </c>
      <c r="BW86" s="228">
        <f>IF(AND(BW$11&gt;=(12*(YEAR('Renovation Budget'!$F$16)-YEAR(Assumptions!$F$11))+(MONTH('Renovation Budget'!$F$16)-MONTH(Assumptions!$F$11))),BW$11&lt;=((12*(YEAR('Renovation Budget'!$F$16)-YEAR(Assumptions!$F$11))+(MONTH('Renovation Budget'!$F$16)-MONTH(Assumptions!$F$11)))+'Renovation Budget'!$G$16-1)),-'Renovation Budget'!$C$16/'Renovation Budget'!$G$16,0)</f>
        <v/>
      </c>
      <c r="BX86" s="228">
        <f>IF(AND(BX$11&gt;=(12*(YEAR('Renovation Budget'!$F$16)-YEAR(Assumptions!$F$11))+(MONTH('Renovation Budget'!$F$16)-MONTH(Assumptions!$F$11))),BX$11&lt;=((12*(YEAR('Renovation Budget'!$F$16)-YEAR(Assumptions!$F$11))+(MONTH('Renovation Budget'!$F$16)-MONTH(Assumptions!$F$11)))+'Renovation Budget'!$G$16-1)),-'Renovation Budget'!$C$16/'Renovation Budget'!$G$16,0)</f>
        <v/>
      </c>
      <c r="BY86" s="228">
        <f>IF(AND(BY$11&gt;=(12*(YEAR('Renovation Budget'!$F$16)-YEAR(Assumptions!$F$11))+(MONTH('Renovation Budget'!$F$16)-MONTH(Assumptions!$F$11))),BY$11&lt;=((12*(YEAR('Renovation Budget'!$F$16)-YEAR(Assumptions!$F$11))+(MONTH('Renovation Budget'!$F$16)-MONTH(Assumptions!$F$11)))+'Renovation Budget'!$G$16-1)),-'Renovation Budget'!$C$16/'Renovation Budget'!$G$16,0)</f>
        <v/>
      </c>
      <c r="BZ86" s="228">
        <f>IF(AND(BZ$11&gt;=(12*(YEAR('Renovation Budget'!$F$16)-YEAR(Assumptions!$F$11))+(MONTH('Renovation Budget'!$F$16)-MONTH(Assumptions!$F$11))),BZ$11&lt;=((12*(YEAR('Renovation Budget'!$F$16)-YEAR(Assumptions!$F$11))+(MONTH('Renovation Budget'!$F$16)-MONTH(Assumptions!$F$11)))+'Renovation Budget'!$G$16-1)),-'Renovation Budget'!$C$16/'Renovation Budget'!$G$16,0)</f>
        <v/>
      </c>
      <c r="CA86" s="228">
        <f>IF(AND(CA$11&gt;=(12*(YEAR('Renovation Budget'!$F$16)-YEAR(Assumptions!$F$11))+(MONTH('Renovation Budget'!$F$16)-MONTH(Assumptions!$F$11))),CA$11&lt;=((12*(YEAR('Renovation Budget'!$F$16)-YEAR(Assumptions!$F$11))+(MONTH('Renovation Budget'!$F$16)-MONTH(Assumptions!$F$11)))+'Renovation Budget'!$G$16-1)),-'Renovation Budget'!$C$16/'Renovation Budget'!$G$16,0)</f>
        <v/>
      </c>
      <c r="CB86" s="228">
        <f>IF(AND(CB$11&gt;=(12*(YEAR('Renovation Budget'!$F$16)-YEAR(Assumptions!$F$11))+(MONTH('Renovation Budget'!$F$16)-MONTH(Assumptions!$F$11))),CB$11&lt;=((12*(YEAR('Renovation Budget'!$F$16)-YEAR(Assumptions!$F$11))+(MONTH('Renovation Budget'!$F$16)-MONTH(Assumptions!$F$11)))+'Renovation Budget'!$G$16-1)),-'Renovation Budget'!$C$16/'Renovation Budget'!$G$16,0)</f>
        <v/>
      </c>
      <c r="CC86" s="228">
        <f>IF(AND(CC$11&gt;=(12*(YEAR('Renovation Budget'!$F$16)-YEAR(Assumptions!$F$11))+(MONTH('Renovation Budget'!$F$16)-MONTH(Assumptions!$F$11))),CC$11&lt;=((12*(YEAR('Renovation Budget'!$F$16)-YEAR(Assumptions!$F$11))+(MONTH('Renovation Budget'!$F$16)-MONTH(Assumptions!$F$11)))+'Renovation Budget'!$G$16-1)),-'Renovation Budget'!$C$16/'Renovation Budget'!$G$16,0)</f>
        <v/>
      </c>
      <c r="CD86" s="228">
        <f>IF(AND(CD$11&gt;=(12*(YEAR('Renovation Budget'!$F$16)-YEAR(Assumptions!$F$11))+(MONTH('Renovation Budget'!$F$16)-MONTH(Assumptions!$F$11))),CD$11&lt;=((12*(YEAR('Renovation Budget'!$F$16)-YEAR(Assumptions!$F$11))+(MONTH('Renovation Budget'!$F$16)-MONTH(Assumptions!$F$11)))+'Renovation Budget'!$G$16-1)),-'Renovation Budget'!$C$16/'Renovation Budget'!$G$16,0)</f>
        <v/>
      </c>
      <c r="CE86" s="228">
        <f>IF(AND(CE$11&gt;=(12*(YEAR('Renovation Budget'!$F$16)-YEAR(Assumptions!$F$11))+(MONTH('Renovation Budget'!$F$16)-MONTH(Assumptions!$F$11))),CE$11&lt;=((12*(YEAR('Renovation Budget'!$F$16)-YEAR(Assumptions!$F$11))+(MONTH('Renovation Budget'!$F$16)-MONTH(Assumptions!$F$11)))+'Renovation Budget'!$G$16-1)),-'Renovation Budget'!$C$16/'Renovation Budget'!$G$16,0)</f>
        <v/>
      </c>
      <c r="CF86" s="228">
        <f>IF(AND(CF$11&gt;=(12*(YEAR('Renovation Budget'!$F$16)-YEAR(Assumptions!$F$11))+(MONTH('Renovation Budget'!$F$16)-MONTH(Assumptions!$F$11))),CF$11&lt;=((12*(YEAR('Renovation Budget'!$F$16)-YEAR(Assumptions!$F$11))+(MONTH('Renovation Budget'!$F$16)-MONTH(Assumptions!$F$11)))+'Renovation Budget'!$G$16-1)),-'Renovation Budget'!$C$16/'Renovation Budget'!$G$16,0)</f>
        <v/>
      </c>
      <c r="CG86" s="228">
        <f>IF(AND(CG$11&gt;=(12*(YEAR('Renovation Budget'!$F$16)-YEAR(Assumptions!$F$11))+(MONTH('Renovation Budget'!$F$16)-MONTH(Assumptions!$F$11))),CG$11&lt;=((12*(YEAR('Renovation Budget'!$F$16)-YEAR(Assumptions!$F$11))+(MONTH('Renovation Budget'!$F$16)-MONTH(Assumptions!$F$11)))+'Renovation Budget'!$G$16-1)),-'Renovation Budget'!$C$16/'Renovation Budget'!$G$16,0)</f>
        <v/>
      </c>
      <c r="CH86" s="228">
        <f>IF(AND(CH$11&gt;=(12*(YEAR('Renovation Budget'!$F$16)-YEAR(Assumptions!$F$11))+(MONTH('Renovation Budget'!$F$16)-MONTH(Assumptions!$F$11))),CH$11&lt;=((12*(YEAR('Renovation Budget'!$F$16)-YEAR(Assumptions!$F$11))+(MONTH('Renovation Budget'!$F$16)-MONTH(Assumptions!$F$11)))+'Renovation Budget'!$G$16-1)),-'Renovation Budget'!$C$16/'Renovation Budget'!$G$16,0)</f>
        <v/>
      </c>
      <c r="CI86" s="228">
        <f>IF(AND(CI$11&gt;=(12*(YEAR('Renovation Budget'!$F$16)-YEAR(Assumptions!$F$11))+(MONTH('Renovation Budget'!$F$16)-MONTH(Assumptions!$F$11))),CI$11&lt;=((12*(YEAR('Renovation Budget'!$F$16)-YEAR(Assumptions!$F$11))+(MONTH('Renovation Budget'!$F$16)-MONTH(Assumptions!$F$11)))+'Renovation Budget'!$G$16-1)),-'Renovation Budget'!$C$16/'Renovation Budget'!$G$16,0)</f>
        <v/>
      </c>
      <c r="CJ86" s="228">
        <f>IF(AND(CJ$11&gt;=(12*(YEAR('Renovation Budget'!$F$16)-YEAR(Assumptions!$F$11))+(MONTH('Renovation Budget'!$F$16)-MONTH(Assumptions!$F$11))),CJ$11&lt;=((12*(YEAR('Renovation Budget'!$F$16)-YEAR(Assumptions!$F$11))+(MONTH('Renovation Budget'!$F$16)-MONTH(Assumptions!$F$11)))+'Renovation Budget'!$G$16-1)),-'Renovation Budget'!$C$16/'Renovation Budget'!$G$16,0)</f>
        <v/>
      </c>
      <c r="CK86" s="228">
        <f>IF(AND(CK$11&gt;=(12*(YEAR('Renovation Budget'!$F$16)-YEAR(Assumptions!$F$11))+(MONTH('Renovation Budget'!$F$16)-MONTH(Assumptions!$F$11))),CK$11&lt;=((12*(YEAR('Renovation Budget'!$F$16)-YEAR(Assumptions!$F$11))+(MONTH('Renovation Budget'!$F$16)-MONTH(Assumptions!$F$11)))+'Renovation Budget'!$G$16-1)),-'Renovation Budget'!$C$16/'Renovation Budget'!$G$16,0)</f>
        <v/>
      </c>
      <c r="CL86" s="228">
        <f>IF(AND(CL$11&gt;=(12*(YEAR('Renovation Budget'!$F$16)-YEAR(Assumptions!$F$11))+(MONTH('Renovation Budget'!$F$16)-MONTH(Assumptions!$F$11))),CL$11&lt;=((12*(YEAR('Renovation Budget'!$F$16)-YEAR(Assumptions!$F$11))+(MONTH('Renovation Budget'!$F$16)-MONTH(Assumptions!$F$11)))+'Renovation Budget'!$G$16-1)),-'Renovation Budget'!$C$16/'Renovation Budget'!$G$16,0)</f>
        <v/>
      </c>
      <c r="CM86" s="228">
        <f>IF(AND(CM$11&gt;=(12*(YEAR('Renovation Budget'!$F$16)-YEAR(Assumptions!$F$11))+(MONTH('Renovation Budget'!$F$16)-MONTH(Assumptions!$F$11))),CM$11&lt;=((12*(YEAR('Renovation Budget'!$F$16)-YEAR(Assumptions!$F$11))+(MONTH('Renovation Budget'!$F$16)-MONTH(Assumptions!$F$11)))+'Renovation Budget'!$G$16-1)),-'Renovation Budget'!$C$16/'Renovation Budget'!$G$16,0)</f>
        <v/>
      </c>
      <c r="CN86" s="228">
        <f>IF(AND(CN$11&gt;=(12*(YEAR('Renovation Budget'!$F$16)-YEAR(Assumptions!$F$11))+(MONTH('Renovation Budget'!$F$16)-MONTH(Assumptions!$F$11))),CN$11&lt;=((12*(YEAR('Renovation Budget'!$F$16)-YEAR(Assumptions!$F$11))+(MONTH('Renovation Budget'!$F$16)-MONTH(Assumptions!$F$11)))+'Renovation Budget'!$G$16-1)),-'Renovation Budget'!$C$16/'Renovation Budget'!$G$16,0)</f>
        <v/>
      </c>
      <c r="CO86" s="228">
        <f>IF(AND(CO$11&gt;=(12*(YEAR('Renovation Budget'!$F$16)-YEAR(Assumptions!$F$11))+(MONTH('Renovation Budget'!$F$16)-MONTH(Assumptions!$F$11))),CO$11&lt;=((12*(YEAR('Renovation Budget'!$F$16)-YEAR(Assumptions!$F$11))+(MONTH('Renovation Budget'!$F$16)-MONTH(Assumptions!$F$11)))+'Renovation Budget'!$G$16-1)),-'Renovation Budget'!$C$16/'Renovation Budget'!$G$16,0)</f>
        <v/>
      </c>
      <c r="CP86" s="228">
        <f>IF(AND(CP$11&gt;=(12*(YEAR('Renovation Budget'!$F$16)-YEAR(Assumptions!$F$11))+(MONTH('Renovation Budget'!$F$16)-MONTH(Assumptions!$F$11))),CP$11&lt;=((12*(YEAR('Renovation Budget'!$F$16)-YEAR(Assumptions!$F$11))+(MONTH('Renovation Budget'!$F$16)-MONTH(Assumptions!$F$11)))+'Renovation Budget'!$G$16-1)),-'Renovation Budget'!$C$16/'Renovation Budget'!$G$16,0)</f>
        <v/>
      </c>
      <c r="CQ86" s="228">
        <f>IF(AND(CQ$11&gt;=(12*(YEAR('Renovation Budget'!$F$16)-YEAR(Assumptions!$F$11))+(MONTH('Renovation Budget'!$F$16)-MONTH(Assumptions!$F$11))),CQ$11&lt;=((12*(YEAR('Renovation Budget'!$F$16)-YEAR(Assumptions!$F$11))+(MONTH('Renovation Budget'!$F$16)-MONTH(Assumptions!$F$11)))+'Renovation Budget'!$G$16-1)),-'Renovation Budget'!$C$16/'Renovation Budget'!$G$16,0)</f>
        <v/>
      </c>
      <c r="CR86" s="228">
        <f>IF(AND(CR$11&gt;=(12*(YEAR('Renovation Budget'!$F$16)-YEAR(Assumptions!$F$11))+(MONTH('Renovation Budget'!$F$16)-MONTH(Assumptions!$F$11))),CR$11&lt;=((12*(YEAR('Renovation Budget'!$F$16)-YEAR(Assumptions!$F$11))+(MONTH('Renovation Budget'!$F$16)-MONTH(Assumptions!$F$11)))+'Renovation Budget'!$G$16-1)),-'Renovation Budget'!$C$16/'Renovation Budget'!$G$16,0)</f>
        <v/>
      </c>
      <c r="CS86" s="228">
        <f>IF(AND(CS$11&gt;=(12*(YEAR('Renovation Budget'!$F$16)-YEAR(Assumptions!$F$11))+(MONTH('Renovation Budget'!$F$16)-MONTH(Assumptions!$F$11))),CS$11&lt;=((12*(YEAR('Renovation Budget'!$F$16)-YEAR(Assumptions!$F$11))+(MONTH('Renovation Budget'!$F$16)-MONTH(Assumptions!$F$11)))+'Renovation Budget'!$G$16-1)),-'Renovation Budget'!$C$16/'Renovation Budget'!$G$16,0)</f>
        <v/>
      </c>
      <c r="CT86" s="228">
        <f>IF(AND(CT$11&gt;=(12*(YEAR('Renovation Budget'!$F$16)-YEAR(Assumptions!$F$11))+(MONTH('Renovation Budget'!$F$16)-MONTH(Assumptions!$F$11))),CT$11&lt;=((12*(YEAR('Renovation Budget'!$F$16)-YEAR(Assumptions!$F$11))+(MONTH('Renovation Budget'!$F$16)-MONTH(Assumptions!$F$11)))+'Renovation Budget'!$G$16-1)),-'Renovation Budget'!$C$16/'Renovation Budget'!$G$16,0)</f>
        <v/>
      </c>
      <c r="CU86" s="228">
        <f>IF(AND(CU$11&gt;=(12*(YEAR('Renovation Budget'!$F$16)-YEAR(Assumptions!$F$11))+(MONTH('Renovation Budget'!$F$16)-MONTH(Assumptions!$F$11))),CU$11&lt;=((12*(YEAR('Renovation Budget'!$F$16)-YEAR(Assumptions!$F$11))+(MONTH('Renovation Budget'!$F$16)-MONTH(Assumptions!$F$11)))+'Renovation Budget'!$G$16-1)),-'Renovation Budget'!$C$16/'Renovation Budget'!$G$16,0)</f>
        <v/>
      </c>
      <c r="CV86" s="228">
        <f>IF(AND(CV$11&gt;=(12*(YEAR('Renovation Budget'!$F$16)-YEAR(Assumptions!$F$11))+(MONTH('Renovation Budget'!$F$16)-MONTH(Assumptions!$F$11))),CV$11&lt;=((12*(YEAR('Renovation Budget'!$F$16)-YEAR(Assumptions!$F$11))+(MONTH('Renovation Budget'!$F$16)-MONTH(Assumptions!$F$11)))+'Renovation Budget'!$G$16-1)),-'Renovation Budget'!$C$16/'Renovation Budget'!$G$16,0)</f>
        <v/>
      </c>
      <c r="CW86" s="228">
        <f>IF(AND(CW$11&gt;=(12*(YEAR('Renovation Budget'!$F$16)-YEAR(Assumptions!$F$11))+(MONTH('Renovation Budget'!$F$16)-MONTH(Assumptions!$F$11))),CW$11&lt;=((12*(YEAR('Renovation Budget'!$F$16)-YEAR(Assumptions!$F$11))+(MONTH('Renovation Budget'!$F$16)-MONTH(Assumptions!$F$11)))+'Renovation Budget'!$G$16-1)),-'Renovation Budget'!$C$16/'Renovation Budget'!$G$16,0)</f>
        <v/>
      </c>
      <c r="CX86" s="228">
        <f>IF(AND(CX$11&gt;=(12*(YEAR('Renovation Budget'!$F$16)-YEAR(Assumptions!$F$11))+(MONTH('Renovation Budget'!$F$16)-MONTH(Assumptions!$F$11))),CX$11&lt;=((12*(YEAR('Renovation Budget'!$F$16)-YEAR(Assumptions!$F$11))+(MONTH('Renovation Budget'!$F$16)-MONTH(Assumptions!$F$11)))+'Renovation Budget'!$G$16-1)),-'Renovation Budget'!$C$16/'Renovation Budget'!$G$16,0)</f>
        <v/>
      </c>
      <c r="CY86" s="228">
        <f>IF(AND(CY$11&gt;=(12*(YEAR('Renovation Budget'!$F$16)-YEAR(Assumptions!$F$11))+(MONTH('Renovation Budget'!$F$16)-MONTH(Assumptions!$F$11))),CY$11&lt;=((12*(YEAR('Renovation Budget'!$F$16)-YEAR(Assumptions!$F$11))+(MONTH('Renovation Budget'!$F$16)-MONTH(Assumptions!$F$11)))+'Renovation Budget'!$G$16-1)),-'Renovation Budget'!$C$16/'Renovation Budget'!$G$16,0)</f>
        <v/>
      </c>
      <c r="CZ86" s="228">
        <f>IF(AND(CZ$11&gt;=(12*(YEAR('Renovation Budget'!$F$16)-YEAR(Assumptions!$F$11))+(MONTH('Renovation Budget'!$F$16)-MONTH(Assumptions!$F$11))),CZ$11&lt;=((12*(YEAR('Renovation Budget'!$F$16)-YEAR(Assumptions!$F$11))+(MONTH('Renovation Budget'!$F$16)-MONTH(Assumptions!$F$11)))+'Renovation Budget'!$G$16-1)),-'Renovation Budget'!$C$16/'Renovation Budget'!$G$16,0)</f>
        <v/>
      </c>
      <c r="DA86" s="228">
        <f>IF(AND(DA$11&gt;=(12*(YEAR('Renovation Budget'!$F$16)-YEAR(Assumptions!$F$11))+(MONTH('Renovation Budget'!$F$16)-MONTH(Assumptions!$F$11))),DA$11&lt;=((12*(YEAR('Renovation Budget'!$F$16)-YEAR(Assumptions!$F$11))+(MONTH('Renovation Budget'!$F$16)-MONTH(Assumptions!$F$11)))+'Renovation Budget'!$G$16-1)),-'Renovation Budget'!$C$16/'Renovation Budget'!$G$16,0)</f>
        <v/>
      </c>
      <c r="DB86" s="228">
        <f>IF(AND(DB$11&gt;=(12*(YEAR('Renovation Budget'!$F$16)-YEAR(Assumptions!$F$11))+(MONTH('Renovation Budget'!$F$16)-MONTH(Assumptions!$F$11))),DB$11&lt;=((12*(YEAR('Renovation Budget'!$F$16)-YEAR(Assumptions!$F$11))+(MONTH('Renovation Budget'!$F$16)-MONTH(Assumptions!$F$11)))+'Renovation Budget'!$G$16-1)),-'Renovation Budget'!$C$16/'Renovation Budget'!$G$16,0)</f>
        <v/>
      </c>
      <c r="DC86" s="228">
        <f>IF(AND(DC$11&gt;=(12*(YEAR('Renovation Budget'!$F$16)-YEAR(Assumptions!$F$11))+(MONTH('Renovation Budget'!$F$16)-MONTH(Assumptions!$F$11))),DC$11&lt;=((12*(YEAR('Renovation Budget'!$F$16)-YEAR(Assumptions!$F$11))+(MONTH('Renovation Budget'!$F$16)-MONTH(Assumptions!$F$11)))+'Renovation Budget'!$G$16-1)),-'Renovation Budget'!$C$16/'Renovation Budget'!$G$16,0)</f>
        <v/>
      </c>
      <c r="DD86" s="228">
        <f>IF(AND(DD$11&gt;=(12*(YEAR('Renovation Budget'!$F$16)-YEAR(Assumptions!$F$11))+(MONTH('Renovation Budget'!$F$16)-MONTH(Assumptions!$F$11))),DD$11&lt;=((12*(YEAR('Renovation Budget'!$F$16)-YEAR(Assumptions!$F$11))+(MONTH('Renovation Budget'!$F$16)-MONTH(Assumptions!$F$11)))+'Renovation Budget'!$G$16-1)),-'Renovation Budget'!$C$16/'Renovation Budget'!$G$16,0)</f>
        <v/>
      </c>
      <c r="DE86" s="228">
        <f>IF(AND(DE$11&gt;=(12*(YEAR('Renovation Budget'!$F$16)-YEAR(Assumptions!$F$11))+(MONTH('Renovation Budget'!$F$16)-MONTH(Assumptions!$F$11))),DE$11&lt;=((12*(YEAR('Renovation Budget'!$F$16)-YEAR(Assumptions!$F$11))+(MONTH('Renovation Budget'!$F$16)-MONTH(Assumptions!$F$11)))+'Renovation Budget'!$G$16-1)),-'Renovation Budget'!$C$16/'Renovation Budget'!$G$16,0)</f>
        <v/>
      </c>
      <c r="DF86" s="228">
        <f>IF(AND(DF$11&gt;=(12*(YEAR('Renovation Budget'!$F$16)-YEAR(Assumptions!$F$11))+(MONTH('Renovation Budget'!$F$16)-MONTH(Assumptions!$F$11))),DF$11&lt;=((12*(YEAR('Renovation Budget'!$F$16)-YEAR(Assumptions!$F$11))+(MONTH('Renovation Budget'!$F$16)-MONTH(Assumptions!$F$11)))+'Renovation Budget'!$G$16-1)),-'Renovation Budget'!$C$16/'Renovation Budget'!$G$16,0)</f>
        <v/>
      </c>
      <c r="DG86" s="228">
        <f>IF(AND(DG$11&gt;=(12*(YEAR('Renovation Budget'!$F$16)-YEAR(Assumptions!$F$11))+(MONTH('Renovation Budget'!$F$16)-MONTH(Assumptions!$F$11))),DG$11&lt;=((12*(YEAR('Renovation Budget'!$F$16)-YEAR(Assumptions!$F$11))+(MONTH('Renovation Budget'!$F$16)-MONTH(Assumptions!$F$11)))+'Renovation Budget'!$G$16-1)),-'Renovation Budget'!$C$16/'Renovation Budget'!$G$16,0)</f>
        <v/>
      </c>
      <c r="DH86" s="228">
        <f>IF(AND(DH$11&gt;=(12*(YEAR('Renovation Budget'!$F$16)-YEAR(Assumptions!$F$11))+(MONTH('Renovation Budget'!$F$16)-MONTH(Assumptions!$F$11))),DH$11&lt;=((12*(YEAR('Renovation Budget'!$F$16)-YEAR(Assumptions!$F$11))+(MONTH('Renovation Budget'!$F$16)-MONTH(Assumptions!$F$11)))+'Renovation Budget'!$G$16-1)),-'Renovation Budget'!$C$16/'Renovation Budget'!$G$16,0)</f>
        <v/>
      </c>
      <c r="DI86" s="228">
        <f>IF(AND(DI$11&gt;=(12*(YEAR('Renovation Budget'!$F$16)-YEAR(Assumptions!$F$11))+(MONTH('Renovation Budget'!$F$16)-MONTH(Assumptions!$F$11))),DI$11&lt;=((12*(YEAR('Renovation Budget'!$F$16)-YEAR(Assumptions!$F$11))+(MONTH('Renovation Budget'!$F$16)-MONTH(Assumptions!$F$11)))+'Renovation Budget'!$G$16-1)),-'Renovation Budget'!$C$16/'Renovation Budget'!$G$16,0)</f>
        <v/>
      </c>
      <c r="DJ86" s="228">
        <f>IF(AND(DJ$11&gt;=(12*(YEAR('Renovation Budget'!$F$16)-YEAR(Assumptions!$F$11))+(MONTH('Renovation Budget'!$F$16)-MONTH(Assumptions!$F$11))),DJ$11&lt;=((12*(YEAR('Renovation Budget'!$F$16)-YEAR(Assumptions!$F$11))+(MONTH('Renovation Budget'!$F$16)-MONTH(Assumptions!$F$11)))+'Renovation Budget'!$G$16-1)),-'Renovation Budget'!$C$16/'Renovation Budget'!$G$16,0)</f>
        <v/>
      </c>
      <c r="DK86" s="228">
        <f>IF(AND(DK$11&gt;=(12*(YEAR('Renovation Budget'!$F$16)-YEAR(Assumptions!$F$11))+(MONTH('Renovation Budget'!$F$16)-MONTH(Assumptions!$F$11))),DK$11&lt;=((12*(YEAR('Renovation Budget'!$F$16)-YEAR(Assumptions!$F$11))+(MONTH('Renovation Budget'!$F$16)-MONTH(Assumptions!$F$11)))+'Renovation Budget'!$G$16-1)),-'Renovation Budget'!$C$16/'Renovation Budget'!$G$16,0)</f>
        <v/>
      </c>
      <c r="DL86" s="228">
        <f>IF(AND(DL$11&gt;=(12*(YEAR('Renovation Budget'!$F$16)-YEAR(Assumptions!$F$11))+(MONTH('Renovation Budget'!$F$16)-MONTH(Assumptions!$F$11))),DL$11&lt;=((12*(YEAR('Renovation Budget'!$F$16)-YEAR(Assumptions!$F$11))+(MONTH('Renovation Budget'!$F$16)-MONTH(Assumptions!$F$11)))+'Renovation Budget'!$G$16-1)),-'Renovation Budget'!$C$16/'Renovation Budget'!$G$16,0)</f>
        <v/>
      </c>
      <c r="DM86" s="228">
        <f>IF(AND(DM$11&gt;=(12*(YEAR('Renovation Budget'!$F$16)-YEAR(Assumptions!$F$11))+(MONTH('Renovation Budget'!$F$16)-MONTH(Assumptions!$F$11))),DM$11&lt;=((12*(YEAR('Renovation Budget'!$F$16)-YEAR(Assumptions!$F$11))+(MONTH('Renovation Budget'!$F$16)-MONTH(Assumptions!$F$11)))+'Renovation Budget'!$G$16-1)),-'Renovation Budget'!$C$16/'Renovation Budget'!$G$16,0)</f>
        <v/>
      </c>
      <c r="DN86" s="228">
        <f>IF(AND(DN$11&gt;=(12*(YEAR('Renovation Budget'!$F$16)-YEAR(Assumptions!$F$11))+(MONTH('Renovation Budget'!$F$16)-MONTH(Assumptions!$F$11))),DN$11&lt;=((12*(YEAR('Renovation Budget'!$F$16)-YEAR(Assumptions!$F$11))+(MONTH('Renovation Budget'!$F$16)-MONTH(Assumptions!$F$11)))+'Renovation Budget'!$G$16-1)),-'Renovation Budget'!$C$16/'Renovation Budget'!$G$16,0)</f>
        <v/>
      </c>
      <c r="DO86" s="228">
        <f>IF(AND(DO$11&gt;=(12*(YEAR('Renovation Budget'!$F$16)-YEAR(Assumptions!$F$11))+(MONTH('Renovation Budget'!$F$16)-MONTH(Assumptions!$F$11))),DO$11&lt;=((12*(YEAR('Renovation Budget'!$F$16)-YEAR(Assumptions!$F$11))+(MONTH('Renovation Budget'!$F$16)-MONTH(Assumptions!$F$11)))+'Renovation Budget'!$G$16-1)),-'Renovation Budget'!$C$16/'Renovation Budget'!$G$16,0)</f>
        <v/>
      </c>
      <c r="DP86" s="228">
        <f>IF(AND(DP$11&gt;=(12*(YEAR('Renovation Budget'!$F$16)-YEAR(Assumptions!$F$11))+(MONTH('Renovation Budget'!$F$16)-MONTH(Assumptions!$F$11))),DP$11&lt;=((12*(YEAR('Renovation Budget'!$F$16)-YEAR(Assumptions!$F$11))+(MONTH('Renovation Budget'!$F$16)-MONTH(Assumptions!$F$11)))+'Renovation Budget'!$G$16-1)),-'Renovation Budget'!$C$16/'Renovation Budget'!$G$16,0)</f>
        <v/>
      </c>
      <c r="DQ86" s="228">
        <f>IF(AND(DQ$11&gt;=(12*(YEAR('Renovation Budget'!$F$16)-YEAR(Assumptions!$F$11))+(MONTH('Renovation Budget'!$F$16)-MONTH(Assumptions!$F$11))),DQ$11&lt;=((12*(YEAR('Renovation Budget'!$F$16)-YEAR(Assumptions!$F$11))+(MONTH('Renovation Budget'!$F$16)-MONTH(Assumptions!$F$11)))+'Renovation Budget'!$G$16-1)),-'Renovation Budget'!$C$16/'Renovation Budget'!$G$16,0)</f>
        <v/>
      </c>
      <c r="DR86" s="228">
        <f>IF(AND(DR$11&gt;=(12*(YEAR('Renovation Budget'!$F$16)-YEAR(Assumptions!$F$11))+(MONTH('Renovation Budget'!$F$16)-MONTH(Assumptions!$F$11))),DR$11&lt;=((12*(YEAR('Renovation Budget'!$F$16)-YEAR(Assumptions!$F$11))+(MONTH('Renovation Budget'!$F$16)-MONTH(Assumptions!$F$11)))+'Renovation Budget'!$G$16-1)),-'Renovation Budget'!$C$16/'Renovation Budget'!$G$16,0)</f>
        <v/>
      </c>
      <c r="DS86" s="228">
        <f>IF(AND(DS$11&gt;=(12*(YEAR('Renovation Budget'!$F$16)-YEAR(Assumptions!$F$11))+(MONTH('Renovation Budget'!$F$16)-MONTH(Assumptions!$F$11))),DS$11&lt;=((12*(YEAR('Renovation Budget'!$F$16)-YEAR(Assumptions!$F$11))+(MONTH('Renovation Budget'!$F$16)-MONTH(Assumptions!$F$11)))+'Renovation Budget'!$G$16-1)),-'Renovation Budget'!$C$16/'Renovation Budget'!$G$16,0)</f>
        <v/>
      </c>
      <c r="DT86" s="228">
        <f>IF(AND(DT$11&gt;=(12*(YEAR('Renovation Budget'!$F$16)-YEAR(Assumptions!$F$11))+(MONTH('Renovation Budget'!$F$16)-MONTH(Assumptions!$F$11))),DT$11&lt;=((12*(YEAR('Renovation Budget'!$F$16)-YEAR(Assumptions!$F$11))+(MONTH('Renovation Budget'!$F$16)-MONTH(Assumptions!$F$11)))+'Renovation Budget'!$G$16-1)),-'Renovation Budget'!$C$16/'Renovation Budget'!$G$16,0)</f>
        <v/>
      </c>
    </row>
    <row r="87" ht="15" customHeight="1" s="148">
      <c r="A87" s="112" t="inlineStr">
        <is>
          <t>Finishes</t>
        </is>
      </c>
      <c r="C87" s="228">
        <f>SUM(D87:DT87)</f>
        <v/>
      </c>
      <c r="D87" s="228">
        <f>IF(AND(D$11&gt;=(12*(YEAR('Renovation Budget'!$F$17)-YEAR(Assumptions!$F$11))+(MONTH('Renovation Budget'!$F$17)-MONTH(Assumptions!$F$11))),D$11&lt;=((12*(YEAR('Renovation Budget'!$F$17)-YEAR(Assumptions!$F$11))+(MONTH('Renovation Budget'!$F$17)-MONTH(Assumptions!$F$11)))+'Renovation Budget'!$G$17-1)),-'Renovation Budget'!$C$17/'Renovation Budget'!$G$17,0)</f>
        <v/>
      </c>
      <c r="E87" s="228">
        <f>IF(AND(E$11&gt;=(12*(YEAR('Renovation Budget'!$F$17)-YEAR(Assumptions!$F$11))+(MONTH('Renovation Budget'!$F$17)-MONTH(Assumptions!$F$11))),E$11&lt;=((12*(YEAR('Renovation Budget'!$F$17)-YEAR(Assumptions!$F$11))+(MONTH('Renovation Budget'!$F$17)-MONTH(Assumptions!$F$11)))+'Renovation Budget'!$G$17-1)),-'Renovation Budget'!$C$17/'Renovation Budget'!$G$17,0)</f>
        <v/>
      </c>
      <c r="F87" s="228">
        <f>IF(AND(F$11&gt;=(12*(YEAR('Renovation Budget'!$F$17)-YEAR(Assumptions!$F$11))+(MONTH('Renovation Budget'!$F$17)-MONTH(Assumptions!$F$11))),F$11&lt;=((12*(YEAR('Renovation Budget'!$F$17)-YEAR(Assumptions!$F$11))+(MONTH('Renovation Budget'!$F$17)-MONTH(Assumptions!$F$11)))+'Renovation Budget'!$G$17-1)),-'Renovation Budget'!$C$17/'Renovation Budget'!$G$17,0)</f>
        <v/>
      </c>
      <c r="G87" s="228">
        <f>IF(AND(G$11&gt;=(12*(YEAR('Renovation Budget'!$F$17)-YEAR(Assumptions!$F$11))+(MONTH('Renovation Budget'!$F$17)-MONTH(Assumptions!$F$11))),G$11&lt;=((12*(YEAR('Renovation Budget'!$F$17)-YEAR(Assumptions!$F$11))+(MONTH('Renovation Budget'!$F$17)-MONTH(Assumptions!$F$11)))+'Renovation Budget'!$G$17-1)),-'Renovation Budget'!$C$17/'Renovation Budget'!$G$17,0)</f>
        <v/>
      </c>
      <c r="H87" s="228">
        <f>IF(AND(H$11&gt;=(12*(YEAR('Renovation Budget'!$F$17)-YEAR(Assumptions!$F$11))+(MONTH('Renovation Budget'!$F$17)-MONTH(Assumptions!$F$11))),H$11&lt;=((12*(YEAR('Renovation Budget'!$F$17)-YEAR(Assumptions!$F$11))+(MONTH('Renovation Budget'!$F$17)-MONTH(Assumptions!$F$11)))+'Renovation Budget'!$G$17-1)),-'Renovation Budget'!$C$17/'Renovation Budget'!$G$17,0)</f>
        <v/>
      </c>
      <c r="I87" s="228">
        <f>IF(AND(I$11&gt;=(12*(YEAR('Renovation Budget'!$F$17)-YEAR(Assumptions!$F$11))+(MONTH('Renovation Budget'!$F$17)-MONTH(Assumptions!$F$11))),I$11&lt;=((12*(YEAR('Renovation Budget'!$F$17)-YEAR(Assumptions!$F$11))+(MONTH('Renovation Budget'!$F$17)-MONTH(Assumptions!$F$11)))+'Renovation Budget'!$G$17-1)),-'Renovation Budget'!$C$17/'Renovation Budget'!$G$17,0)</f>
        <v/>
      </c>
      <c r="J87" s="228">
        <f>IF(AND(J$11&gt;=(12*(YEAR('Renovation Budget'!$F$17)-YEAR(Assumptions!$F$11))+(MONTH('Renovation Budget'!$F$17)-MONTH(Assumptions!$F$11))),J$11&lt;=((12*(YEAR('Renovation Budget'!$F$17)-YEAR(Assumptions!$F$11))+(MONTH('Renovation Budget'!$F$17)-MONTH(Assumptions!$F$11)))+'Renovation Budget'!$G$17-1)),-'Renovation Budget'!$C$17/'Renovation Budget'!$G$17,0)</f>
        <v/>
      </c>
      <c r="K87" s="228">
        <f>IF(AND(K$11&gt;=(12*(YEAR('Renovation Budget'!$F$17)-YEAR(Assumptions!$F$11))+(MONTH('Renovation Budget'!$F$17)-MONTH(Assumptions!$F$11))),K$11&lt;=((12*(YEAR('Renovation Budget'!$F$17)-YEAR(Assumptions!$F$11))+(MONTH('Renovation Budget'!$F$17)-MONTH(Assumptions!$F$11)))+'Renovation Budget'!$G$17-1)),-'Renovation Budget'!$C$17/'Renovation Budget'!$G$17,0)</f>
        <v/>
      </c>
      <c r="L87" s="228">
        <f>IF(AND(L$11&gt;=(12*(YEAR('Renovation Budget'!$F$17)-YEAR(Assumptions!$F$11))+(MONTH('Renovation Budget'!$F$17)-MONTH(Assumptions!$F$11))),L$11&lt;=((12*(YEAR('Renovation Budget'!$F$17)-YEAR(Assumptions!$F$11))+(MONTH('Renovation Budget'!$F$17)-MONTH(Assumptions!$F$11)))+'Renovation Budget'!$G$17-1)),-'Renovation Budget'!$C$17/'Renovation Budget'!$G$17,0)</f>
        <v/>
      </c>
      <c r="M87" s="228">
        <f>IF(AND(M$11&gt;=(12*(YEAR('Renovation Budget'!$F$17)-YEAR(Assumptions!$F$11))+(MONTH('Renovation Budget'!$F$17)-MONTH(Assumptions!$F$11))),M$11&lt;=((12*(YEAR('Renovation Budget'!$F$17)-YEAR(Assumptions!$F$11))+(MONTH('Renovation Budget'!$F$17)-MONTH(Assumptions!$F$11)))+'Renovation Budget'!$G$17-1)),-'Renovation Budget'!$C$17/'Renovation Budget'!$G$17,0)</f>
        <v/>
      </c>
      <c r="N87" s="228">
        <f>IF(AND(N$11&gt;=(12*(YEAR('Renovation Budget'!$F$17)-YEAR(Assumptions!$F$11))+(MONTH('Renovation Budget'!$F$17)-MONTH(Assumptions!$F$11))),N$11&lt;=((12*(YEAR('Renovation Budget'!$F$17)-YEAR(Assumptions!$F$11))+(MONTH('Renovation Budget'!$F$17)-MONTH(Assumptions!$F$11)))+'Renovation Budget'!$G$17-1)),-'Renovation Budget'!$C$17/'Renovation Budget'!$G$17,0)</f>
        <v/>
      </c>
      <c r="O87" s="228">
        <f>IF(AND(O$11&gt;=(12*(YEAR('Renovation Budget'!$F$17)-YEAR(Assumptions!$F$11))+(MONTH('Renovation Budget'!$F$17)-MONTH(Assumptions!$F$11))),O$11&lt;=((12*(YEAR('Renovation Budget'!$F$17)-YEAR(Assumptions!$F$11))+(MONTH('Renovation Budget'!$F$17)-MONTH(Assumptions!$F$11)))+'Renovation Budget'!$G$17-1)),-'Renovation Budget'!$C$17/'Renovation Budget'!$G$17,0)</f>
        <v/>
      </c>
      <c r="P87" s="228">
        <f>IF(AND(P$11&gt;=(12*(YEAR('Renovation Budget'!$F$17)-YEAR(Assumptions!$F$11))+(MONTH('Renovation Budget'!$F$17)-MONTH(Assumptions!$F$11))),P$11&lt;=((12*(YEAR('Renovation Budget'!$F$17)-YEAR(Assumptions!$F$11))+(MONTH('Renovation Budget'!$F$17)-MONTH(Assumptions!$F$11)))+'Renovation Budget'!$G$17-1)),-'Renovation Budget'!$C$17/'Renovation Budget'!$G$17,0)</f>
        <v/>
      </c>
      <c r="Q87" s="228">
        <f>IF(AND(Q$11&gt;=(12*(YEAR('Renovation Budget'!$F$17)-YEAR(Assumptions!$F$11))+(MONTH('Renovation Budget'!$F$17)-MONTH(Assumptions!$F$11))),Q$11&lt;=((12*(YEAR('Renovation Budget'!$F$17)-YEAR(Assumptions!$F$11))+(MONTH('Renovation Budget'!$F$17)-MONTH(Assumptions!$F$11)))+'Renovation Budget'!$G$17-1)),-'Renovation Budget'!$C$17/'Renovation Budget'!$G$17,0)</f>
        <v/>
      </c>
      <c r="R87" s="228">
        <f>IF(AND(R$11&gt;=(12*(YEAR('Renovation Budget'!$F$17)-YEAR(Assumptions!$F$11))+(MONTH('Renovation Budget'!$F$17)-MONTH(Assumptions!$F$11))),R$11&lt;=((12*(YEAR('Renovation Budget'!$F$17)-YEAR(Assumptions!$F$11))+(MONTH('Renovation Budget'!$F$17)-MONTH(Assumptions!$F$11)))+'Renovation Budget'!$G$17-1)),-'Renovation Budget'!$C$17/'Renovation Budget'!$G$17,0)</f>
        <v/>
      </c>
      <c r="S87" s="228">
        <f>IF(AND(S$11&gt;=(12*(YEAR('Renovation Budget'!$F$17)-YEAR(Assumptions!$F$11))+(MONTH('Renovation Budget'!$F$17)-MONTH(Assumptions!$F$11))),S$11&lt;=((12*(YEAR('Renovation Budget'!$F$17)-YEAR(Assumptions!$F$11))+(MONTH('Renovation Budget'!$F$17)-MONTH(Assumptions!$F$11)))+'Renovation Budget'!$G$17-1)),-'Renovation Budget'!$C$17/'Renovation Budget'!$G$17,0)</f>
        <v/>
      </c>
      <c r="T87" s="228">
        <f>IF(AND(T$11&gt;=(12*(YEAR('Renovation Budget'!$F$17)-YEAR(Assumptions!$F$11))+(MONTH('Renovation Budget'!$F$17)-MONTH(Assumptions!$F$11))),T$11&lt;=((12*(YEAR('Renovation Budget'!$F$17)-YEAR(Assumptions!$F$11))+(MONTH('Renovation Budget'!$F$17)-MONTH(Assumptions!$F$11)))+'Renovation Budget'!$G$17-1)),-'Renovation Budget'!$C$17/'Renovation Budget'!$G$17,0)</f>
        <v/>
      </c>
      <c r="U87" s="228">
        <f>IF(AND(U$11&gt;=(12*(YEAR('Renovation Budget'!$F$17)-YEAR(Assumptions!$F$11))+(MONTH('Renovation Budget'!$F$17)-MONTH(Assumptions!$F$11))),U$11&lt;=((12*(YEAR('Renovation Budget'!$F$17)-YEAR(Assumptions!$F$11))+(MONTH('Renovation Budget'!$F$17)-MONTH(Assumptions!$F$11)))+'Renovation Budget'!$G$17-1)),-'Renovation Budget'!$C$17/'Renovation Budget'!$G$17,0)</f>
        <v/>
      </c>
      <c r="V87" s="228">
        <f>IF(AND(V$11&gt;=(12*(YEAR('Renovation Budget'!$F$17)-YEAR(Assumptions!$F$11))+(MONTH('Renovation Budget'!$F$17)-MONTH(Assumptions!$F$11))),V$11&lt;=((12*(YEAR('Renovation Budget'!$F$17)-YEAR(Assumptions!$F$11))+(MONTH('Renovation Budget'!$F$17)-MONTH(Assumptions!$F$11)))+'Renovation Budget'!$G$17-1)),-'Renovation Budget'!$C$17/'Renovation Budget'!$G$17,0)</f>
        <v/>
      </c>
      <c r="W87" s="228">
        <f>IF(AND(W$11&gt;=(12*(YEAR('Renovation Budget'!$F$17)-YEAR(Assumptions!$F$11))+(MONTH('Renovation Budget'!$F$17)-MONTH(Assumptions!$F$11))),W$11&lt;=((12*(YEAR('Renovation Budget'!$F$17)-YEAR(Assumptions!$F$11))+(MONTH('Renovation Budget'!$F$17)-MONTH(Assumptions!$F$11)))+'Renovation Budget'!$G$17-1)),-'Renovation Budget'!$C$17/'Renovation Budget'!$G$17,0)</f>
        <v/>
      </c>
      <c r="X87" s="228">
        <f>IF(AND(X$11&gt;=(12*(YEAR('Renovation Budget'!$F$17)-YEAR(Assumptions!$F$11))+(MONTH('Renovation Budget'!$F$17)-MONTH(Assumptions!$F$11))),X$11&lt;=((12*(YEAR('Renovation Budget'!$F$17)-YEAR(Assumptions!$F$11))+(MONTH('Renovation Budget'!$F$17)-MONTH(Assumptions!$F$11)))+'Renovation Budget'!$G$17-1)),-'Renovation Budget'!$C$17/'Renovation Budget'!$G$17,0)</f>
        <v/>
      </c>
      <c r="Y87" s="228">
        <f>IF(AND(Y$11&gt;=(12*(YEAR('Renovation Budget'!$F$17)-YEAR(Assumptions!$F$11))+(MONTH('Renovation Budget'!$F$17)-MONTH(Assumptions!$F$11))),Y$11&lt;=((12*(YEAR('Renovation Budget'!$F$17)-YEAR(Assumptions!$F$11))+(MONTH('Renovation Budget'!$F$17)-MONTH(Assumptions!$F$11)))+'Renovation Budget'!$G$17-1)),-'Renovation Budget'!$C$17/'Renovation Budget'!$G$17,0)</f>
        <v/>
      </c>
      <c r="Z87" s="228">
        <f>IF(AND(Z$11&gt;=(12*(YEAR('Renovation Budget'!$F$17)-YEAR(Assumptions!$F$11))+(MONTH('Renovation Budget'!$F$17)-MONTH(Assumptions!$F$11))),Z$11&lt;=((12*(YEAR('Renovation Budget'!$F$17)-YEAR(Assumptions!$F$11))+(MONTH('Renovation Budget'!$F$17)-MONTH(Assumptions!$F$11)))+'Renovation Budget'!$G$17-1)),-'Renovation Budget'!$C$17/'Renovation Budget'!$G$17,0)</f>
        <v/>
      </c>
      <c r="AA87" s="228">
        <f>IF(AND(AA$11&gt;=(12*(YEAR('Renovation Budget'!$F$17)-YEAR(Assumptions!$F$11))+(MONTH('Renovation Budget'!$F$17)-MONTH(Assumptions!$F$11))),AA$11&lt;=((12*(YEAR('Renovation Budget'!$F$17)-YEAR(Assumptions!$F$11))+(MONTH('Renovation Budget'!$F$17)-MONTH(Assumptions!$F$11)))+'Renovation Budget'!$G$17-1)),-'Renovation Budget'!$C$17/'Renovation Budget'!$G$17,0)</f>
        <v/>
      </c>
      <c r="AB87" s="228">
        <f>IF(AND(AB$11&gt;=(12*(YEAR('Renovation Budget'!$F$17)-YEAR(Assumptions!$F$11))+(MONTH('Renovation Budget'!$F$17)-MONTH(Assumptions!$F$11))),AB$11&lt;=((12*(YEAR('Renovation Budget'!$F$17)-YEAR(Assumptions!$F$11))+(MONTH('Renovation Budget'!$F$17)-MONTH(Assumptions!$F$11)))+'Renovation Budget'!$G$17-1)),-'Renovation Budget'!$C$17/'Renovation Budget'!$G$17,0)</f>
        <v/>
      </c>
      <c r="AC87" s="228">
        <f>IF(AND(AC$11&gt;=(12*(YEAR('Renovation Budget'!$F$17)-YEAR(Assumptions!$F$11))+(MONTH('Renovation Budget'!$F$17)-MONTH(Assumptions!$F$11))),AC$11&lt;=((12*(YEAR('Renovation Budget'!$F$17)-YEAR(Assumptions!$F$11))+(MONTH('Renovation Budget'!$F$17)-MONTH(Assumptions!$F$11)))+'Renovation Budget'!$G$17-1)),-'Renovation Budget'!$C$17/'Renovation Budget'!$G$17,0)</f>
        <v/>
      </c>
      <c r="AD87" s="228">
        <f>IF(AND(AD$11&gt;=(12*(YEAR('Renovation Budget'!$F$17)-YEAR(Assumptions!$F$11))+(MONTH('Renovation Budget'!$F$17)-MONTH(Assumptions!$F$11))),AD$11&lt;=((12*(YEAR('Renovation Budget'!$F$17)-YEAR(Assumptions!$F$11))+(MONTH('Renovation Budget'!$F$17)-MONTH(Assumptions!$F$11)))+'Renovation Budget'!$G$17-1)),-'Renovation Budget'!$C$17/'Renovation Budget'!$G$17,0)</f>
        <v/>
      </c>
      <c r="AE87" s="228">
        <f>IF(AND(AE$11&gt;=(12*(YEAR('Renovation Budget'!$F$17)-YEAR(Assumptions!$F$11))+(MONTH('Renovation Budget'!$F$17)-MONTH(Assumptions!$F$11))),AE$11&lt;=((12*(YEAR('Renovation Budget'!$F$17)-YEAR(Assumptions!$F$11))+(MONTH('Renovation Budget'!$F$17)-MONTH(Assumptions!$F$11)))+'Renovation Budget'!$G$17-1)),-'Renovation Budget'!$C$17/'Renovation Budget'!$G$17,0)</f>
        <v/>
      </c>
      <c r="AF87" s="228">
        <f>IF(AND(AF$11&gt;=(12*(YEAR('Renovation Budget'!$F$17)-YEAR(Assumptions!$F$11))+(MONTH('Renovation Budget'!$F$17)-MONTH(Assumptions!$F$11))),AF$11&lt;=((12*(YEAR('Renovation Budget'!$F$17)-YEAR(Assumptions!$F$11))+(MONTH('Renovation Budget'!$F$17)-MONTH(Assumptions!$F$11)))+'Renovation Budget'!$G$17-1)),-'Renovation Budget'!$C$17/'Renovation Budget'!$G$17,0)</f>
        <v/>
      </c>
      <c r="AG87" s="228">
        <f>IF(AND(AG$11&gt;=(12*(YEAR('Renovation Budget'!$F$17)-YEAR(Assumptions!$F$11))+(MONTH('Renovation Budget'!$F$17)-MONTH(Assumptions!$F$11))),AG$11&lt;=((12*(YEAR('Renovation Budget'!$F$17)-YEAR(Assumptions!$F$11))+(MONTH('Renovation Budget'!$F$17)-MONTH(Assumptions!$F$11)))+'Renovation Budget'!$G$17-1)),-'Renovation Budget'!$C$17/'Renovation Budget'!$G$17,0)</f>
        <v/>
      </c>
      <c r="AH87" s="228">
        <f>IF(AND(AH$11&gt;=(12*(YEAR('Renovation Budget'!$F$17)-YEAR(Assumptions!$F$11))+(MONTH('Renovation Budget'!$F$17)-MONTH(Assumptions!$F$11))),AH$11&lt;=((12*(YEAR('Renovation Budget'!$F$17)-YEAR(Assumptions!$F$11))+(MONTH('Renovation Budget'!$F$17)-MONTH(Assumptions!$F$11)))+'Renovation Budget'!$G$17-1)),-'Renovation Budget'!$C$17/'Renovation Budget'!$G$17,0)</f>
        <v/>
      </c>
      <c r="AI87" s="228">
        <f>IF(AND(AI$11&gt;=(12*(YEAR('Renovation Budget'!$F$17)-YEAR(Assumptions!$F$11))+(MONTH('Renovation Budget'!$F$17)-MONTH(Assumptions!$F$11))),AI$11&lt;=((12*(YEAR('Renovation Budget'!$F$17)-YEAR(Assumptions!$F$11))+(MONTH('Renovation Budget'!$F$17)-MONTH(Assumptions!$F$11)))+'Renovation Budget'!$G$17-1)),-'Renovation Budget'!$C$17/'Renovation Budget'!$G$17,0)</f>
        <v/>
      </c>
      <c r="AJ87" s="228">
        <f>IF(AND(AJ$11&gt;=(12*(YEAR('Renovation Budget'!$F$17)-YEAR(Assumptions!$F$11))+(MONTH('Renovation Budget'!$F$17)-MONTH(Assumptions!$F$11))),AJ$11&lt;=((12*(YEAR('Renovation Budget'!$F$17)-YEAR(Assumptions!$F$11))+(MONTH('Renovation Budget'!$F$17)-MONTH(Assumptions!$F$11)))+'Renovation Budget'!$G$17-1)),-'Renovation Budget'!$C$17/'Renovation Budget'!$G$17,0)</f>
        <v/>
      </c>
      <c r="AK87" s="228">
        <f>IF(AND(AK$11&gt;=(12*(YEAR('Renovation Budget'!$F$17)-YEAR(Assumptions!$F$11))+(MONTH('Renovation Budget'!$F$17)-MONTH(Assumptions!$F$11))),AK$11&lt;=((12*(YEAR('Renovation Budget'!$F$17)-YEAR(Assumptions!$F$11))+(MONTH('Renovation Budget'!$F$17)-MONTH(Assumptions!$F$11)))+'Renovation Budget'!$G$17-1)),-'Renovation Budget'!$C$17/'Renovation Budget'!$G$17,0)</f>
        <v/>
      </c>
      <c r="AL87" s="228">
        <f>IF(AND(AL$11&gt;=(12*(YEAR('Renovation Budget'!$F$17)-YEAR(Assumptions!$F$11))+(MONTH('Renovation Budget'!$F$17)-MONTH(Assumptions!$F$11))),AL$11&lt;=((12*(YEAR('Renovation Budget'!$F$17)-YEAR(Assumptions!$F$11))+(MONTH('Renovation Budget'!$F$17)-MONTH(Assumptions!$F$11)))+'Renovation Budget'!$G$17-1)),-'Renovation Budget'!$C$17/'Renovation Budget'!$G$17,0)</f>
        <v/>
      </c>
      <c r="AM87" s="228">
        <f>IF(AND(AM$11&gt;=(12*(YEAR('Renovation Budget'!$F$17)-YEAR(Assumptions!$F$11))+(MONTH('Renovation Budget'!$F$17)-MONTH(Assumptions!$F$11))),AM$11&lt;=((12*(YEAR('Renovation Budget'!$F$17)-YEAR(Assumptions!$F$11))+(MONTH('Renovation Budget'!$F$17)-MONTH(Assumptions!$F$11)))+'Renovation Budget'!$G$17-1)),-'Renovation Budget'!$C$17/'Renovation Budget'!$G$17,0)</f>
        <v/>
      </c>
      <c r="AN87" s="228">
        <f>IF(AND(AN$11&gt;=(12*(YEAR('Renovation Budget'!$F$17)-YEAR(Assumptions!$F$11))+(MONTH('Renovation Budget'!$F$17)-MONTH(Assumptions!$F$11))),AN$11&lt;=((12*(YEAR('Renovation Budget'!$F$17)-YEAR(Assumptions!$F$11))+(MONTH('Renovation Budget'!$F$17)-MONTH(Assumptions!$F$11)))+'Renovation Budget'!$G$17-1)),-'Renovation Budget'!$C$17/'Renovation Budget'!$G$17,0)</f>
        <v/>
      </c>
      <c r="AO87" s="228">
        <f>IF(AND(AO$11&gt;=(12*(YEAR('Renovation Budget'!$F$17)-YEAR(Assumptions!$F$11))+(MONTH('Renovation Budget'!$F$17)-MONTH(Assumptions!$F$11))),AO$11&lt;=((12*(YEAR('Renovation Budget'!$F$17)-YEAR(Assumptions!$F$11))+(MONTH('Renovation Budget'!$F$17)-MONTH(Assumptions!$F$11)))+'Renovation Budget'!$G$17-1)),-'Renovation Budget'!$C$17/'Renovation Budget'!$G$17,0)</f>
        <v/>
      </c>
      <c r="AP87" s="228">
        <f>IF(AND(AP$11&gt;=(12*(YEAR('Renovation Budget'!$F$17)-YEAR(Assumptions!$F$11))+(MONTH('Renovation Budget'!$F$17)-MONTH(Assumptions!$F$11))),AP$11&lt;=((12*(YEAR('Renovation Budget'!$F$17)-YEAR(Assumptions!$F$11))+(MONTH('Renovation Budget'!$F$17)-MONTH(Assumptions!$F$11)))+'Renovation Budget'!$G$17-1)),-'Renovation Budget'!$C$17/'Renovation Budget'!$G$17,0)</f>
        <v/>
      </c>
      <c r="AQ87" s="228">
        <f>IF(AND(AQ$11&gt;=(12*(YEAR('Renovation Budget'!$F$17)-YEAR(Assumptions!$F$11))+(MONTH('Renovation Budget'!$F$17)-MONTH(Assumptions!$F$11))),AQ$11&lt;=((12*(YEAR('Renovation Budget'!$F$17)-YEAR(Assumptions!$F$11))+(MONTH('Renovation Budget'!$F$17)-MONTH(Assumptions!$F$11)))+'Renovation Budget'!$G$17-1)),-'Renovation Budget'!$C$17/'Renovation Budget'!$G$17,0)</f>
        <v/>
      </c>
      <c r="AR87" s="228">
        <f>IF(AND(AR$11&gt;=(12*(YEAR('Renovation Budget'!$F$17)-YEAR(Assumptions!$F$11))+(MONTH('Renovation Budget'!$F$17)-MONTH(Assumptions!$F$11))),AR$11&lt;=((12*(YEAR('Renovation Budget'!$F$17)-YEAR(Assumptions!$F$11))+(MONTH('Renovation Budget'!$F$17)-MONTH(Assumptions!$F$11)))+'Renovation Budget'!$G$17-1)),-'Renovation Budget'!$C$17/'Renovation Budget'!$G$17,0)</f>
        <v/>
      </c>
      <c r="AS87" s="228">
        <f>IF(AND(AS$11&gt;=(12*(YEAR('Renovation Budget'!$F$17)-YEAR(Assumptions!$F$11))+(MONTH('Renovation Budget'!$F$17)-MONTH(Assumptions!$F$11))),AS$11&lt;=((12*(YEAR('Renovation Budget'!$F$17)-YEAR(Assumptions!$F$11))+(MONTH('Renovation Budget'!$F$17)-MONTH(Assumptions!$F$11)))+'Renovation Budget'!$G$17-1)),-'Renovation Budget'!$C$17/'Renovation Budget'!$G$17,0)</f>
        <v/>
      </c>
      <c r="AT87" s="228">
        <f>IF(AND(AT$11&gt;=(12*(YEAR('Renovation Budget'!$F$17)-YEAR(Assumptions!$F$11))+(MONTH('Renovation Budget'!$F$17)-MONTH(Assumptions!$F$11))),AT$11&lt;=((12*(YEAR('Renovation Budget'!$F$17)-YEAR(Assumptions!$F$11))+(MONTH('Renovation Budget'!$F$17)-MONTH(Assumptions!$F$11)))+'Renovation Budget'!$G$17-1)),-'Renovation Budget'!$C$17/'Renovation Budget'!$G$17,0)</f>
        <v/>
      </c>
      <c r="AU87" s="228">
        <f>IF(AND(AU$11&gt;=(12*(YEAR('Renovation Budget'!$F$17)-YEAR(Assumptions!$F$11))+(MONTH('Renovation Budget'!$F$17)-MONTH(Assumptions!$F$11))),AU$11&lt;=((12*(YEAR('Renovation Budget'!$F$17)-YEAR(Assumptions!$F$11))+(MONTH('Renovation Budget'!$F$17)-MONTH(Assumptions!$F$11)))+'Renovation Budget'!$G$17-1)),-'Renovation Budget'!$C$17/'Renovation Budget'!$G$17,0)</f>
        <v/>
      </c>
      <c r="AV87" s="228">
        <f>IF(AND(AV$11&gt;=(12*(YEAR('Renovation Budget'!$F$17)-YEAR(Assumptions!$F$11))+(MONTH('Renovation Budget'!$F$17)-MONTH(Assumptions!$F$11))),AV$11&lt;=((12*(YEAR('Renovation Budget'!$F$17)-YEAR(Assumptions!$F$11))+(MONTH('Renovation Budget'!$F$17)-MONTH(Assumptions!$F$11)))+'Renovation Budget'!$G$17-1)),-'Renovation Budget'!$C$17/'Renovation Budget'!$G$17,0)</f>
        <v/>
      </c>
      <c r="AW87" s="228">
        <f>IF(AND(AW$11&gt;=(12*(YEAR('Renovation Budget'!$F$17)-YEAR(Assumptions!$F$11))+(MONTH('Renovation Budget'!$F$17)-MONTH(Assumptions!$F$11))),AW$11&lt;=((12*(YEAR('Renovation Budget'!$F$17)-YEAR(Assumptions!$F$11))+(MONTH('Renovation Budget'!$F$17)-MONTH(Assumptions!$F$11)))+'Renovation Budget'!$G$17-1)),-'Renovation Budget'!$C$17/'Renovation Budget'!$G$17,0)</f>
        <v/>
      </c>
      <c r="AX87" s="228">
        <f>IF(AND(AX$11&gt;=(12*(YEAR('Renovation Budget'!$F$17)-YEAR(Assumptions!$F$11))+(MONTH('Renovation Budget'!$F$17)-MONTH(Assumptions!$F$11))),AX$11&lt;=((12*(YEAR('Renovation Budget'!$F$17)-YEAR(Assumptions!$F$11))+(MONTH('Renovation Budget'!$F$17)-MONTH(Assumptions!$F$11)))+'Renovation Budget'!$G$17-1)),-'Renovation Budget'!$C$17/'Renovation Budget'!$G$17,0)</f>
        <v/>
      </c>
      <c r="AY87" s="228">
        <f>IF(AND(AY$11&gt;=(12*(YEAR('Renovation Budget'!$F$17)-YEAR(Assumptions!$F$11))+(MONTH('Renovation Budget'!$F$17)-MONTH(Assumptions!$F$11))),AY$11&lt;=((12*(YEAR('Renovation Budget'!$F$17)-YEAR(Assumptions!$F$11))+(MONTH('Renovation Budget'!$F$17)-MONTH(Assumptions!$F$11)))+'Renovation Budget'!$G$17-1)),-'Renovation Budget'!$C$17/'Renovation Budget'!$G$17,0)</f>
        <v/>
      </c>
      <c r="AZ87" s="228">
        <f>IF(AND(AZ$11&gt;=(12*(YEAR('Renovation Budget'!$F$17)-YEAR(Assumptions!$F$11))+(MONTH('Renovation Budget'!$F$17)-MONTH(Assumptions!$F$11))),AZ$11&lt;=((12*(YEAR('Renovation Budget'!$F$17)-YEAR(Assumptions!$F$11))+(MONTH('Renovation Budget'!$F$17)-MONTH(Assumptions!$F$11)))+'Renovation Budget'!$G$17-1)),-'Renovation Budget'!$C$17/'Renovation Budget'!$G$17,0)</f>
        <v/>
      </c>
      <c r="BA87" s="228">
        <f>IF(AND(BA$11&gt;=(12*(YEAR('Renovation Budget'!$F$17)-YEAR(Assumptions!$F$11))+(MONTH('Renovation Budget'!$F$17)-MONTH(Assumptions!$F$11))),BA$11&lt;=((12*(YEAR('Renovation Budget'!$F$17)-YEAR(Assumptions!$F$11))+(MONTH('Renovation Budget'!$F$17)-MONTH(Assumptions!$F$11)))+'Renovation Budget'!$G$17-1)),-'Renovation Budget'!$C$17/'Renovation Budget'!$G$17,0)</f>
        <v/>
      </c>
      <c r="BB87" s="228">
        <f>IF(AND(BB$11&gt;=(12*(YEAR('Renovation Budget'!$F$17)-YEAR(Assumptions!$F$11))+(MONTH('Renovation Budget'!$F$17)-MONTH(Assumptions!$F$11))),BB$11&lt;=((12*(YEAR('Renovation Budget'!$F$17)-YEAR(Assumptions!$F$11))+(MONTH('Renovation Budget'!$F$17)-MONTH(Assumptions!$F$11)))+'Renovation Budget'!$G$17-1)),-'Renovation Budget'!$C$17/'Renovation Budget'!$G$17,0)</f>
        <v/>
      </c>
      <c r="BC87" s="228">
        <f>IF(AND(BC$11&gt;=(12*(YEAR('Renovation Budget'!$F$17)-YEAR(Assumptions!$F$11))+(MONTH('Renovation Budget'!$F$17)-MONTH(Assumptions!$F$11))),BC$11&lt;=((12*(YEAR('Renovation Budget'!$F$17)-YEAR(Assumptions!$F$11))+(MONTH('Renovation Budget'!$F$17)-MONTH(Assumptions!$F$11)))+'Renovation Budget'!$G$17-1)),-'Renovation Budget'!$C$17/'Renovation Budget'!$G$17,0)</f>
        <v/>
      </c>
      <c r="BD87" s="228">
        <f>IF(AND(BD$11&gt;=(12*(YEAR('Renovation Budget'!$F$17)-YEAR(Assumptions!$F$11))+(MONTH('Renovation Budget'!$F$17)-MONTH(Assumptions!$F$11))),BD$11&lt;=((12*(YEAR('Renovation Budget'!$F$17)-YEAR(Assumptions!$F$11))+(MONTH('Renovation Budget'!$F$17)-MONTH(Assumptions!$F$11)))+'Renovation Budget'!$G$17-1)),-'Renovation Budget'!$C$17/'Renovation Budget'!$G$17,0)</f>
        <v/>
      </c>
      <c r="BE87" s="228">
        <f>IF(AND(BE$11&gt;=(12*(YEAR('Renovation Budget'!$F$17)-YEAR(Assumptions!$F$11))+(MONTH('Renovation Budget'!$F$17)-MONTH(Assumptions!$F$11))),BE$11&lt;=((12*(YEAR('Renovation Budget'!$F$17)-YEAR(Assumptions!$F$11))+(MONTH('Renovation Budget'!$F$17)-MONTH(Assumptions!$F$11)))+'Renovation Budget'!$G$17-1)),-'Renovation Budget'!$C$17/'Renovation Budget'!$G$17,0)</f>
        <v/>
      </c>
      <c r="BF87" s="228">
        <f>IF(AND(BF$11&gt;=(12*(YEAR('Renovation Budget'!$F$17)-YEAR(Assumptions!$F$11))+(MONTH('Renovation Budget'!$F$17)-MONTH(Assumptions!$F$11))),BF$11&lt;=((12*(YEAR('Renovation Budget'!$F$17)-YEAR(Assumptions!$F$11))+(MONTH('Renovation Budget'!$F$17)-MONTH(Assumptions!$F$11)))+'Renovation Budget'!$G$17-1)),-'Renovation Budget'!$C$17/'Renovation Budget'!$G$17,0)</f>
        <v/>
      </c>
      <c r="BG87" s="228">
        <f>IF(AND(BG$11&gt;=(12*(YEAR('Renovation Budget'!$F$17)-YEAR(Assumptions!$F$11))+(MONTH('Renovation Budget'!$F$17)-MONTH(Assumptions!$F$11))),BG$11&lt;=((12*(YEAR('Renovation Budget'!$F$17)-YEAR(Assumptions!$F$11))+(MONTH('Renovation Budget'!$F$17)-MONTH(Assumptions!$F$11)))+'Renovation Budget'!$G$17-1)),-'Renovation Budget'!$C$17/'Renovation Budget'!$G$17,0)</f>
        <v/>
      </c>
      <c r="BH87" s="228">
        <f>IF(AND(BH$11&gt;=(12*(YEAR('Renovation Budget'!$F$17)-YEAR(Assumptions!$F$11))+(MONTH('Renovation Budget'!$F$17)-MONTH(Assumptions!$F$11))),BH$11&lt;=((12*(YEAR('Renovation Budget'!$F$17)-YEAR(Assumptions!$F$11))+(MONTH('Renovation Budget'!$F$17)-MONTH(Assumptions!$F$11)))+'Renovation Budget'!$G$17-1)),-'Renovation Budget'!$C$17/'Renovation Budget'!$G$17,0)</f>
        <v/>
      </c>
      <c r="BI87" s="228">
        <f>IF(AND(BI$11&gt;=(12*(YEAR('Renovation Budget'!$F$17)-YEAR(Assumptions!$F$11))+(MONTH('Renovation Budget'!$F$17)-MONTH(Assumptions!$F$11))),BI$11&lt;=((12*(YEAR('Renovation Budget'!$F$17)-YEAR(Assumptions!$F$11))+(MONTH('Renovation Budget'!$F$17)-MONTH(Assumptions!$F$11)))+'Renovation Budget'!$G$17-1)),-'Renovation Budget'!$C$17/'Renovation Budget'!$G$17,0)</f>
        <v/>
      </c>
      <c r="BJ87" s="228">
        <f>IF(AND(BJ$11&gt;=(12*(YEAR('Renovation Budget'!$F$17)-YEAR(Assumptions!$F$11))+(MONTH('Renovation Budget'!$F$17)-MONTH(Assumptions!$F$11))),BJ$11&lt;=((12*(YEAR('Renovation Budget'!$F$17)-YEAR(Assumptions!$F$11))+(MONTH('Renovation Budget'!$F$17)-MONTH(Assumptions!$F$11)))+'Renovation Budget'!$G$17-1)),-'Renovation Budget'!$C$17/'Renovation Budget'!$G$17,0)</f>
        <v/>
      </c>
      <c r="BK87" s="228">
        <f>IF(AND(BK$11&gt;=(12*(YEAR('Renovation Budget'!$F$17)-YEAR(Assumptions!$F$11))+(MONTH('Renovation Budget'!$F$17)-MONTH(Assumptions!$F$11))),BK$11&lt;=((12*(YEAR('Renovation Budget'!$F$17)-YEAR(Assumptions!$F$11))+(MONTH('Renovation Budget'!$F$17)-MONTH(Assumptions!$F$11)))+'Renovation Budget'!$G$17-1)),-'Renovation Budget'!$C$17/'Renovation Budget'!$G$17,0)</f>
        <v/>
      </c>
      <c r="BL87" s="228">
        <f>IF(AND(BL$11&gt;=(12*(YEAR('Renovation Budget'!$F$17)-YEAR(Assumptions!$F$11))+(MONTH('Renovation Budget'!$F$17)-MONTH(Assumptions!$F$11))),BL$11&lt;=((12*(YEAR('Renovation Budget'!$F$17)-YEAR(Assumptions!$F$11))+(MONTH('Renovation Budget'!$F$17)-MONTH(Assumptions!$F$11)))+'Renovation Budget'!$G$17-1)),-'Renovation Budget'!$C$17/'Renovation Budget'!$G$17,0)</f>
        <v/>
      </c>
      <c r="BM87" s="228">
        <f>IF(AND(BM$11&gt;=(12*(YEAR('Renovation Budget'!$F$17)-YEAR(Assumptions!$F$11))+(MONTH('Renovation Budget'!$F$17)-MONTH(Assumptions!$F$11))),BM$11&lt;=((12*(YEAR('Renovation Budget'!$F$17)-YEAR(Assumptions!$F$11))+(MONTH('Renovation Budget'!$F$17)-MONTH(Assumptions!$F$11)))+'Renovation Budget'!$G$17-1)),-'Renovation Budget'!$C$17/'Renovation Budget'!$G$17,0)</f>
        <v/>
      </c>
      <c r="BN87" s="228">
        <f>IF(AND(BN$11&gt;=(12*(YEAR('Renovation Budget'!$F$17)-YEAR(Assumptions!$F$11))+(MONTH('Renovation Budget'!$F$17)-MONTH(Assumptions!$F$11))),BN$11&lt;=((12*(YEAR('Renovation Budget'!$F$17)-YEAR(Assumptions!$F$11))+(MONTH('Renovation Budget'!$F$17)-MONTH(Assumptions!$F$11)))+'Renovation Budget'!$G$17-1)),-'Renovation Budget'!$C$17/'Renovation Budget'!$G$17,0)</f>
        <v/>
      </c>
      <c r="BO87" s="228">
        <f>IF(AND(BO$11&gt;=(12*(YEAR('Renovation Budget'!$F$17)-YEAR(Assumptions!$F$11))+(MONTH('Renovation Budget'!$F$17)-MONTH(Assumptions!$F$11))),BO$11&lt;=((12*(YEAR('Renovation Budget'!$F$17)-YEAR(Assumptions!$F$11))+(MONTH('Renovation Budget'!$F$17)-MONTH(Assumptions!$F$11)))+'Renovation Budget'!$G$17-1)),-'Renovation Budget'!$C$17/'Renovation Budget'!$G$17,0)</f>
        <v/>
      </c>
      <c r="BP87" s="228">
        <f>IF(AND(BP$11&gt;=(12*(YEAR('Renovation Budget'!$F$17)-YEAR(Assumptions!$F$11))+(MONTH('Renovation Budget'!$F$17)-MONTH(Assumptions!$F$11))),BP$11&lt;=((12*(YEAR('Renovation Budget'!$F$17)-YEAR(Assumptions!$F$11))+(MONTH('Renovation Budget'!$F$17)-MONTH(Assumptions!$F$11)))+'Renovation Budget'!$G$17-1)),-'Renovation Budget'!$C$17/'Renovation Budget'!$G$17,0)</f>
        <v/>
      </c>
      <c r="BQ87" s="228">
        <f>IF(AND(BQ$11&gt;=(12*(YEAR('Renovation Budget'!$F$17)-YEAR(Assumptions!$F$11))+(MONTH('Renovation Budget'!$F$17)-MONTH(Assumptions!$F$11))),BQ$11&lt;=((12*(YEAR('Renovation Budget'!$F$17)-YEAR(Assumptions!$F$11))+(MONTH('Renovation Budget'!$F$17)-MONTH(Assumptions!$F$11)))+'Renovation Budget'!$G$17-1)),-'Renovation Budget'!$C$17/'Renovation Budget'!$G$17,0)</f>
        <v/>
      </c>
      <c r="BR87" s="228">
        <f>IF(AND(BR$11&gt;=(12*(YEAR('Renovation Budget'!$F$17)-YEAR(Assumptions!$F$11))+(MONTH('Renovation Budget'!$F$17)-MONTH(Assumptions!$F$11))),BR$11&lt;=((12*(YEAR('Renovation Budget'!$F$17)-YEAR(Assumptions!$F$11))+(MONTH('Renovation Budget'!$F$17)-MONTH(Assumptions!$F$11)))+'Renovation Budget'!$G$17-1)),-'Renovation Budget'!$C$17/'Renovation Budget'!$G$17,0)</f>
        <v/>
      </c>
      <c r="BS87" s="228">
        <f>IF(AND(BS$11&gt;=(12*(YEAR('Renovation Budget'!$F$17)-YEAR(Assumptions!$F$11))+(MONTH('Renovation Budget'!$F$17)-MONTH(Assumptions!$F$11))),BS$11&lt;=((12*(YEAR('Renovation Budget'!$F$17)-YEAR(Assumptions!$F$11))+(MONTH('Renovation Budget'!$F$17)-MONTH(Assumptions!$F$11)))+'Renovation Budget'!$G$17-1)),-'Renovation Budget'!$C$17/'Renovation Budget'!$G$17,0)</f>
        <v/>
      </c>
      <c r="BT87" s="228">
        <f>IF(AND(BT$11&gt;=(12*(YEAR('Renovation Budget'!$F$17)-YEAR(Assumptions!$F$11))+(MONTH('Renovation Budget'!$F$17)-MONTH(Assumptions!$F$11))),BT$11&lt;=((12*(YEAR('Renovation Budget'!$F$17)-YEAR(Assumptions!$F$11))+(MONTH('Renovation Budget'!$F$17)-MONTH(Assumptions!$F$11)))+'Renovation Budget'!$G$17-1)),-'Renovation Budget'!$C$17/'Renovation Budget'!$G$17,0)</f>
        <v/>
      </c>
      <c r="BU87" s="228">
        <f>IF(AND(BU$11&gt;=(12*(YEAR('Renovation Budget'!$F$17)-YEAR(Assumptions!$F$11))+(MONTH('Renovation Budget'!$F$17)-MONTH(Assumptions!$F$11))),BU$11&lt;=((12*(YEAR('Renovation Budget'!$F$17)-YEAR(Assumptions!$F$11))+(MONTH('Renovation Budget'!$F$17)-MONTH(Assumptions!$F$11)))+'Renovation Budget'!$G$17-1)),-'Renovation Budget'!$C$17/'Renovation Budget'!$G$17,0)</f>
        <v/>
      </c>
      <c r="BV87" s="228">
        <f>IF(AND(BV$11&gt;=(12*(YEAR('Renovation Budget'!$F$17)-YEAR(Assumptions!$F$11))+(MONTH('Renovation Budget'!$F$17)-MONTH(Assumptions!$F$11))),BV$11&lt;=((12*(YEAR('Renovation Budget'!$F$17)-YEAR(Assumptions!$F$11))+(MONTH('Renovation Budget'!$F$17)-MONTH(Assumptions!$F$11)))+'Renovation Budget'!$G$17-1)),-'Renovation Budget'!$C$17/'Renovation Budget'!$G$17,0)</f>
        <v/>
      </c>
      <c r="BW87" s="228">
        <f>IF(AND(BW$11&gt;=(12*(YEAR('Renovation Budget'!$F$17)-YEAR(Assumptions!$F$11))+(MONTH('Renovation Budget'!$F$17)-MONTH(Assumptions!$F$11))),BW$11&lt;=((12*(YEAR('Renovation Budget'!$F$17)-YEAR(Assumptions!$F$11))+(MONTH('Renovation Budget'!$F$17)-MONTH(Assumptions!$F$11)))+'Renovation Budget'!$G$17-1)),-'Renovation Budget'!$C$17/'Renovation Budget'!$G$17,0)</f>
        <v/>
      </c>
      <c r="BX87" s="228">
        <f>IF(AND(BX$11&gt;=(12*(YEAR('Renovation Budget'!$F$17)-YEAR(Assumptions!$F$11))+(MONTH('Renovation Budget'!$F$17)-MONTH(Assumptions!$F$11))),BX$11&lt;=((12*(YEAR('Renovation Budget'!$F$17)-YEAR(Assumptions!$F$11))+(MONTH('Renovation Budget'!$F$17)-MONTH(Assumptions!$F$11)))+'Renovation Budget'!$G$17-1)),-'Renovation Budget'!$C$17/'Renovation Budget'!$G$17,0)</f>
        <v/>
      </c>
      <c r="BY87" s="228">
        <f>IF(AND(BY$11&gt;=(12*(YEAR('Renovation Budget'!$F$17)-YEAR(Assumptions!$F$11))+(MONTH('Renovation Budget'!$F$17)-MONTH(Assumptions!$F$11))),BY$11&lt;=((12*(YEAR('Renovation Budget'!$F$17)-YEAR(Assumptions!$F$11))+(MONTH('Renovation Budget'!$F$17)-MONTH(Assumptions!$F$11)))+'Renovation Budget'!$G$17-1)),-'Renovation Budget'!$C$17/'Renovation Budget'!$G$17,0)</f>
        <v/>
      </c>
      <c r="BZ87" s="228">
        <f>IF(AND(BZ$11&gt;=(12*(YEAR('Renovation Budget'!$F$17)-YEAR(Assumptions!$F$11))+(MONTH('Renovation Budget'!$F$17)-MONTH(Assumptions!$F$11))),BZ$11&lt;=((12*(YEAR('Renovation Budget'!$F$17)-YEAR(Assumptions!$F$11))+(MONTH('Renovation Budget'!$F$17)-MONTH(Assumptions!$F$11)))+'Renovation Budget'!$G$17-1)),-'Renovation Budget'!$C$17/'Renovation Budget'!$G$17,0)</f>
        <v/>
      </c>
      <c r="CA87" s="228">
        <f>IF(AND(CA$11&gt;=(12*(YEAR('Renovation Budget'!$F$17)-YEAR(Assumptions!$F$11))+(MONTH('Renovation Budget'!$F$17)-MONTH(Assumptions!$F$11))),CA$11&lt;=((12*(YEAR('Renovation Budget'!$F$17)-YEAR(Assumptions!$F$11))+(MONTH('Renovation Budget'!$F$17)-MONTH(Assumptions!$F$11)))+'Renovation Budget'!$G$17-1)),-'Renovation Budget'!$C$17/'Renovation Budget'!$G$17,0)</f>
        <v/>
      </c>
      <c r="CB87" s="228">
        <f>IF(AND(CB$11&gt;=(12*(YEAR('Renovation Budget'!$F$17)-YEAR(Assumptions!$F$11))+(MONTH('Renovation Budget'!$F$17)-MONTH(Assumptions!$F$11))),CB$11&lt;=((12*(YEAR('Renovation Budget'!$F$17)-YEAR(Assumptions!$F$11))+(MONTH('Renovation Budget'!$F$17)-MONTH(Assumptions!$F$11)))+'Renovation Budget'!$G$17-1)),-'Renovation Budget'!$C$17/'Renovation Budget'!$G$17,0)</f>
        <v/>
      </c>
      <c r="CC87" s="228">
        <f>IF(AND(CC$11&gt;=(12*(YEAR('Renovation Budget'!$F$17)-YEAR(Assumptions!$F$11))+(MONTH('Renovation Budget'!$F$17)-MONTH(Assumptions!$F$11))),CC$11&lt;=((12*(YEAR('Renovation Budget'!$F$17)-YEAR(Assumptions!$F$11))+(MONTH('Renovation Budget'!$F$17)-MONTH(Assumptions!$F$11)))+'Renovation Budget'!$G$17-1)),-'Renovation Budget'!$C$17/'Renovation Budget'!$G$17,0)</f>
        <v/>
      </c>
      <c r="CD87" s="228">
        <f>IF(AND(CD$11&gt;=(12*(YEAR('Renovation Budget'!$F$17)-YEAR(Assumptions!$F$11))+(MONTH('Renovation Budget'!$F$17)-MONTH(Assumptions!$F$11))),CD$11&lt;=((12*(YEAR('Renovation Budget'!$F$17)-YEAR(Assumptions!$F$11))+(MONTH('Renovation Budget'!$F$17)-MONTH(Assumptions!$F$11)))+'Renovation Budget'!$G$17-1)),-'Renovation Budget'!$C$17/'Renovation Budget'!$G$17,0)</f>
        <v/>
      </c>
      <c r="CE87" s="228">
        <f>IF(AND(CE$11&gt;=(12*(YEAR('Renovation Budget'!$F$17)-YEAR(Assumptions!$F$11))+(MONTH('Renovation Budget'!$F$17)-MONTH(Assumptions!$F$11))),CE$11&lt;=((12*(YEAR('Renovation Budget'!$F$17)-YEAR(Assumptions!$F$11))+(MONTH('Renovation Budget'!$F$17)-MONTH(Assumptions!$F$11)))+'Renovation Budget'!$G$17-1)),-'Renovation Budget'!$C$17/'Renovation Budget'!$G$17,0)</f>
        <v/>
      </c>
      <c r="CF87" s="228">
        <f>IF(AND(CF$11&gt;=(12*(YEAR('Renovation Budget'!$F$17)-YEAR(Assumptions!$F$11))+(MONTH('Renovation Budget'!$F$17)-MONTH(Assumptions!$F$11))),CF$11&lt;=((12*(YEAR('Renovation Budget'!$F$17)-YEAR(Assumptions!$F$11))+(MONTH('Renovation Budget'!$F$17)-MONTH(Assumptions!$F$11)))+'Renovation Budget'!$G$17-1)),-'Renovation Budget'!$C$17/'Renovation Budget'!$G$17,0)</f>
        <v/>
      </c>
      <c r="CG87" s="228">
        <f>IF(AND(CG$11&gt;=(12*(YEAR('Renovation Budget'!$F$17)-YEAR(Assumptions!$F$11))+(MONTH('Renovation Budget'!$F$17)-MONTH(Assumptions!$F$11))),CG$11&lt;=((12*(YEAR('Renovation Budget'!$F$17)-YEAR(Assumptions!$F$11))+(MONTH('Renovation Budget'!$F$17)-MONTH(Assumptions!$F$11)))+'Renovation Budget'!$G$17-1)),-'Renovation Budget'!$C$17/'Renovation Budget'!$G$17,0)</f>
        <v/>
      </c>
      <c r="CH87" s="228">
        <f>IF(AND(CH$11&gt;=(12*(YEAR('Renovation Budget'!$F$17)-YEAR(Assumptions!$F$11))+(MONTH('Renovation Budget'!$F$17)-MONTH(Assumptions!$F$11))),CH$11&lt;=((12*(YEAR('Renovation Budget'!$F$17)-YEAR(Assumptions!$F$11))+(MONTH('Renovation Budget'!$F$17)-MONTH(Assumptions!$F$11)))+'Renovation Budget'!$G$17-1)),-'Renovation Budget'!$C$17/'Renovation Budget'!$G$17,0)</f>
        <v/>
      </c>
      <c r="CI87" s="228">
        <f>IF(AND(CI$11&gt;=(12*(YEAR('Renovation Budget'!$F$17)-YEAR(Assumptions!$F$11))+(MONTH('Renovation Budget'!$F$17)-MONTH(Assumptions!$F$11))),CI$11&lt;=((12*(YEAR('Renovation Budget'!$F$17)-YEAR(Assumptions!$F$11))+(MONTH('Renovation Budget'!$F$17)-MONTH(Assumptions!$F$11)))+'Renovation Budget'!$G$17-1)),-'Renovation Budget'!$C$17/'Renovation Budget'!$G$17,0)</f>
        <v/>
      </c>
      <c r="CJ87" s="228">
        <f>IF(AND(CJ$11&gt;=(12*(YEAR('Renovation Budget'!$F$17)-YEAR(Assumptions!$F$11))+(MONTH('Renovation Budget'!$F$17)-MONTH(Assumptions!$F$11))),CJ$11&lt;=((12*(YEAR('Renovation Budget'!$F$17)-YEAR(Assumptions!$F$11))+(MONTH('Renovation Budget'!$F$17)-MONTH(Assumptions!$F$11)))+'Renovation Budget'!$G$17-1)),-'Renovation Budget'!$C$17/'Renovation Budget'!$G$17,0)</f>
        <v/>
      </c>
      <c r="CK87" s="228">
        <f>IF(AND(CK$11&gt;=(12*(YEAR('Renovation Budget'!$F$17)-YEAR(Assumptions!$F$11))+(MONTH('Renovation Budget'!$F$17)-MONTH(Assumptions!$F$11))),CK$11&lt;=((12*(YEAR('Renovation Budget'!$F$17)-YEAR(Assumptions!$F$11))+(MONTH('Renovation Budget'!$F$17)-MONTH(Assumptions!$F$11)))+'Renovation Budget'!$G$17-1)),-'Renovation Budget'!$C$17/'Renovation Budget'!$G$17,0)</f>
        <v/>
      </c>
      <c r="CL87" s="228">
        <f>IF(AND(CL$11&gt;=(12*(YEAR('Renovation Budget'!$F$17)-YEAR(Assumptions!$F$11))+(MONTH('Renovation Budget'!$F$17)-MONTH(Assumptions!$F$11))),CL$11&lt;=((12*(YEAR('Renovation Budget'!$F$17)-YEAR(Assumptions!$F$11))+(MONTH('Renovation Budget'!$F$17)-MONTH(Assumptions!$F$11)))+'Renovation Budget'!$G$17-1)),-'Renovation Budget'!$C$17/'Renovation Budget'!$G$17,0)</f>
        <v/>
      </c>
      <c r="CM87" s="228">
        <f>IF(AND(CM$11&gt;=(12*(YEAR('Renovation Budget'!$F$17)-YEAR(Assumptions!$F$11))+(MONTH('Renovation Budget'!$F$17)-MONTH(Assumptions!$F$11))),CM$11&lt;=((12*(YEAR('Renovation Budget'!$F$17)-YEAR(Assumptions!$F$11))+(MONTH('Renovation Budget'!$F$17)-MONTH(Assumptions!$F$11)))+'Renovation Budget'!$G$17-1)),-'Renovation Budget'!$C$17/'Renovation Budget'!$G$17,0)</f>
        <v/>
      </c>
      <c r="CN87" s="228">
        <f>IF(AND(CN$11&gt;=(12*(YEAR('Renovation Budget'!$F$17)-YEAR(Assumptions!$F$11))+(MONTH('Renovation Budget'!$F$17)-MONTH(Assumptions!$F$11))),CN$11&lt;=((12*(YEAR('Renovation Budget'!$F$17)-YEAR(Assumptions!$F$11))+(MONTH('Renovation Budget'!$F$17)-MONTH(Assumptions!$F$11)))+'Renovation Budget'!$G$17-1)),-'Renovation Budget'!$C$17/'Renovation Budget'!$G$17,0)</f>
        <v/>
      </c>
      <c r="CO87" s="228">
        <f>IF(AND(CO$11&gt;=(12*(YEAR('Renovation Budget'!$F$17)-YEAR(Assumptions!$F$11))+(MONTH('Renovation Budget'!$F$17)-MONTH(Assumptions!$F$11))),CO$11&lt;=((12*(YEAR('Renovation Budget'!$F$17)-YEAR(Assumptions!$F$11))+(MONTH('Renovation Budget'!$F$17)-MONTH(Assumptions!$F$11)))+'Renovation Budget'!$G$17-1)),-'Renovation Budget'!$C$17/'Renovation Budget'!$G$17,0)</f>
        <v/>
      </c>
      <c r="CP87" s="228">
        <f>IF(AND(CP$11&gt;=(12*(YEAR('Renovation Budget'!$F$17)-YEAR(Assumptions!$F$11))+(MONTH('Renovation Budget'!$F$17)-MONTH(Assumptions!$F$11))),CP$11&lt;=((12*(YEAR('Renovation Budget'!$F$17)-YEAR(Assumptions!$F$11))+(MONTH('Renovation Budget'!$F$17)-MONTH(Assumptions!$F$11)))+'Renovation Budget'!$G$17-1)),-'Renovation Budget'!$C$17/'Renovation Budget'!$G$17,0)</f>
        <v/>
      </c>
      <c r="CQ87" s="228">
        <f>IF(AND(CQ$11&gt;=(12*(YEAR('Renovation Budget'!$F$17)-YEAR(Assumptions!$F$11))+(MONTH('Renovation Budget'!$F$17)-MONTH(Assumptions!$F$11))),CQ$11&lt;=((12*(YEAR('Renovation Budget'!$F$17)-YEAR(Assumptions!$F$11))+(MONTH('Renovation Budget'!$F$17)-MONTH(Assumptions!$F$11)))+'Renovation Budget'!$G$17-1)),-'Renovation Budget'!$C$17/'Renovation Budget'!$G$17,0)</f>
        <v/>
      </c>
      <c r="CR87" s="228">
        <f>IF(AND(CR$11&gt;=(12*(YEAR('Renovation Budget'!$F$17)-YEAR(Assumptions!$F$11))+(MONTH('Renovation Budget'!$F$17)-MONTH(Assumptions!$F$11))),CR$11&lt;=((12*(YEAR('Renovation Budget'!$F$17)-YEAR(Assumptions!$F$11))+(MONTH('Renovation Budget'!$F$17)-MONTH(Assumptions!$F$11)))+'Renovation Budget'!$G$17-1)),-'Renovation Budget'!$C$17/'Renovation Budget'!$G$17,0)</f>
        <v/>
      </c>
      <c r="CS87" s="228">
        <f>IF(AND(CS$11&gt;=(12*(YEAR('Renovation Budget'!$F$17)-YEAR(Assumptions!$F$11))+(MONTH('Renovation Budget'!$F$17)-MONTH(Assumptions!$F$11))),CS$11&lt;=((12*(YEAR('Renovation Budget'!$F$17)-YEAR(Assumptions!$F$11))+(MONTH('Renovation Budget'!$F$17)-MONTH(Assumptions!$F$11)))+'Renovation Budget'!$G$17-1)),-'Renovation Budget'!$C$17/'Renovation Budget'!$G$17,0)</f>
        <v/>
      </c>
      <c r="CT87" s="228">
        <f>IF(AND(CT$11&gt;=(12*(YEAR('Renovation Budget'!$F$17)-YEAR(Assumptions!$F$11))+(MONTH('Renovation Budget'!$F$17)-MONTH(Assumptions!$F$11))),CT$11&lt;=((12*(YEAR('Renovation Budget'!$F$17)-YEAR(Assumptions!$F$11))+(MONTH('Renovation Budget'!$F$17)-MONTH(Assumptions!$F$11)))+'Renovation Budget'!$G$17-1)),-'Renovation Budget'!$C$17/'Renovation Budget'!$G$17,0)</f>
        <v/>
      </c>
      <c r="CU87" s="228">
        <f>IF(AND(CU$11&gt;=(12*(YEAR('Renovation Budget'!$F$17)-YEAR(Assumptions!$F$11))+(MONTH('Renovation Budget'!$F$17)-MONTH(Assumptions!$F$11))),CU$11&lt;=((12*(YEAR('Renovation Budget'!$F$17)-YEAR(Assumptions!$F$11))+(MONTH('Renovation Budget'!$F$17)-MONTH(Assumptions!$F$11)))+'Renovation Budget'!$G$17-1)),-'Renovation Budget'!$C$17/'Renovation Budget'!$G$17,0)</f>
        <v/>
      </c>
      <c r="CV87" s="228">
        <f>IF(AND(CV$11&gt;=(12*(YEAR('Renovation Budget'!$F$17)-YEAR(Assumptions!$F$11))+(MONTH('Renovation Budget'!$F$17)-MONTH(Assumptions!$F$11))),CV$11&lt;=((12*(YEAR('Renovation Budget'!$F$17)-YEAR(Assumptions!$F$11))+(MONTH('Renovation Budget'!$F$17)-MONTH(Assumptions!$F$11)))+'Renovation Budget'!$G$17-1)),-'Renovation Budget'!$C$17/'Renovation Budget'!$G$17,0)</f>
        <v/>
      </c>
      <c r="CW87" s="228">
        <f>IF(AND(CW$11&gt;=(12*(YEAR('Renovation Budget'!$F$17)-YEAR(Assumptions!$F$11))+(MONTH('Renovation Budget'!$F$17)-MONTH(Assumptions!$F$11))),CW$11&lt;=((12*(YEAR('Renovation Budget'!$F$17)-YEAR(Assumptions!$F$11))+(MONTH('Renovation Budget'!$F$17)-MONTH(Assumptions!$F$11)))+'Renovation Budget'!$G$17-1)),-'Renovation Budget'!$C$17/'Renovation Budget'!$G$17,0)</f>
        <v/>
      </c>
      <c r="CX87" s="228">
        <f>IF(AND(CX$11&gt;=(12*(YEAR('Renovation Budget'!$F$17)-YEAR(Assumptions!$F$11))+(MONTH('Renovation Budget'!$F$17)-MONTH(Assumptions!$F$11))),CX$11&lt;=((12*(YEAR('Renovation Budget'!$F$17)-YEAR(Assumptions!$F$11))+(MONTH('Renovation Budget'!$F$17)-MONTH(Assumptions!$F$11)))+'Renovation Budget'!$G$17-1)),-'Renovation Budget'!$C$17/'Renovation Budget'!$G$17,0)</f>
        <v/>
      </c>
      <c r="CY87" s="228">
        <f>IF(AND(CY$11&gt;=(12*(YEAR('Renovation Budget'!$F$17)-YEAR(Assumptions!$F$11))+(MONTH('Renovation Budget'!$F$17)-MONTH(Assumptions!$F$11))),CY$11&lt;=((12*(YEAR('Renovation Budget'!$F$17)-YEAR(Assumptions!$F$11))+(MONTH('Renovation Budget'!$F$17)-MONTH(Assumptions!$F$11)))+'Renovation Budget'!$G$17-1)),-'Renovation Budget'!$C$17/'Renovation Budget'!$G$17,0)</f>
        <v/>
      </c>
      <c r="CZ87" s="228">
        <f>IF(AND(CZ$11&gt;=(12*(YEAR('Renovation Budget'!$F$17)-YEAR(Assumptions!$F$11))+(MONTH('Renovation Budget'!$F$17)-MONTH(Assumptions!$F$11))),CZ$11&lt;=((12*(YEAR('Renovation Budget'!$F$17)-YEAR(Assumptions!$F$11))+(MONTH('Renovation Budget'!$F$17)-MONTH(Assumptions!$F$11)))+'Renovation Budget'!$G$17-1)),-'Renovation Budget'!$C$17/'Renovation Budget'!$G$17,0)</f>
        <v/>
      </c>
      <c r="DA87" s="228">
        <f>IF(AND(DA$11&gt;=(12*(YEAR('Renovation Budget'!$F$17)-YEAR(Assumptions!$F$11))+(MONTH('Renovation Budget'!$F$17)-MONTH(Assumptions!$F$11))),DA$11&lt;=((12*(YEAR('Renovation Budget'!$F$17)-YEAR(Assumptions!$F$11))+(MONTH('Renovation Budget'!$F$17)-MONTH(Assumptions!$F$11)))+'Renovation Budget'!$G$17-1)),-'Renovation Budget'!$C$17/'Renovation Budget'!$G$17,0)</f>
        <v/>
      </c>
      <c r="DB87" s="228">
        <f>IF(AND(DB$11&gt;=(12*(YEAR('Renovation Budget'!$F$17)-YEAR(Assumptions!$F$11))+(MONTH('Renovation Budget'!$F$17)-MONTH(Assumptions!$F$11))),DB$11&lt;=((12*(YEAR('Renovation Budget'!$F$17)-YEAR(Assumptions!$F$11))+(MONTH('Renovation Budget'!$F$17)-MONTH(Assumptions!$F$11)))+'Renovation Budget'!$G$17-1)),-'Renovation Budget'!$C$17/'Renovation Budget'!$G$17,0)</f>
        <v/>
      </c>
      <c r="DC87" s="228">
        <f>IF(AND(DC$11&gt;=(12*(YEAR('Renovation Budget'!$F$17)-YEAR(Assumptions!$F$11))+(MONTH('Renovation Budget'!$F$17)-MONTH(Assumptions!$F$11))),DC$11&lt;=((12*(YEAR('Renovation Budget'!$F$17)-YEAR(Assumptions!$F$11))+(MONTH('Renovation Budget'!$F$17)-MONTH(Assumptions!$F$11)))+'Renovation Budget'!$G$17-1)),-'Renovation Budget'!$C$17/'Renovation Budget'!$G$17,0)</f>
        <v/>
      </c>
      <c r="DD87" s="228">
        <f>IF(AND(DD$11&gt;=(12*(YEAR('Renovation Budget'!$F$17)-YEAR(Assumptions!$F$11))+(MONTH('Renovation Budget'!$F$17)-MONTH(Assumptions!$F$11))),DD$11&lt;=((12*(YEAR('Renovation Budget'!$F$17)-YEAR(Assumptions!$F$11))+(MONTH('Renovation Budget'!$F$17)-MONTH(Assumptions!$F$11)))+'Renovation Budget'!$G$17-1)),-'Renovation Budget'!$C$17/'Renovation Budget'!$G$17,0)</f>
        <v/>
      </c>
      <c r="DE87" s="228">
        <f>IF(AND(DE$11&gt;=(12*(YEAR('Renovation Budget'!$F$17)-YEAR(Assumptions!$F$11))+(MONTH('Renovation Budget'!$F$17)-MONTH(Assumptions!$F$11))),DE$11&lt;=((12*(YEAR('Renovation Budget'!$F$17)-YEAR(Assumptions!$F$11))+(MONTH('Renovation Budget'!$F$17)-MONTH(Assumptions!$F$11)))+'Renovation Budget'!$G$17-1)),-'Renovation Budget'!$C$17/'Renovation Budget'!$G$17,0)</f>
        <v/>
      </c>
      <c r="DF87" s="228">
        <f>IF(AND(DF$11&gt;=(12*(YEAR('Renovation Budget'!$F$17)-YEAR(Assumptions!$F$11))+(MONTH('Renovation Budget'!$F$17)-MONTH(Assumptions!$F$11))),DF$11&lt;=((12*(YEAR('Renovation Budget'!$F$17)-YEAR(Assumptions!$F$11))+(MONTH('Renovation Budget'!$F$17)-MONTH(Assumptions!$F$11)))+'Renovation Budget'!$G$17-1)),-'Renovation Budget'!$C$17/'Renovation Budget'!$G$17,0)</f>
        <v/>
      </c>
      <c r="DG87" s="228">
        <f>IF(AND(DG$11&gt;=(12*(YEAR('Renovation Budget'!$F$17)-YEAR(Assumptions!$F$11))+(MONTH('Renovation Budget'!$F$17)-MONTH(Assumptions!$F$11))),DG$11&lt;=((12*(YEAR('Renovation Budget'!$F$17)-YEAR(Assumptions!$F$11))+(MONTH('Renovation Budget'!$F$17)-MONTH(Assumptions!$F$11)))+'Renovation Budget'!$G$17-1)),-'Renovation Budget'!$C$17/'Renovation Budget'!$G$17,0)</f>
        <v/>
      </c>
      <c r="DH87" s="228">
        <f>IF(AND(DH$11&gt;=(12*(YEAR('Renovation Budget'!$F$17)-YEAR(Assumptions!$F$11))+(MONTH('Renovation Budget'!$F$17)-MONTH(Assumptions!$F$11))),DH$11&lt;=((12*(YEAR('Renovation Budget'!$F$17)-YEAR(Assumptions!$F$11))+(MONTH('Renovation Budget'!$F$17)-MONTH(Assumptions!$F$11)))+'Renovation Budget'!$G$17-1)),-'Renovation Budget'!$C$17/'Renovation Budget'!$G$17,0)</f>
        <v/>
      </c>
      <c r="DI87" s="228">
        <f>IF(AND(DI$11&gt;=(12*(YEAR('Renovation Budget'!$F$17)-YEAR(Assumptions!$F$11))+(MONTH('Renovation Budget'!$F$17)-MONTH(Assumptions!$F$11))),DI$11&lt;=((12*(YEAR('Renovation Budget'!$F$17)-YEAR(Assumptions!$F$11))+(MONTH('Renovation Budget'!$F$17)-MONTH(Assumptions!$F$11)))+'Renovation Budget'!$G$17-1)),-'Renovation Budget'!$C$17/'Renovation Budget'!$G$17,0)</f>
        <v/>
      </c>
      <c r="DJ87" s="228">
        <f>IF(AND(DJ$11&gt;=(12*(YEAR('Renovation Budget'!$F$17)-YEAR(Assumptions!$F$11))+(MONTH('Renovation Budget'!$F$17)-MONTH(Assumptions!$F$11))),DJ$11&lt;=((12*(YEAR('Renovation Budget'!$F$17)-YEAR(Assumptions!$F$11))+(MONTH('Renovation Budget'!$F$17)-MONTH(Assumptions!$F$11)))+'Renovation Budget'!$G$17-1)),-'Renovation Budget'!$C$17/'Renovation Budget'!$G$17,0)</f>
        <v/>
      </c>
      <c r="DK87" s="228">
        <f>IF(AND(DK$11&gt;=(12*(YEAR('Renovation Budget'!$F$17)-YEAR(Assumptions!$F$11))+(MONTH('Renovation Budget'!$F$17)-MONTH(Assumptions!$F$11))),DK$11&lt;=((12*(YEAR('Renovation Budget'!$F$17)-YEAR(Assumptions!$F$11))+(MONTH('Renovation Budget'!$F$17)-MONTH(Assumptions!$F$11)))+'Renovation Budget'!$G$17-1)),-'Renovation Budget'!$C$17/'Renovation Budget'!$G$17,0)</f>
        <v/>
      </c>
      <c r="DL87" s="228">
        <f>IF(AND(DL$11&gt;=(12*(YEAR('Renovation Budget'!$F$17)-YEAR(Assumptions!$F$11))+(MONTH('Renovation Budget'!$F$17)-MONTH(Assumptions!$F$11))),DL$11&lt;=((12*(YEAR('Renovation Budget'!$F$17)-YEAR(Assumptions!$F$11))+(MONTH('Renovation Budget'!$F$17)-MONTH(Assumptions!$F$11)))+'Renovation Budget'!$G$17-1)),-'Renovation Budget'!$C$17/'Renovation Budget'!$G$17,0)</f>
        <v/>
      </c>
      <c r="DM87" s="228">
        <f>IF(AND(DM$11&gt;=(12*(YEAR('Renovation Budget'!$F$17)-YEAR(Assumptions!$F$11))+(MONTH('Renovation Budget'!$F$17)-MONTH(Assumptions!$F$11))),DM$11&lt;=((12*(YEAR('Renovation Budget'!$F$17)-YEAR(Assumptions!$F$11))+(MONTH('Renovation Budget'!$F$17)-MONTH(Assumptions!$F$11)))+'Renovation Budget'!$G$17-1)),-'Renovation Budget'!$C$17/'Renovation Budget'!$G$17,0)</f>
        <v/>
      </c>
      <c r="DN87" s="228">
        <f>IF(AND(DN$11&gt;=(12*(YEAR('Renovation Budget'!$F$17)-YEAR(Assumptions!$F$11))+(MONTH('Renovation Budget'!$F$17)-MONTH(Assumptions!$F$11))),DN$11&lt;=((12*(YEAR('Renovation Budget'!$F$17)-YEAR(Assumptions!$F$11))+(MONTH('Renovation Budget'!$F$17)-MONTH(Assumptions!$F$11)))+'Renovation Budget'!$G$17-1)),-'Renovation Budget'!$C$17/'Renovation Budget'!$G$17,0)</f>
        <v/>
      </c>
      <c r="DO87" s="228">
        <f>IF(AND(DO$11&gt;=(12*(YEAR('Renovation Budget'!$F$17)-YEAR(Assumptions!$F$11))+(MONTH('Renovation Budget'!$F$17)-MONTH(Assumptions!$F$11))),DO$11&lt;=((12*(YEAR('Renovation Budget'!$F$17)-YEAR(Assumptions!$F$11))+(MONTH('Renovation Budget'!$F$17)-MONTH(Assumptions!$F$11)))+'Renovation Budget'!$G$17-1)),-'Renovation Budget'!$C$17/'Renovation Budget'!$G$17,0)</f>
        <v/>
      </c>
      <c r="DP87" s="228">
        <f>IF(AND(DP$11&gt;=(12*(YEAR('Renovation Budget'!$F$17)-YEAR(Assumptions!$F$11))+(MONTH('Renovation Budget'!$F$17)-MONTH(Assumptions!$F$11))),DP$11&lt;=((12*(YEAR('Renovation Budget'!$F$17)-YEAR(Assumptions!$F$11))+(MONTH('Renovation Budget'!$F$17)-MONTH(Assumptions!$F$11)))+'Renovation Budget'!$G$17-1)),-'Renovation Budget'!$C$17/'Renovation Budget'!$G$17,0)</f>
        <v/>
      </c>
      <c r="DQ87" s="228">
        <f>IF(AND(DQ$11&gt;=(12*(YEAR('Renovation Budget'!$F$17)-YEAR(Assumptions!$F$11))+(MONTH('Renovation Budget'!$F$17)-MONTH(Assumptions!$F$11))),DQ$11&lt;=((12*(YEAR('Renovation Budget'!$F$17)-YEAR(Assumptions!$F$11))+(MONTH('Renovation Budget'!$F$17)-MONTH(Assumptions!$F$11)))+'Renovation Budget'!$G$17-1)),-'Renovation Budget'!$C$17/'Renovation Budget'!$G$17,0)</f>
        <v/>
      </c>
      <c r="DR87" s="228">
        <f>IF(AND(DR$11&gt;=(12*(YEAR('Renovation Budget'!$F$17)-YEAR(Assumptions!$F$11))+(MONTH('Renovation Budget'!$F$17)-MONTH(Assumptions!$F$11))),DR$11&lt;=((12*(YEAR('Renovation Budget'!$F$17)-YEAR(Assumptions!$F$11))+(MONTH('Renovation Budget'!$F$17)-MONTH(Assumptions!$F$11)))+'Renovation Budget'!$G$17-1)),-'Renovation Budget'!$C$17/'Renovation Budget'!$G$17,0)</f>
        <v/>
      </c>
      <c r="DS87" s="228">
        <f>IF(AND(DS$11&gt;=(12*(YEAR('Renovation Budget'!$F$17)-YEAR(Assumptions!$F$11))+(MONTH('Renovation Budget'!$F$17)-MONTH(Assumptions!$F$11))),DS$11&lt;=((12*(YEAR('Renovation Budget'!$F$17)-YEAR(Assumptions!$F$11))+(MONTH('Renovation Budget'!$F$17)-MONTH(Assumptions!$F$11)))+'Renovation Budget'!$G$17-1)),-'Renovation Budget'!$C$17/'Renovation Budget'!$G$17,0)</f>
        <v/>
      </c>
      <c r="DT87" s="228">
        <f>IF(AND(DT$11&gt;=(12*(YEAR('Renovation Budget'!$F$17)-YEAR(Assumptions!$F$11))+(MONTH('Renovation Budget'!$F$17)-MONTH(Assumptions!$F$11))),DT$11&lt;=((12*(YEAR('Renovation Budget'!$F$17)-YEAR(Assumptions!$F$11))+(MONTH('Renovation Budget'!$F$17)-MONTH(Assumptions!$F$11)))+'Renovation Budget'!$G$17-1)),-'Renovation Budget'!$C$17/'Renovation Budget'!$G$17,0)</f>
        <v/>
      </c>
    </row>
    <row r="88" ht="15" customHeight="1" s="148">
      <c r="A88" s="112" t="inlineStr">
        <is>
          <t>Special Ties</t>
        </is>
      </c>
      <c r="C88" s="228">
        <f>SUM(D88:DT88)</f>
        <v/>
      </c>
      <c r="D88" s="228">
        <f>IF(AND(D$11&gt;=(12*(YEAR('Renovation Budget'!$F$18)-YEAR(Assumptions!$F$11))+(MONTH('Renovation Budget'!$F$18)-MONTH(Assumptions!$F$11))),D$11&lt;=((12*(YEAR('Renovation Budget'!$F$18)-YEAR(Assumptions!$F$11))+(MONTH('Renovation Budget'!$F$18)-MONTH(Assumptions!$F$11)))+'Renovation Budget'!$G$18-1)),-'Renovation Budget'!$C$18/'Renovation Budget'!$G$18,0)</f>
        <v/>
      </c>
      <c r="E88" s="228">
        <f>IF(AND(E$11&gt;=(12*(YEAR('Renovation Budget'!$F$18)-YEAR(Assumptions!$F$11))+(MONTH('Renovation Budget'!$F$18)-MONTH(Assumptions!$F$11))),E$11&lt;=((12*(YEAR('Renovation Budget'!$F$18)-YEAR(Assumptions!$F$11))+(MONTH('Renovation Budget'!$F$18)-MONTH(Assumptions!$F$11)))+'Renovation Budget'!$G$18-1)),-'Renovation Budget'!$C$18/'Renovation Budget'!$G$18,0)</f>
        <v/>
      </c>
      <c r="F88" s="228">
        <f>IF(AND(F$11&gt;=(12*(YEAR('Renovation Budget'!$F$18)-YEAR(Assumptions!$F$11))+(MONTH('Renovation Budget'!$F$18)-MONTH(Assumptions!$F$11))),F$11&lt;=((12*(YEAR('Renovation Budget'!$F$18)-YEAR(Assumptions!$F$11))+(MONTH('Renovation Budget'!$F$18)-MONTH(Assumptions!$F$11)))+'Renovation Budget'!$G$18-1)),-'Renovation Budget'!$C$18/'Renovation Budget'!$G$18,0)</f>
        <v/>
      </c>
      <c r="G88" s="228">
        <f>IF(AND(G$11&gt;=(12*(YEAR('Renovation Budget'!$F$18)-YEAR(Assumptions!$F$11))+(MONTH('Renovation Budget'!$F$18)-MONTH(Assumptions!$F$11))),G$11&lt;=((12*(YEAR('Renovation Budget'!$F$18)-YEAR(Assumptions!$F$11))+(MONTH('Renovation Budget'!$F$18)-MONTH(Assumptions!$F$11)))+'Renovation Budget'!$G$18-1)),-'Renovation Budget'!$C$18/'Renovation Budget'!$G$18,0)</f>
        <v/>
      </c>
      <c r="H88" s="228">
        <f>IF(AND(H$11&gt;=(12*(YEAR('Renovation Budget'!$F$18)-YEAR(Assumptions!$F$11))+(MONTH('Renovation Budget'!$F$18)-MONTH(Assumptions!$F$11))),H$11&lt;=((12*(YEAR('Renovation Budget'!$F$18)-YEAR(Assumptions!$F$11))+(MONTH('Renovation Budget'!$F$18)-MONTH(Assumptions!$F$11)))+'Renovation Budget'!$G$18-1)),-'Renovation Budget'!$C$18/'Renovation Budget'!$G$18,0)</f>
        <v/>
      </c>
      <c r="I88" s="228">
        <f>IF(AND(I$11&gt;=(12*(YEAR('Renovation Budget'!$F$18)-YEAR(Assumptions!$F$11))+(MONTH('Renovation Budget'!$F$18)-MONTH(Assumptions!$F$11))),I$11&lt;=((12*(YEAR('Renovation Budget'!$F$18)-YEAR(Assumptions!$F$11))+(MONTH('Renovation Budget'!$F$18)-MONTH(Assumptions!$F$11)))+'Renovation Budget'!$G$18-1)),-'Renovation Budget'!$C$18/'Renovation Budget'!$G$18,0)</f>
        <v/>
      </c>
      <c r="J88" s="228">
        <f>IF(AND(J$11&gt;=(12*(YEAR('Renovation Budget'!$F$18)-YEAR(Assumptions!$F$11))+(MONTH('Renovation Budget'!$F$18)-MONTH(Assumptions!$F$11))),J$11&lt;=((12*(YEAR('Renovation Budget'!$F$18)-YEAR(Assumptions!$F$11))+(MONTH('Renovation Budget'!$F$18)-MONTH(Assumptions!$F$11)))+'Renovation Budget'!$G$18-1)),-'Renovation Budget'!$C$18/'Renovation Budget'!$G$18,0)</f>
        <v/>
      </c>
      <c r="K88" s="228">
        <f>IF(AND(K$11&gt;=(12*(YEAR('Renovation Budget'!$F$18)-YEAR(Assumptions!$F$11))+(MONTH('Renovation Budget'!$F$18)-MONTH(Assumptions!$F$11))),K$11&lt;=((12*(YEAR('Renovation Budget'!$F$18)-YEAR(Assumptions!$F$11))+(MONTH('Renovation Budget'!$F$18)-MONTH(Assumptions!$F$11)))+'Renovation Budget'!$G$18-1)),-'Renovation Budget'!$C$18/'Renovation Budget'!$G$18,0)</f>
        <v/>
      </c>
      <c r="L88" s="228">
        <f>IF(AND(L$11&gt;=(12*(YEAR('Renovation Budget'!$F$18)-YEAR(Assumptions!$F$11))+(MONTH('Renovation Budget'!$F$18)-MONTH(Assumptions!$F$11))),L$11&lt;=((12*(YEAR('Renovation Budget'!$F$18)-YEAR(Assumptions!$F$11))+(MONTH('Renovation Budget'!$F$18)-MONTH(Assumptions!$F$11)))+'Renovation Budget'!$G$18-1)),-'Renovation Budget'!$C$18/'Renovation Budget'!$G$18,0)</f>
        <v/>
      </c>
      <c r="M88" s="228">
        <f>IF(AND(M$11&gt;=(12*(YEAR('Renovation Budget'!$F$18)-YEAR(Assumptions!$F$11))+(MONTH('Renovation Budget'!$F$18)-MONTH(Assumptions!$F$11))),M$11&lt;=((12*(YEAR('Renovation Budget'!$F$18)-YEAR(Assumptions!$F$11))+(MONTH('Renovation Budget'!$F$18)-MONTH(Assumptions!$F$11)))+'Renovation Budget'!$G$18-1)),-'Renovation Budget'!$C$18/'Renovation Budget'!$G$18,0)</f>
        <v/>
      </c>
      <c r="N88" s="228">
        <f>IF(AND(N$11&gt;=(12*(YEAR('Renovation Budget'!$F$18)-YEAR(Assumptions!$F$11))+(MONTH('Renovation Budget'!$F$18)-MONTH(Assumptions!$F$11))),N$11&lt;=((12*(YEAR('Renovation Budget'!$F$18)-YEAR(Assumptions!$F$11))+(MONTH('Renovation Budget'!$F$18)-MONTH(Assumptions!$F$11)))+'Renovation Budget'!$G$18-1)),-'Renovation Budget'!$C$18/'Renovation Budget'!$G$18,0)</f>
        <v/>
      </c>
      <c r="O88" s="228">
        <f>IF(AND(O$11&gt;=(12*(YEAR('Renovation Budget'!$F$18)-YEAR(Assumptions!$F$11))+(MONTH('Renovation Budget'!$F$18)-MONTH(Assumptions!$F$11))),O$11&lt;=((12*(YEAR('Renovation Budget'!$F$18)-YEAR(Assumptions!$F$11))+(MONTH('Renovation Budget'!$F$18)-MONTH(Assumptions!$F$11)))+'Renovation Budget'!$G$18-1)),-'Renovation Budget'!$C$18/'Renovation Budget'!$G$18,0)</f>
        <v/>
      </c>
      <c r="P88" s="228">
        <f>IF(AND(P$11&gt;=(12*(YEAR('Renovation Budget'!$F$18)-YEAR(Assumptions!$F$11))+(MONTH('Renovation Budget'!$F$18)-MONTH(Assumptions!$F$11))),P$11&lt;=((12*(YEAR('Renovation Budget'!$F$18)-YEAR(Assumptions!$F$11))+(MONTH('Renovation Budget'!$F$18)-MONTH(Assumptions!$F$11)))+'Renovation Budget'!$G$18-1)),-'Renovation Budget'!$C$18/'Renovation Budget'!$G$18,0)</f>
        <v/>
      </c>
      <c r="Q88" s="228">
        <f>IF(AND(Q$11&gt;=(12*(YEAR('Renovation Budget'!$F$18)-YEAR(Assumptions!$F$11))+(MONTH('Renovation Budget'!$F$18)-MONTH(Assumptions!$F$11))),Q$11&lt;=((12*(YEAR('Renovation Budget'!$F$18)-YEAR(Assumptions!$F$11))+(MONTH('Renovation Budget'!$F$18)-MONTH(Assumptions!$F$11)))+'Renovation Budget'!$G$18-1)),-'Renovation Budget'!$C$18/'Renovation Budget'!$G$18,0)</f>
        <v/>
      </c>
      <c r="R88" s="228">
        <f>IF(AND(R$11&gt;=(12*(YEAR('Renovation Budget'!$F$18)-YEAR(Assumptions!$F$11))+(MONTH('Renovation Budget'!$F$18)-MONTH(Assumptions!$F$11))),R$11&lt;=((12*(YEAR('Renovation Budget'!$F$18)-YEAR(Assumptions!$F$11))+(MONTH('Renovation Budget'!$F$18)-MONTH(Assumptions!$F$11)))+'Renovation Budget'!$G$18-1)),-'Renovation Budget'!$C$18/'Renovation Budget'!$G$18,0)</f>
        <v/>
      </c>
      <c r="S88" s="228">
        <f>IF(AND(S$11&gt;=(12*(YEAR('Renovation Budget'!$F$18)-YEAR(Assumptions!$F$11))+(MONTH('Renovation Budget'!$F$18)-MONTH(Assumptions!$F$11))),S$11&lt;=((12*(YEAR('Renovation Budget'!$F$18)-YEAR(Assumptions!$F$11))+(MONTH('Renovation Budget'!$F$18)-MONTH(Assumptions!$F$11)))+'Renovation Budget'!$G$18-1)),-'Renovation Budget'!$C$18/'Renovation Budget'!$G$18,0)</f>
        <v/>
      </c>
      <c r="T88" s="228">
        <f>IF(AND(T$11&gt;=(12*(YEAR('Renovation Budget'!$F$18)-YEAR(Assumptions!$F$11))+(MONTH('Renovation Budget'!$F$18)-MONTH(Assumptions!$F$11))),T$11&lt;=((12*(YEAR('Renovation Budget'!$F$18)-YEAR(Assumptions!$F$11))+(MONTH('Renovation Budget'!$F$18)-MONTH(Assumptions!$F$11)))+'Renovation Budget'!$G$18-1)),-'Renovation Budget'!$C$18/'Renovation Budget'!$G$18,0)</f>
        <v/>
      </c>
      <c r="U88" s="228">
        <f>IF(AND(U$11&gt;=(12*(YEAR('Renovation Budget'!$F$18)-YEAR(Assumptions!$F$11))+(MONTH('Renovation Budget'!$F$18)-MONTH(Assumptions!$F$11))),U$11&lt;=((12*(YEAR('Renovation Budget'!$F$18)-YEAR(Assumptions!$F$11))+(MONTH('Renovation Budget'!$F$18)-MONTH(Assumptions!$F$11)))+'Renovation Budget'!$G$18-1)),-'Renovation Budget'!$C$18/'Renovation Budget'!$G$18,0)</f>
        <v/>
      </c>
      <c r="V88" s="228">
        <f>IF(AND(V$11&gt;=(12*(YEAR('Renovation Budget'!$F$18)-YEAR(Assumptions!$F$11))+(MONTH('Renovation Budget'!$F$18)-MONTH(Assumptions!$F$11))),V$11&lt;=((12*(YEAR('Renovation Budget'!$F$18)-YEAR(Assumptions!$F$11))+(MONTH('Renovation Budget'!$F$18)-MONTH(Assumptions!$F$11)))+'Renovation Budget'!$G$18-1)),-'Renovation Budget'!$C$18/'Renovation Budget'!$G$18,0)</f>
        <v/>
      </c>
      <c r="W88" s="228">
        <f>IF(AND(W$11&gt;=(12*(YEAR('Renovation Budget'!$F$18)-YEAR(Assumptions!$F$11))+(MONTH('Renovation Budget'!$F$18)-MONTH(Assumptions!$F$11))),W$11&lt;=((12*(YEAR('Renovation Budget'!$F$18)-YEAR(Assumptions!$F$11))+(MONTH('Renovation Budget'!$F$18)-MONTH(Assumptions!$F$11)))+'Renovation Budget'!$G$18-1)),-'Renovation Budget'!$C$18/'Renovation Budget'!$G$18,0)</f>
        <v/>
      </c>
      <c r="X88" s="228">
        <f>IF(AND(X$11&gt;=(12*(YEAR('Renovation Budget'!$F$18)-YEAR(Assumptions!$F$11))+(MONTH('Renovation Budget'!$F$18)-MONTH(Assumptions!$F$11))),X$11&lt;=((12*(YEAR('Renovation Budget'!$F$18)-YEAR(Assumptions!$F$11))+(MONTH('Renovation Budget'!$F$18)-MONTH(Assumptions!$F$11)))+'Renovation Budget'!$G$18-1)),-'Renovation Budget'!$C$18/'Renovation Budget'!$G$18,0)</f>
        <v/>
      </c>
      <c r="Y88" s="228">
        <f>IF(AND(Y$11&gt;=(12*(YEAR('Renovation Budget'!$F$18)-YEAR(Assumptions!$F$11))+(MONTH('Renovation Budget'!$F$18)-MONTH(Assumptions!$F$11))),Y$11&lt;=((12*(YEAR('Renovation Budget'!$F$18)-YEAR(Assumptions!$F$11))+(MONTH('Renovation Budget'!$F$18)-MONTH(Assumptions!$F$11)))+'Renovation Budget'!$G$18-1)),-'Renovation Budget'!$C$18/'Renovation Budget'!$G$18,0)</f>
        <v/>
      </c>
      <c r="Z88" s="228">
        <f>IF(AND(Z$11&gt;=(12*(YEAR('Renovation Budget'!$F$18)-YEAR(Assumptions!$F$11))+(MONTH('Renovation Budget'!$F$18)-MONTH(Assumptions!$F$11))),Z$11&lt;=((12*(YEAR('Renovation Budget'!$F$18)-YEAR(Assumptions!$F$11))+(MONTH('Renovation Budget'!$F$18)-MONTH(Assumptions!$F$11)))+'Renovation Budget'!$G$18-1)),-'Renovation Budget'!$C$18/'Renovation Budget'!$G$18,0)</f>
        <v/>
      </c>
      <c r="AA88" s="228">
        <f>IF(AND(AA$11&gt;=(12*(YEAR('Renovation Budget'!$F$18)-YEAR(Assumptions!$F$11))+(MONTH('Renovation Budget'!$F$18)-MONTH(Assumptions!$F$11))),AA$11&lt;=((12*(YEAR('Renovation Budget'!$F$18)-YEAR(Assumptions!$F$11))+(MONTH('Renovation Budget'!$F$18)-MONTH(Assumptions!$F$11)))+'Renovation Budget'!$G$18-1)),-'Renovation Budget'!$C$18/'Renovation Budget'!$G$18,0)</f>
        <v/>
      </c>
      <c r="AB88" s="228">
        <f>IF(AND(AB$11&gt;=(12*(YEAR('Renovation Budget'!$F$18)-YEAR(Assumptions!$F$11))+(MONTH('Renovation Budget'!$F$18)-MONTH(Assumptions!$F$11))),AB$11&lt;=((12*(YEAR('Renovation Budget'!$F$18)-YEAR(Assumptions!$F$11))+(MONTH('Renovation Budget'!$F$18)-MONTH(Assumptions!$F$11)))+'Renovation Budget'!$G$18-1)),-'Renovation Budget'!$C$18/'Renovation Budget'!$G$18,0)</f>
        <v/>
      </c>
      <c r="AC88" s="228">
        <f>IF(AND(AC$11&gt;=(12*(YEAR('Renovation Budget'!$F$18)-YEAR(Assumptions!$F$11))+(MONTH('Renovation Budget'!$F$18)-MONTH(Assumptions!$F$11))),AC$11&lt;=((12*(YEAR('Renovation Budget'!$F$18)-YEAR(Assumptions!$F$11))+(MONTH('Renovation Budget'!$F$18)-MONTH(Assumptions!$F$11)))+'Renovation Budget'!$G$18-1)),-'Renovation Budget'!$C$18/'Renovation Budget'!$G$18,0)</f>
        <v/>
      </c>
      <c r="AD88" s="228">
        <f>IF(AND(AD$11&gt;=(12*(YEAR('Renovation Budget'!$F$18)-YEAR(Assumptions!$F$11))+(MONTH('Renovation Budget'!$F$18)-MONTH(Assumptions!$F$11))),AD$11&lt;=((12*(YEAR('Renovation Budget'!$F$18)-YEAR(Assumptions!$F$11))+(MONTH('Renovation Budget'!$F$18)-MONTH(Assumptions!$F$11)))+'Renovation Budget'!$G$18-1)),-'Renovation Budget'!$C$18/'Renovation Budget'!$G$18,0)</f>
        <v/>
      </c>
      <c r="AE88" s="228">
        <f>IF(AND(AE$11&gt;=(12*(YEAR('Renovation Budget'!$F$18)-YEAR(Assumptions!$F$11))+(MONTH('Renovation Budget'!$F$18)-MONTH(Assumptions!$F$11))),AE$11&lt;=((12*(YEAR('Renovation Budget'!$F$18)-YEAR(Assumptions!$F$11))+(MONTH('Renovation Budget'!$F$18)-MONTH(Assumptions!$F$11)))+'Renovation Budget'!$G$18-1)),-'Renovation Budget'!$C$18/'Renovation Budget'!$G$18,0)</f>
        <v/>
      </c>
      <c r="AF88" s="228">
        <f>IF(AND(AF$11&gt;=(12*(YEAR('Renovation Budget'!$F$18)-YEAR(Assumptions!$F$11))+(MONTH('Renovation Budget'!$F$18)-MONTH(Assumptions!$F$11))),AF$11&lt;=((12*(YEAR('Renovation Budget'!$F$18)-YEAR(Assumptions!$F$11))+(MONTH('Renovation Budget'!$F$18)-MONTH(Assumptions!$F$11)))+'Renovation Budget'!$G$18-1)),-'Renovation Budget'!$C$18/'Renovation Budget'!$G$18,0)</f>
        <v/>
      </c>
      <c r="AG88" s="228">
        <f>IF(AND(AG$11&gt;=(12*(YEAR('Renovation Budget'!$F$18)-YEAR(Assumptions!$F$11))+(MONTH('Renovation Budget'!$F$18)-MONTH(Assumptions!$F$11))),AG$11&lt;=((12*(YEAR('Renovation Budget'!$F$18)-YEAR(Assumptions!$F$11))+(MONTH('Renovation Budget'!$F$18)-MONTH(Assumptions!$F$11)))+'Renovation Budget'!$G$18-1)),-'Renovation Budget'!$C$18/'Renovation Budget'!$G$18,0)</f>
        <v/>
      </c>
      <c r="AH88" s="228">
        <f>IF(AND(AH$11&gt;=(12*(YEAR('Renovation Budget'!$F$18)-YEAR(Assumptions!$F$11))+(MONTH('Renovation Budget'!$F$18)-MONTH(Assumptions!$F$11))),AH$11&lt;=((12*(YEAR('Renovation Budget'!$F$18)-YEAR(Assumptions!$F$11))+(MONTH('Renovation Budget'!$F$18)-MONTH(Assumptions!$F$11)))+'Renovation Budget'!$G$18-1)),-'Renovation Budget'!$C$18/'Renovation Budget'!$G$18,0)</f>
        <v/>
      </c>
      <c r="AI88" s="228">
        <f>IF(AND(AI$11&gt;=(12*(YEAR('Renovation Budget'!$F$18)-YEAR(Assumptions!$F$11))+(MONTH('Renovation Budget'!$F$18)-MONTH(Assumptions!$F$11))),AI$11&lt;=((12*(YEAR('Renovation Budget'!$F$18)-YEAR(Assumptions!$F$11))+(MONTH('Renovation Budget'!$F$18)-MONTH(Assumptions!$F$11)))+'Renovation Budget'!$G$18-1)),-'Renovation Budget'!$C$18/'Renovation Budget'!$G$18,0)</f>
        <v/>
      </c>
      <c r="AJ88" s="228">
        <f>IF(AND(AJ$11&gt;=(12*(YEAR('Renovation Budget'!$F$18)-YEAR(Assumptions!$F$11))+(MONTH('Renovation Budget'!$F$18)-MONTH(Assumptions!$F$11))),AJ$11&lt;=((12*(YEAR('Renovation Budget'!$F$18)-YEAR(Assumptions!$F$11))+(MONTH('Renovation Budget'!$F$18)-MONTH(Assumptions!$F$11)))+'Renovation Budget'!$G$18-1)),-'Renovation Budget'!$C$18/'Renovation Budget'!$G$18,0)</f>
        <v/>
      </c>
      <c r="AK88" s="228">
        <f>IF(AND(AK$11&gt;=(12*(YEAR('Renovation Budget'!$F$18)-YEAR(Assumptions!$F$11))+(MONTH('Renovation Budget'!$F$18)-MONTH(Assumptions!$F$11))),AK$11&lt;=((12*(YEAR('Renovation Budget'!$F$18)-YEAR(Assumptions!$F$11))+(MONTH('Renovation Budget'!$F$18)-MONTH(Assumptions!$F$11)))+'Renovation Budget'!$G$18-1)),-'Renovation Budget'!$C$18/'Renovation Budget'!$G$18,0)</f>
        <v/>
      </c>
      <c r="AL88" s="228">
        <f>IF(AND(AL$11&gt;=(12*(YEAR('Renovation Budget'!$F$18)-YEAR(Assumptions!$F$11))+(MONTH('Renovation Budget'!$F$18)-MONTH(Assumptions!$F$11))),AL$11&lt;=((12*(YEAR('Renovation Budget'!$F$18)-YEAR(Assumptions!$F$11))+(MONTH('Renovation Budget'!$F$18)-MONTH(Assumptions!$F$11)))+'Renovation Budget'!$G$18-1)),-'Renovation Budget'!$C$18/'Renovation Budget'!$G$18,0)</f>
        <v/>
      </c>
      <c r="AM88" s="228">
        <f>IF(AND(AM$11&gt;=(12*(YEAR('Renovation Budget'!$F$18)-YEAR(Assumptions!$F$11))+(MONTH('Renovation Budget'!$F$18)-MONTH(Assumptions!$F$11))),AM$11&lt;=((12*(YEAR('Renovation Budget'!$F$18)-YEAR(Assumptions!$F$11))+(MONTH('Renovation Budget'!$F$18)-MONTH(Assumptions!$F$11)))+'Renovation Budget'!$G$18-1)),-'Renovation Budget'!$C$18/'Renovation Budget'!$G$18,0)</f>
        <v/>
      </c>
      <c r="AN88" s="228">
        <f>IF(AND(AN$11&gt;=(12*(YEAR('Renovation Budget'!$F$18)-YEAR(Assumptions!$F$11))+(MONTH('Renovation Budget'!$F$18)-MONTH(Assumptions!$F$11))),AN$11&lt;=((12*(YEAR('Renovation Budget'!$F$18)-YEAR(Assumptions!$F$11))+(MONTH('Renovation Budget'!$F$18)-MONTH(Assumptions!$F$11)))+'Renovation Budget'!$G$18-1)),-'Renovation Budget'!$C$18/'Renovation Budget'!$G$18,0)</f>
        <v/>
      </c>
      <c r="AO88" s="228">
        <f>IF(AND(AO$11&gt;=(12*(YEAR('Renovation Budget'!$F$18)-YEAR(Assumptions!$F$11))+(MONTH('Renovation Budget'!$F$18)-MONTH(Assumptions!$F$11))),AO$11&lt;=((12*(YEAR('Renovation Budget'!$F$18)-YEAR(Assumptions!$F$11))+(MONTH('Renovation Budget'!$F$18)-MONTH(Assumptions!$F$11)))+'Renovation Budget'!$G$18-1)),-'Renovation Budget'!$C$18/'Renovation Budget'!$G$18,0)</f>
        <v/>
      </c>
      <c r="AP88" s="228">
        <f>IF(AND(AP$11&gt;=(12*(YEAR('Renovation Budget'!$F$18)-YEAR(Assumptions!$F$11))+(MONTH('Renovation Budget'!$F$18)-MONTH(Assumptions!$F$11))),AP$11&lt;=((12*(YEAR('Renovation Budget'!$F$18)-YEAR(Assumptions!$F$11))+(MONTH('Renovation Budget'!$F$18)-MONTH(Assumptions!$F$11)))+'Renovation Budget'!$G$18-1)),-'Renovation Budget'!$C$18/'Renovation Budget'!$G$18,0)</f>
        <v/>
      </c>
      <c r="AQ88" s="228">
        <f>IF(AND(AQ$11&gt;=(12*(YEAR('Renovation Budget'!$F$18)-YEAR(Assumptions!$F$11))+(MONTH('Renovation Budget'!$F$18)-MONTH(Assumptions!$F$11))),AQ$11&lt;=((12*(YEAR('Renovation Budget'!$F$18)-YEAR(Assumptions!$F$11))+(MONTH('Renovation Budget'!$F$18)-MONTH(Assumptions!$F$11)))+'Renovation Budget'!$G$18-1)),-'Renovation Budget'!$C$18/'Renovation Budget'!$G$18,0)</f>
        <v/>
      </c>
      <c r="AR88" s="228">
        <f>IF(AND(AR$11&gt;=(12*(YEAR('Renovation Budget'!$F$18)-YEAR(Assumptions!$F$11))+(MONTH('Renovation Budget'!$F$18)-MONTH(Assumptions!$F$11))),AR$11&lt;=((12*(YEAR('Renovation Budget'!$F$18)-YEAR(Assumptions!$F$11))+(MONTH('Renovation Budget'!$F$18)-MONTH(Assumptions!$F$11)))+'Renovation Budget'!$G$18-1)),-'Renovation Budget'!$C$18/'Renovation Budget'!$G$18,0)</f>
        <v/>
      </c>
      <c r="AS88" s="228">
        <f>IF(AND(AS$11&gt;=(12*(YEAR('Renovation Budget'!$F$18)-YEAR(Assumptions!$F$11))+(MONTH('Renovation Budget'!$F$18)-MONTH(Assumptions!$F$11))),AS$11&lt;=((12*(YEAR('Renovation Budget'!$F$18)-YEAR(Assumptions!$F$11))+(MONTH('Renovation Budget'!$F$18)-MONTH(Assumptions!$F$11)))+'Renovation Budget'!$G$18-1)),-'Renovation Budget'!$C$18/'Renovation Budget'!$G$18,0)</f>
        <v/>
      </c>
      <c r="AT88" s="228">
        <f>IF(AND(AT$11&gt;=(12*(YEAR('Renovation Budget'!$F$18)-YEAR(Assumptions!$F$11))+(MONTH('Renovation Budget'!$F$18)-MONTH(Assumptions!$F$11))),AT$11&lt;=((12*(YEAR('Renovation Budget'!$F$18)-YEAR(Assumptions!$F$11))+(MONTH('Renovation Budget'!$F$18)-MONTH(Assumptions!$F$11)))+'Renovation Budget'!$G$18-1)),-'Renovation Budget'!$C$18/'Renovation Budget'!$G$18,0)</f>
        <v/>
      </c>
      <c r="AU88" s="228">
        <f>IF(AND(AU$11&gt;=(12*(YEAR('Renovation Budget'!$F$18)-YEAR(Assumptions!$F$11))+(MONTH('Renovation Budget'!$F$18)-MONTH(Assumptions!$F$11))),AU$11&lt;=((12*(YEAR('Renovation Budget'!$F$18)-YEAR(Assumptions!$F$11))+(MONTH('Renovation Budget'!$F$18)-MONTH(Assumptions!$F$11)))+'Renovation Budget'!$G$18-1)),-'Renovation Budget'!$C$18/'Renovation Budget'!$G$18,0)</f>
        <v/>
      </c>
      <c r="AV88" s="228">
        <f>IF(AND(AV$11&gt;=(12*(YEAR('Renovation Budget'!$F$18)-YEAR(Assumptions!$F$11))+(MONTH('Renovation Budget'!$F$18)-MONTH(Assumptions!$F$11))),AV$11&lt;=((12*(YEAR('Renovation Budget'!$F$18)-YEAR(Assumptions!$F$11))+(MONTH('Renovation Budget'!$F$18)-MONTH(Assumptions!$F$11)))+'Renovation Budget'!$G$18-1)),-'Renovation Budget'!$C$18/'Renovation Budget'!$G$18,0)</f>
        <v/>
      </c>
      <c r="AW88" s="228">
        <f>IF(AND(AW$11&gt;=(12*(YEAR('Renovation Budget'!$F$18)-YEAR(Assumptions!$F$11))+(MONTH('Renovation Budget'!$F$18)-MONTH(Assumptions!$F$11))),AW$11&lt;=((12*(YEAR('Renovation Budget'!$F$18)-YEAR(Assumptions!$F$11))+(MONTH('Renovation Budget'!$F$18)-MONTH(Assumptions!$F$11)))+'Renovation Budget'!$G$18-1)),-'Renovation Budget'!$C$18/'Renovation Budget'!$G$18,0)</f>
        <v/>
      </c>
      <c r="AX88" s="228">
        <f>IF(AND(AX$11&gt;=(12*(YEAR('Renovation Budget'!$F$18)-YEAR(Assumptions!$F$11))+(MONTH('Renovation Budget'!$F$18)-MONTH(Assumptions!$F$11))),AX$11&lt;=((12*(YEAR('Renovation Budget'!$F$18)-YEAR(Assumptions!$F$11))+(MONTH('Renovation Budget'!$F$18)-MONTH(Assumptions!$F$11)))+'Renovation Budget'!$G$18-1)),-'Renovation Budget'!$C$18/'Renovation Budget'!$G$18,0)</f>
        <v/>
      </c>
      <c r="AY88" s="228">
        <f>IF(AND(AY$11&gt;=(12*(YEAR('Renovation Budget'!$F$18)-YEAR(Assumptions!$F$11))+(MONTH('Renovation Budget'!$F$18)-MONTH(Assumptions!$F$11))),AY$11&lt;=((12*(YEAR('Renovation Budget'!$F$18)-YEAR(Assumptions!$F$11))+(MONTH('Renovation Budget'!$F$18)-MONTH(Assumptions!$F$11)))+'Renovation Budget'!$G$18-1)),-'Renovation Budget'!$C$18/'Renovation Budget'!$G$18,0)</f>
        <v/>
      </c>
      <c r="AZ88" s="228">
        <f>IF(AND(AZ$11&gt;=(12*(YEAR('Renovation Budget'!$F$18)-YEAR(Assumptions!$F$11))+(MONTH('Renovation Budget'!$F$18)-MONTH(Assumptions!$F$11))),AZ$11&lt;=((12*(YEAR('Renovation Budget'!$F$18)-YEAR(Assumptions!$F$11))+(MONTH('Renovation Budget'!$F$18)-MONTH(Assumptions!$F$11)))+'Renovation Budget'!$G$18-1)),-'Renovation Budget'!$C$18/'Renovation Budget'!$G$18,0)</f>
        <v/>
      </c>
      <c r="BA88" s="228">
        <f>IF(AND(BA$11&gt;=(12*(YEAR('Renovation Budget'!$F$18)-YEAR(Assumptions!$F$11))+(MONTH('Renovation Budget'!$F$18)-MONTH(Assumptions!$F$11))),BA$11&lt;=((12*(YEAR('Renovation Budget'!$F$18)-YEAR(Assumptions!$F$11))+(MONTH('Renovation Budget'!$F$18)-MONTH(Assumptions!$F$11)))+'Renovation Budget'!$G$18-1)),-'Renovation Budget'!$C$18/'Renovation Budget'!$G$18,0)</f>
        <v/>
      </c>
      <c r="BB88" s="228">
        <f>IF(AND(BB$11&gt;=(12*(YEAR('Renovation Budget'!$F$18)-YEAR(Assumptions!$F$11))+(MONTH('Renovation Budget'!$F$18)-MONTH(Assumptions!$F$11))),BB$11&lt;=((12*(YEAR('Renovation Budget'!$F$18)-YEAR(Assumptions!$F$11))+(MONTH('Renovation Budget'!$F$18)-MONTH(Assumptions!$F$11)))+'Renovation Budget'!$G$18-1)),-'Renovation Budget'!$C$18/'Renovation Budget'!$G$18,0)</f>
        <v/>
      </c>
      <c r="BC88" s="228">
        <f>IF(AND(BC$11&gt;=(12*(YEAR('Renovation Budget'!$F$18)-YEAR(Assumptions!$F$11))+(MONTH('Renovation Budget'!$F$18)-MONTH(Assumptions!$F$11))),BC$11&lt;=((12*(YEAR('Renovation Budget'!$F$18)-YEAR(Assumptions!$F$11))+(MONTH('Renovation Budget'!$F$18)-MONTH(Assumptions!$F$11)))+'Renovation Budget'!$G$18-1)),-'Renovation Budget'!$C$18/'Renovation Budget'!$G$18,0)</f>
        <v/>
      </c>
      <c r="BD88" s="228">
        <f>IF(AND(BD$11&gt;=(12*(YEAR('Renovation Budget'!$F$18)-YEAR(Assumptions!$F$11))+(MONTH('Renovation Budget'!$F$18)-MONTH(Assumptions!$F$11))),BD$11&lt;=((12*(YEAR('Renovation Budget'!$F$18)-YEAR(Assumptions!$F$11))+(MONTH('Renovation Budget'!$F$18)-MONTH(Assumptions!$F$11)))+'Renovation Budget'!$G$18-1)),-'Renovation Budget'!$C$18/'Renovation Budget'!$G$18,0)</f>
        <v/>
      </c>
      <c r="BE88" s="228">
        <f>IF(AND(BE$11&gt;=(12*(YEAR('Renovation Budget'!$F$18)-YEAR(Assumptions!$F$11))+(MONTH('Renovation Budget'!$F$18)-MONTH(Assumptions!$F$11))),BE$11&lt;=((12*(YEAR('Renovation Budget'!$F$18)-YEAR(Assumptions!$F$11))+(MONTH('Renovation Budget'!$F$18)-MONTH(Assumptions!$F$11)))+'Renovation Budget'!$G$18-1)),-'Renovation Budget'!$C$18/'Renovation Budget'!$G$18,0)</f>
        <v/>
      </c>
      <c r="BF88" s="228">
        <f>IF(AND(BF$11&gt;=(12*(YEAR('Renovation Budget'!$F$18)-YEAR(Assumptions!$F$11))+(MONTH('Renovation Budget'!$F$18)-MONTH(Assumptions!$F$11))),BF$11&lt;=((12*(YEAR('Renovation Budget'!$F$18)-YEAR(Assumptions!$F$11))+(MONTH('Renovation Budget'!$F$18)-MONTH(Assumptions!$F$11)))+'Renovation Budget'!$G$18-1)),-'Renovation Budget'!$C$18/'Renovation Budget'!$G$18,0)</f>
        <v/>
      </c>
      <c r="BG88" s="228">
        <f>IF(AND(BG$11&gt;=(12*(YEAR('Renovation Budget'!$F$18)-YEAR(Assumptions!$F$11))+(MONTH('Renovation Budget'!$F$18)-MONTH(Assumptions!$F$11))),BG$11&lt;=((12*(YEAR('Renovation Budget'!$F$18)-YEAR(Assumptions!$F$11))+(MONTH('Renovation Budget'!$F$18)-MONTH(Assumptions!$F$11)))+'Renovation Budget'!$G$18-1)),-'Renovation Budget'!$C$18/'Renovation Budget'!$G$18,0)</f>
        <v/>
      </c>
      <c r="BH88" s="228">
        <f>IF(AND(BH$11&gt;=(12*(YEAR('Renovation Budget'!$F$18)-YEAR(Assumptions!$F$11))+(MONTH('Renovation Budget'!$F$18)-MONTH(Assumptions!$F$11))),BH$11&lt;=((12*(YEAR('Renovation Budget'!$F$18)-YEAR(Assumptions!$F$11))+(MONTH('Renovation Budget'!$F$18)-MONTH(Assumptions!$F$11)))+'Renovation Budget'!$G$18-1)),-'Renovation Budget'!$C$18/'Renovation Budget'!$G$18,0)</f>
        <v/>
      </c>
      <c r="BI88" s="228">
        <f>IF(AND(BI$11&gt;=(12*(YEAR('Renovation Budget'!$F$18)-YEAR(Assumptions!$F$11))+(MONTH('Renovation Budget'!$F$18)-MONTH(Assumptions!$F$11))),BI$11&lt;=((12*(YEAR('Renovation Budget'!$F$18)-YEAR(Assumptions!$F$11))+(MONTH('Renovation Budget'!$F$18)-MONTH(Assumptions!$F$11)))+'Renovation Budget'!$G$18-1)),-'Renovation Budget'!$C$18/'Renovation Budget'!$G$18,0)</f>
        <v/>
      </c>
      <c r="BJ88" s="228">
        <f>IF(AND(BJ$11&gt;=(12*(YEAR('Renovation Budget'!$F$18)-YEAR(Assumptions!$F$11))+(MONTH('Renovation Budget'!$F$18)-MONTH(Assumptions!$F$11))),BJ$11&lt;=((12*(YEAR('Renovation Budget'!$F$18)-YEAR(Assumptions!$F$11))+(MONTH('Renovation Budget'!$F$18)-MONTH(Assumptions!$F$11)))+'Renovation Budget'!$G$18-1)),-'Renovation Budget'!$C$18/'Renovation Budget'!$G$18,0)</f>
        <v/>
      </c>
      <c r="BK88" s="228">
        <f>IF(AND(BK$11&gt;=(12*(YEAR('Renovation Budget'!$F$18)-YEAR(Assumptions!$F$11))+(MONTH('Renovation Budget'!$F$18)-MONTH(Assumptions!$F$11))),BK$11&lt;=((12*(YEAR('Renovation Budget'!$F$18)-YEAR(Assumptions!$F$11))+(MONTH('Renovation Budget'!$F$18)-MONTH(Assumptions!$F$11)))+'Renovation Budget'!$G$18-1)),-'Renovation Budget'!$C$18/'Renovation Budget'!$G$18,0)</f>
        <v/>
      </c>
      <c r="BL88" s="228">
        <f>IF(AND(BL$11&gt;=(12*(YEAR('Renovation Budget'!$F$18)-YEAR(Assumptions!$F$11))+(MONTH('Renovation Budget'!$F$18)-MONTH(Assumptions!$F$11))),BL$11&lt;=((12*(YEAR('Renovation Budget'!$F$18)-YEAR(Assumptions!$F$11))+(MONTH('Renovation Budget'!$F$18)-MONTH(Assumptions!$F$11)))+'Renovation Budget'!$G$18-1)),-'Renovation Budget'!$C$18/'Renovation Budget'!$G$18,0)</f>
        <v/>
      </c>
      <c r="BM88" s="228">
        <f>IF(AND(BM$11&gt;=(12*(YEAR('Renovation Budget'!$F$18)-YEAR(Assumptions!$F$11))+(MONTH('Renovation Budget'!$F$18)-MONTH(Assumptions!$F$11))),BM$11&lt;=((12*(YEAR('Renovation Budget'!$F$18)-YEAR(Assumptions!$F$11))+(MONTH('Renovation Budget'!$F$18)-MONTH(Assumptions!$F$11)))+'Renovation Budget'!$G$18-1)),-'Renovation Budget'!$C$18/'Renovation Budget'!$G$18,0)</f>
        <v/>
      </c>
      <c r="BN88" s="228">
        <f>IF(AND(BN$11&gt;=(12*(YEAR('Renovation Budget'!$F$18)-YEAR(Assumptions!$F$11))+(MONTH('Renovation Budget'!$F$18)-MONTH(Assumptions!$F$11))),BN$11&lt;=((12*(YEAR('Renovation Budget'!$F$18)-YEAR(Assumptions!$F$11))+(MONTH('Renovation Budget'!$F$18)-MONTH(Assumptions!$F$11)))+'Renovation Budget'!$G$18-1)),-'Renovation Budget'!$C$18/'Renovation Budget'!$G$18,0)</f>
        <v/>
      </c>
      <c r="BO88" s="228">
        <f>IF(AND(BO$11&gt;=(12*(YEAR('Renovation Budget'!$F$18)-YEAR(Assumptions!$F$11))+(MONTH('Renovation Budget'!$F$18)-MONTH(Assumptions!$F$11))),BO$11&lt;=((12*(YEAR('Renovation Budget'!$F$18)-YEAR(Assumptions!$F$11))+(MONTH('Renovation Budget'!$F$18)-MONTH(Assumptions!$F$11)))+'Renovation Budget'!$G$18-1)),-'Renovation Budget'!$C$18/'Renovation Budget'!$G$18,0)</f>
        <v/>
      </c>
      <c r="BP88" s="228">
        <f>IF(AND(BP$11&gt;=(12*(YEAR('Renovation Budget'!$F$18)-YEAR(Assumptions!$F$11))+(MONTH('Renovation Budget'!$F$18)-MONTH(Assumptions!$F$11))),BP$11&lt;=((12*(YEAR('Renovation Budget'!$F$18)-YEAR(Assumptions!$F$11))+(MONTH('Renovation Budget'!$F$18)-MONTH(Assumptions!$F$11)))+'Renovation Budget'!$G$18-1)),-'Renovation Budget'!$C$18/'Renovation Budget'!$G$18,0)</f>
        <v/>
      </c>
      <c r="BQ88" s="228">
        <f>IF(AND(BQ$11&gt;=(12*(YEAR('Renovation Budget'!$F$18)-YEAR(Assumptions!$F$11))+(MONTH('Renovation Budget'!$F$18)-MONTH(Assumptions!$F$11))),BQ$11&lt;=((12*(YEAR('Renovation Budget'!$F$18)-YEAR(Assumptions!$F$11))+(MONTH('Renovation Budget'!$F$18)-MONTH(Assumptions!$F$11)))+'Renovation Budget'!$G$18-1)),-'Renovation Budget'!$C$18/'Renovation Budget'!$G$18,0)</f>
        <v/>
      </c>
      <c r="BR88" s="228">
        <f>IF(AND(BR$11&gt;=(12*(YEAR('Renovation Budget'!$F$18)-YEAR(Assumptions!$F$11))+(MONTH('Renovation Budget'!$F$18)-MONTH(Assumptions!$F$11))),BR$11&lt;=((12*(YEAR('Renovation Budget'!$F$18)-YEAR(Assumptions!$F$11))+(MONTH('Renovation Budget'!$F$18)-MONTH(Assumptions!$F$11)))+'Renovation Budget'!$G$18-1)),-'Renovation Budget'!$C$18/'Renovation Budget'!$G$18,0)</f>
        <v/>
      </c>
      <c r="BS88" s="228">
        <f>IF(AND(BS$11&gt;=(12*(YEAR('Renovation Budget'!$F$18)-YEAR(Assumptions!$F$11))+(MONTH('Renovation Budget'!$F$18)-MONTH(Assumptions!$F$11))),BS$11&lt;=((12*(YEAR('Renovation Budget'!$F$18)-YEAR(Assumptions!$F$11))+(MONTH('Renovation Budget'!$F$18)-MONTH(Assumptions!$F$11)))+'Renovation Budget'!$G$18-1)),-'Renovation Budget'!$C$18/'Renovation Budget'!$G$18,0)</f>
        <v/>
      </c>
      <c r="BT88" s="228">
        <f>IF(AND(BT$11&gt;=(12*(YEAR('Renovation Budget'!$F$18)-YEAR(Assumptions!$F$11))+(MONTH('Renovation Budget'!$F$18)-MONTH(Assumptions!$F$11))),BT$11&lt;=((12*(YEAR('Renovation Budget'!$F$18)-YEAR(Assumptions!$F$11))+(MONTH('Renovation Budget'!$F$18)-MONTH(Assumptions!$F$11)))+'Renovation Budget'!$G$18-1)),-'Renovation Budget'!$C$18/'Renovation Budget'!$G$18,0)</f>
        <v/>
      </c>
      <c r="BU88" s="228">
        <f>IF(AND(BU$11&gt;=(12*(YEAR('Renovation Budget'!$F$18)-YEAR(Assumptions!$F$11))+(MONTH('Renovation Budget'!$F$18)-MONTH(Assumptions!$F$11))),BU$11&lt;=((12*(YEAR('Renovation Budget'!$F$18)-YEAR(Assumptions!$F$11))+(MONTH('Renovation Budget'!$F$18)-MONTH(Assumptions!$F$11)))+'Renovation Budget'!$G$18-1)),-'Renovation Budget'!$C$18/'Renovation Budget'!$G$18,0)</f>
        <v/>
      </c>
      <c r="BV88" s="228">
        <f>IF(AND(BV$11&gt;=(12*(YEAR('Renovation Budget'!$F$18)-YEAR(Assumptions!$F$11))+(MONTH('Renovation Budget'!$F$18)-MONTH(Assumptions!$F$11))),BV$11&lt;=((12*(YEAR('Renovation Budget'!$F$18)-YEAR(Assumptions!$F$11))+(MONTH('Renovation Budget'!$F$18)-MONTH(Assumptions!$F$11)))+'Renovation Budget'!$G$18-1)),-'Renovation Budget'!$C$18/'Renovation Budget'!$G$18,0)</f>
        <v/>
      </c>
      <c r="BW88" s="228">
        <f>IF(AND(BW$11&gt;=(12*(YEAR('Renovation Budget'!$F$18)-YEAR(Assumptions!$F$11))+(MONTH('Renovation Budget'!$F$18)-MONTH(Assumptions!$F$11))),BW$11&lt;=((12*(YEAR('Renovation Budget'!$F$18)-YEAR(Assumptions!$F$11))+(MONTH('Renovation Budget'!$F$18)-MONTH(Assumptions!$F$11)))+'Renovation Budget'!$G$18-1)),-'Renovation Budget'!$C$18/'Renovation Budget'!$G$18,0)</f>
        <v/>
      </c>
      <c r="BX88" s="228">
        <f>IF(AND(BX$11&gt;=(12*(YEAR('Renovation Budget'!$F$18)-YEAR(Assumptions!$F$11))+(MONTH('Renovation Budget'!$F$18)-MONTH(Assumptions!$F$11))),BX$11&lt;=((12*(YEAR('Renovation Budget'!$F$18)-YEAR(Assumptions!$F$11))+(MONTH('Renovation Budget'!$F$18)-MONTH(Assumptions!$F$11)))+'Renovation Budget'!$G$18-1)),-'Renovation Budget'!$C$18/'Renovation Budget'!$G$18,0)</f>
        <v/>
      </c>
      <c r="BY88" s="228">
        <f>IF(AND(BY$11&gt;=(12*(YEAR('Renovation Budget'!$F$18)-YEAR(Assumptions!$F$11))+(MONTH('Renovation Budget'!$F$18)-MONTH(Assumptions!$F$11))),BY$11&lt;=((12*(YEAR('Renovation Budget'!$F$18)-YEAR(Assumptions!$F$11))+(MONTH('Renovation Budget'!$F$18)-MONTH(Assumptions!$F$11)))+'Renovation Budget'!$G$18-1)),-'Renovation Budget'!$C$18/'Renovation Budget'!$G$18,0)</f>
        <v/>
      </c>
      <c r="BZ88" s="228">
        <f>IF(AND(BZ$11&gt;=(12*(YEAR('Renovation Budget'!$F$18)-YEAR(Assumptions!$F$11))+(MONTH('Renovation Budget'!$F$18)-MONTH(Assumptions!$F$11))),BZ$11&lt;=((12*(YEAR('Renovation Budget'!$F$18)-YEAR(Assumptions!$F$11))+(MONTH('Renovation Budget'!$F$18)-MONTH(Assumptions!$F$11)))+'Renovation Budget'!$G$18-1)),-'Renovation Budget'!$C$18/'Renovation Budget'!$G$18,0)</f>
        <v/>
      </c>
      <c r="CA88" s="228">
        <f>IF(AND(CA$11&gt;=(12*(YEAR('Renovation Budget'!$F$18)-YEAR(Assumptions!$F$11))+(MONTH('Renovation Budget'!$F$18)-MONTH(Assumptions!$F$11))),CA$11&lt;=((12*(YEAR('Renovation Budget'!$F$18)-YEAR(Assumptions!$F$11))+(MONTH('Renovation Budget'!$F$18)-MONTH(Assumptions!$F$11)))+'Renovation Budget'!$G$18-1)),-'Renovation Budget'!$C$18/'Renovation Budget'!$G$18,0)</f>
        <v/>
      </c>
      <c r="CB88" s="228">
        <f>IF(AND(CB$11&gt;=(12*(YEAR('Renovation Budget'!$F$18)-YEAR(Assumptions!$F$11))+(MONTH('Renovation Budget'!$F$18)-MONTH(Assumptions!$F$11))),CB$11&lt;=((12*(YEAR('Renovation Budget'!$F$18)-YEAR(Assumptions!$F$11))+(MONTH('Renovation Budget'!$F$18)-MONTH(Assumptions!$F$11)))+'Renovation Budget'!$G$18-1)),-'Renovation Budget'!$C$18/'Renovation Budget'!$G$18,0)</f>
        <v/>
      </c>
      <c r="CC88" s="228">
        <f>IF(AND(CC$11&gt;=(12*(YEAR('Renovation Budget'!$F$18)-YEAR(Assumptions!$F$11))+(MONTH('Renovation Budget'!$F$18)-MONTH(Assumptions!$F$11))),CC$11&lt;=((12*(YEAR('Renovation Budget'!$F$18)-YEAR(Assumptions!$F$11))+(MONTH('Renovation Budget'!$F$18)-MONTH(Assumptions!$F$11)))+'Renovation Budget'!$G$18-1)),-'Renovation Budget'!$C$18/'Renovation Budget'!$G$18,0)</f>
        <v/>
      </c>
      <c r="CD88" s="228">
        <f>IF(AND(CD$11&gt;=(12*(YEAR('Renovation Budget'!$F$18)-YEAR(Assumptions!$F$11))+(MONTH('Renovation Budget'!$F$18)-MONTH(Assumptions!$F$11))),CD$11&lt;=((12*(YEAR('Renovation Budget'!$F$18)-YEAR(Assumptions!$F$11))+(MONTH('Renovation Budget'!$F$18)-MONTH(Assumptions!$F$11)))+'Renovation Budget'!$G$18-1)),-'Renovation Budget'!$C$18/'Renovation Budget'!$G$18,0)</f>
        <v/>
      </c>
      <c r="CE88" s="228">
        <f>IF(AND(CE$11&gt;=(12*(YEAR('Renovation Budget'!$F$18)-YEAR(Assumptions!$F$11))+(MONTH('Renovation Budget'!$F$18)-MONTH(Assumptions!$F$11))),CE$11&lt;=((12*(YEAR('Renovation Budget'!$F$18)-YEAR(Assumptions!$F$11))+(MONTH('Renovation Budget'!$F$18)-MONTH(Assumptions!$F$11)))+'Renovation Budget'!$G$18-1)),-'Renovation Budget'!$C$18/'Renovation Budget'!$G$18,0)</f>
        <v/>
      </c>
      <c r="CF88" s="228">
        <f>IF(AND(CF$11&gt;=(12*(YEAR('Renovation Budget'!$F$18)-YEAR(Assumptions!$F$11))+(MONTH('Renovation Budget'!$F$18)-MONTH(Assumptions!$F$11))),CF$11&lt;=((12*(YEAR('Renovation Budget'!$F$18)-YEAR(Assumptions!$F$11))+(MONTH('Renovation Budget'!$F$18)-MONTH(Assumptions!$F$11)))+'Renovation Budget'!$G$18-1)),-'Renovation Budget'!$C$18/'Renovation Budget'!$G$18,0)</f>
        <v/>
      </c>
      <c r="CG88" s="228">
        <f>IF(AND(CG$11&gt;=(12*(YEAR('Renovation Budget'!$F$18)-YEAR(Assumptions!$F$11))+(MONTH('Renovation Budget'!$F$18)-MONTH(Assumptions!$F$11))),CG$11&lt;=((12*(YEAR('Renovation Budget'!$F$18)-YEAR(Assumptions!$F$11))+(MONTH('Renovation Budget'!$F$18)-MONTH(Assumptions!$F$11)))+'Renovation Budget'!$G$18-1)),-'Renovation Budget'!$C$18/'Renovation Budget'!$G$18,0)</f>
        <v/>
      </c>
      <c r="CH88" s="228">
        <f>IF(AND(CH$11&gt;=(12*(YEAR('Renovation Budget'!$F$18)-YEAR(Assumptions!$F$11))+(MONTH('Renovation Budget'!$F$18)-MONTH(Assumptions!$F$11))),CH$11&lt;=((12*(YEAR('Renovation Budget'!$F$18)-YEAR(Assumptions!$F$11))+(MONTH('Renovation Budget'!$F$18)-MONTH(Assumptions!$F$11)))+'Renovation Budget'!$G$18-1)),-'Renovation Budget'!$C$18/'Renovation Budget'!$G$18,0)</f>
        <v/>
      </c>
      <c r="CI88" s="228">
        <f>IF(AND(CI$11&gt;=(12*(YEAR('Renovation Budget'!$F$18)-YEAR(Assumptions!$F$11))+(MONTH('Renovation Budget'!$F$18)-MONTH(Assumptions!$F$11))),CI$11&lt;=((12*(YEAR('Renovation Budget'!$F$18)-YEAR(Assumptions!$F$11))+(MONTH('Renovation Budget'!$F$18)-MONTH(Assumptions!$F$11)))+'Renovation Budget'!$G$18-1)),-'Renovation Budget'!$C$18/'Renovation Budget'!$G$18,0)</f>
        <v/>
      </c>
      <c r="CJ88" s="228">
        <f>IF(AND(CJ$11&gt;=(12*(YEAR('Renovation Budget'!$F$18)-YEAR(Assumptions!$F$11))+(MONTH('Renovation Budget'!$F$18)-MONTH(Assumptions!$F$11))),CJ$11&lt;=((12*(YEAR('Renovation Budget'!$F$18)-YEAR(Assumptions!$F$11))+(MONTH('Renovation Budget'!$F$18)-MONTH(Assumptions!$F$11)))+'Renovation Budget'!$G$18-1)),-'Renovation Budget'!$C$18/'Renovation Budget'!$G$18,0)</f>
        <v/>
      </c>
      <c r="CK88" s="228">
        <f>IF(AND(CK$11&gt;=(12*(YEAR('Renovation Budget'!$F$18)-YEAR(Assumptions!$F$11))+(MONTH('Renovation Budget'!$F$18)-MONTH(Assumptions!$F$11))),CK$11&lt;=((12*(YEAR('Renovation Budget'!$F$18)-YEAR(Assumptions!$F$11))+(MONTH('Renovation Budget'!$F$18)-MONTH(Assumptions!$F$11)))+'Renovation Budget'!$G$18-1)),-'Renovation Budget'!$C$18/'Renovation Budget'!$G$18,0)</f>
        <v/>
      </c>
      <c r="CL88" s="228">
        <f>IF(AND(CL$11&gt;=(12*(YEAR('Renovation Budget'!$F$18)-YEAR(Assumptions!$F$11))+(MONTH('Renovation Budget'!$F$18)-MONTH(Assumptions!$F$11))),CL$11&lt;=((12*(YEAR('Renovation Budget'!$F$18)-YEAR(Assumptions!$F$11))+(MONTH('Renovation Budget'!$F$18)-MONTH(Assumptions!$F$11)))+'Renovation Budget'!$G$18-1)),-'Renovation Budget'!$C$18/'Renovation Budget'!$G$18,0)</f>
        <v/>
      </c>
      <c r="CM88" s="228">
        <f>IF(AND(CM$11&gt;=(12*(YEAR('Renovation Budget'!$F$18)-YEAR(Assumptions!$F$11))+(MONTH('Renovation Budget'!$F$18)-MONTH(Assumptions!$F$11))),CM$11&lt;=((12*(YEAR('Renovation Budget'!$F$18)-YEAR(Assumptions!$F$11))+(MONTH('Renovation Budget'!$F$18)-MONTH(Assumptions!$F$11)))+'Renovation Budget'!$G$18-1)),-'Renovation Budget'!$C$18/'Renovation Budget'!$G$18,0)</f>
        <v/>
      </c>
      <c r="CN88" s="228">
        <f>IF(AND(CN$11&gt;=(12*(YEAR('Renovation Budget'!$F$18)-YEAR(Assumptions!$F$11))+(MONTH('Renovation Budget'!$F$18)-MONTH(Assumptions!$F$11))),CN$11&lt;=((12*(YEAR('Renovation Budget'!$F$18)-YEAR(Assumptions!$F$11))+(MONTH('Renovation Budget'!$F$18)-MONTH(Assumptions!$F$11)))+'Renovation Budget'!$G$18-1)),-'Renovation Budget'!$C$18/'Renovation Budget'!$G$18,0)</f>
        <v/>
      </c>
      <c r="CO88" s="228">
        <f>IF(AND(CO$11&gt;=(12*(YEAR('Renovation Budget'!$F$18)-YEAR(Assumptions!$F$11))+(MONTH('Renovation Budget'!$F$18)-MONTH(Assumptions!$F$11))),CO$11&lt;=((12*(YEAR('Renovation Budget'!$F$18)-YEAR(Assumptions!$F$11))+(MONTH('Renovation Budget'!$F$18)-MONTH(Assumptions!$F$11)))+'Renovation Budget'!$G$18-1)),-'Renovation Budget'!$C$18/'Renovation Budget'!$G$18,0)</f>
        <v/>
      </c>
      <c r="CP88" s="228">
        <f>IF(AND(CP$11&gt;=(12*(YEAR('Renovation Budget'!$F$18)-YEAR(Assumptions!$F$11))+(MONTH('Renovation Budget'!$F$18)-MONTH(Assumptions!$F$11))),CP$11&lt;=((12*(YEAR('Renovation Budget'!$F$18)-YEAR(Assumptions!$F$11))+(MONTH('Renovation Budget'!$F$18)-MONTH(Assumptions!$F$11)))+'Renovation Budget'!$G$18-1)),-'Renovation Budget'!$C$18/'Renovation Budget'!$G$18,0)</f>
        <v/>
      </c>
      <c r="CQ88" s="228">
        <f>IF(AND(CQ$11&gt;=(12*(YEAR('Renovation Budget'!$F$18)-YEAR(Assumptions!$F$11))+(MONTH('Renovation Budget'!$F$18)-MONTH(Assumptions!$F$11))),CQ$11&lt;=((12*(YEAR('Renovation Budget'!$F$18)-YEAR(Assumptions!$F$11))+(MONTH('Renovation Budget'!$F$18)-MONTH(Assumptions!$F$11)))+'Renovation Budget'!$G$18-1)),-'Renovation Budget'!$C$18/'Renovation Budget'!$G$18,0)</f>
        <v/>
      </c>
      <c r="CR88" s="228">
        <f>IF(AND(CR$11&gt;=(12*(YEAR('Renovation Budget'!$F$18)-YEAR(Assumptions!$F$11))+(MONTH('Renovation Budget'!$F$18)-MONTH(Assumptions!$F$11))),CR$11&lt;=((12*(YEAR('Renovation Budget'!$F$18)-YEAR(Assumptions!$F$11))+(MONTH('Renovation Budget'!$F$18)-MONTH(Assumptions!$F$11)))+'Renovation Budget'!$G$18-1)),-'Renovation Budget'!$C$18/'Renovation Budget'!$G$18,0)</f>
        <v/>
      </c>
      <c r="CS88" s="228">
        <f>IF(AND(CS$11&gt;=(12*(YEAR('Renovation Budget'!$F$18)-YEAR(Assumptions!$F$11))+(MONTH('Renovation Budget'!$F$18)-MONTH(Assumptions!$F$11))),CS$11&lt;=((12*(YEAR('Renovation Budget'!$F$18)-YEAR(Assumptions!$F$11))+(MONTH('Renovation Budget'!$F$18)-MONTH(Assumptions!$F$11)))+'Renovation Budget'!$G$18-1)),-'Renovation Budget'!$C$18/'Renovation Budget'!$G$18,0)</f>
        <v/>
      </c>
      <c r="CT88" s="228">
        <f>IF(AND(CT$11&gt;=(12*(YEAR('Renovation Budget'!$F$18)-YEAR(Assumptions!$F$11))+(MONTH('Renovation Budget'!$F$18)-MONTH(Assumptions!$F$11))),CT$11&lt;=((12*(YEAR('Renovation Budget'!$F$18)-YEAR(Assumptions!$F$11))+(MONTH('Renovation Budget'!$F$18)-MONTH(Assumptions!$F$11)))+'Renovation Budget'!$G$18-1)),-'Renovation Budget'!$C$18/'Renovation Budget'!$G$18,0)</f>
        <v/>
      </c>
      <c r="CU88" s="228">
        <f>IF(AND(CU$11&gt;=(12*(YEAR('Renovation Budget'!$F$18)-YEAR(Assumptions!$F$11))+(MONTH('Renovation Budget'!$F$18)-MONTH(Assumptions!$F$11))),CU$11&lt;=((12*(YEAR('Renovation Budget'!$F$18)-YEAR(Assumptions!$F$11))+(MONTH('Renovation Budget'!$F$18)-MONTH(Assumptions!$F$11)))+'Renovation Budget'!$G$18-1)),-'Renovation Budget'!$C$18/'Renovation Budget'!$G$18,0)</f>
        <v/>
      </c>
      <c r="CV88" s="228">
        <f>IF(AND(CV$11&gt;=(12*(YEAR('Renovation Budget'!$F$18)-YEAR(Assumptions!$F$11))+(MONTH('Renovation Budget'!$F$18)-MONTH(Assumptions!$F$11))),CV$11&lt;=((12*(YEAR('Renovation Budget'!$F$18)-YEAR(Assumptions!$F$11))+(MONTH('Renovation Budget'!$F$18)-MONTH(Assumptions!$F$11)))+'Renovation Budget'!$G$18-1)),-'Renovation Budget'!$C$18/'Renovation Budget'!$G$18,0)</f>
        <v/>
      </c>
      <c r="CW88" s="228">
        <f>IF(AND(CW$11&gt;=(12*(YEAR('Renovation Budget'!$F$18)-YEAR(Assumptions!$F$11))+(MONTH('Renovation Budget'!$F$18)-MONTH(Assumptions!$F$11))),CW$11&lt;=((12*(YEAR('Renovation Budget'!$F$18)-YEAR(Assumptions!$F$11))+(MONTH('Renovation Budget'!$F$18)-MONTH(Assumptions!$F$11)))+'Renovation Budget'!$G$18-1)),-'Renovation Budget'!$C$18/'Renovation Budget'!$G$18,0)</f>
        <v/>
      </c>
      <c r="CX88" s="228">
        <f>IF(AND(CX$11&gt;=(12*(YEAR('Renovation Budget'!$F$18)-YEAR(Assumptions!$F$11))+(MONTH('Renovation Budget'!$F$18)-MONTH(Assumptions!$F$11))),CX$11&lt;=((12*(YEAR('Renovation Budget'!$F$18)-YEAR(Assumptions!$F$11))+(MONTH('Renovation Budget'!$F$18)-MONTH(Assumptions!$F$11)))+'Renovation Budget'!$G$18-1)),-'Renovation Budget'!$C$18/'Renovation Budget'!$G$18,0)</f>
        <v/>
      </c>
      <c r="CY88" s="228">
        <f>IF(AND(CY$11&gt;=(12*(YEAR('Renovation Budget'!$F$18)-YEAR(Assumptions!$F$11))+(MONTH('Renovation Budget'!$F$18)-MONTH(Assumptions!$F$11))),CY$11&lt;=((12*(YEAR('Renovation Budget'!$F$18)-YEAR(Assumptions!$F$11))+(MONTH('Renovation Budget'!$F$18)-MONTH(Assumptions!$F$11)))+'Renovation Budget'!$G$18-1)),-'Renovation Budget'!$C$18/'Renovation Budget'!$G$18,0)</f>
        <v/>
      </c>
      <c r="CZ88" s="228">
        <f>IF(AND(CZ$11&gt;=(12*(YEAR('Renovation Budget'!$F$18)-YEAR(Assumptions!$F$11))+(MONTH('Renovation Budget'!$F$18)-MONTH(Assumptions!$F$11))),CZ$11&lt;=((12*(YEAR('Renovation Budget'!$F$18)-YEAR(Assumptions!$F$11))+(MONTH('Renovation Budget'!$F$18)-MONTH(Assumptions!$F$11)))+'Renovation Budget'!$G$18-1)),-'Renovation Budget'!$C$18/'Renovation Budget'!$G$18,0)</f>
        <v/>
      </c>
      <c r="DA88" s="228">
        <f>IF(AND(DA$11&gt;=(12*(YEAR('Renovation Budget'!$F$18)-YEAR(Assumptions!$F$11))+(MONTH('Renovation Budget'!$F$18)-MONTH(Assumptions!$F$11))),DA$11&lt;=((12*(YEAR('Renovation Budget'!$F$18)-YEAR(Assumptions!$F$11))+(MONTH('Renovation Budget'!$F$18)-MONTH(Assumptions!$F$11)))+'Renovation Budget'!$G$18-1)),-'Renovation Budget'!$C$18/'Renovation Budget'!$G$18,0)</f>
        <v/>
      </c>
      <c r="DB88" s="228">
        <f>IF(AND(DB$11&gt;=(12*(YEAR('Renovation Budget'!$F$18)-YEAR(Assumptions!$F$11))+(MONTH('Renovation Budget'!$F$18)-MONTH(Assumptions!$F$11))),DB$11&lt;=((12*(YEAR('Renovation Budget'!$F$18)-YEAR(Assumptions!$F$11))+(MONTH('Renovation Budget'!$F$18)-MONTH(Assumptions!$F$11)))+'Renovation Budget'!$G$18-1)),-'Renovation Budget'!$C$18/'Renovation Budget'!$G$18,0)</f>
        <v/>
      </c>
      <c r="DC88" s="228">
        <f>IF(AND(DC$11&gt;=(12*(YEAR('Renovation Budget'!$F$18)-YEAR(Assumptions!$F$11))+(MONTH('Renovation Budget'!$F$18)-MONTH(Assumptions!$F$11))),DC$11&lt;=((12*(YEAR('Renovation Budget'!$F$18)-YEAR(Assumptions!$F$11))+(MONTH('Renovation Budget'!$F$18)-MONTH(Assumptions!$F$11)))+'Renovation Budget'!$G$18-1)),-'Renovation Budget'!$C$18/'Renovation Budget'!$G$18,0)</f>
        <v/>
      </c>
      <c r="DD88" s="228">
        <f>IF(AND(DD$11&gt;=(12*(YEAR('Renovation Budget'!$F$18)-YEAR(Assumptions!$F$11))+(MONTH('Renovation Budget'!$F$18)-MONTH(Assumptions!$F$11))),DD$11&lt;=((12*(YEAR('Renovation Budget'!$F$18)-YEAR(Assumptions!$F$11))+(MONTH('Renovation Budget'!$F$18)-MONTH(Assumptions!$F$11)))+'Renovation Budget'!$G$18-1)),-'Renovation Budget'!$C$18/'Renovation Budget'!$G$18,0)</f>
        <v/>
      </c>
      <c r="DE88" s="228">
        <f>IF(AND(DE$11&gt;=(12*(YEAR('Renovation Budget'!$F$18)-YEAR(Assumptions!$F$11))+(MONTH('Renovation Budget'!$F$18)-MONTH(Assumptions!$F$11))),DE$11&lt;=((12*(YEAR('Renovation Budget'!$F$18)-YEAR(Assumptions!$F$11))+(MONTH('Renovation Budget'!$F$18)-MONTH(Assumptions!$F$11)))+'Renovation Budget'!$G$18-1)),-'Renovation Budget'!$C$18/'Renovation Budget'!$G$18,0)</f>
        <v/>
      </c>
      <c r="DF88" s="228">
        <f>IF(AND(DF$11&gt;=(12*(YEAR('Renovation Budget'!$F$18)-YEAR(Assumptions!$F$11))+(MONTH('Renovation Budget'!$F$18)-MONTH(Assumptions!$F$11))),DF$11&lt;=((12*(YEAR('Renovation Budget'!$F$18)-YEAR(Assumptions!$F$11))+(MONTH('Renovation Budget'!$F$18)-MONTH(Assumptions!$F$11)))+'Renovation Budget'!$G$18-1)),-'Renovation Budget'!$C$18/'Renovation Budget'!$G$18,0)</f>
        <v/>
      </c>
      <c r="DG88" s="228">
        <f>IF(AND(DG$11&gt;=(12*(YEAR('Renovation Budget'!$F$18)-YEAR(Assumptions!$F$11))+(MONTH('Renovation Budget'!$F$18)-MONTH(Assumptions!$F$11))),DG$11&lt;=((12*(YEAR('Renovation Budget'!$F$18)-YEAR(Assumptions!$F$11))+(MONTH('Renovation Budget'!$F$18)-MONTH(Assumptions!$F$11)))+'Renovation Budget'!$G$18-1)),-'Renovation Budget'!$C$18/'Renovation Budget'!$G$18,0)</f>
        <v/>
      </c>
      <c r="DH88" s="228">
        <f>IF(AND(DH$11&gt;=(12*(YEAR('Renovation Budget'!$F$18)-YEAR(Assumptions!$F$11))+(MONTH('Renovation Budget'!$F$18)-MONTH(Assumptions!$F$11))),DH$11&lt;=((12*(YEAR('Renovation Budget'!$F$18)-YEAR(Assumptions!$F$11))+(MONTH('Renovation Budget'!$F$18)-MONTH(Assumptions!$F$11)))+'Renovation Budget'!$G$18-1)),-'Renovation Budget'!$C$18/'Renovation Budget'!$G$18,0)</f>
        <v/>
      </c>
      <c r="DI88" s="228">
        <f>IF(AND(DI$11&gt;=(12*(YEAR('Renovation Budget'!$F$18)-YEAR(Assumptions!$F$11))+(MONTH('Renovation Budget'!$F$18)-MONTH(Assumptions!$F$11))),DI$11&lt;=((12*(YEAR('Renovation Budget'!$F$18)-YEAR(Assumptions!$F$11))+(MONTH('Renovation Budget'!$F$18)-MONTH(Assumptions!$F$11)))+'Renovation Budget'!$G$18-1)),-'Renovation Budget'!$C$18/'Renovation Budget'!$G$18,0)</f>
        <v/>
      </c>
      <c r="DJ88" s="228">
        <f>IF(AND(DJ$11&gt;=(12*(YEAR('Renovation Budget'!$F$18)-YEAR(Assumptions!$F$11))+(MONTH('Renovation Budget'!$F$18)-MONTH(Assumptions!$F$11))),DJ$11&lt;=((12*(YEAR('Renovation Budget'!$F$18)-YEAR(Assumptions!$F$11))+(MONTH('Renovation Budget'!$F$18)-MONTH(Assumptions!$F$11)))+'Renovation Budget'!$G$18-1)),-'Renovation Budget'!$C$18/'Renovation Budget'!$G$18,0)</f>
        <v/>
      </c>
      <c r="DK88" s="228">
        <f>IF(AND(DK$11&gt;=(12*(YEAR('Renovation Budget'!$F$18)-YEAR(Assumptions!$F$11))+(MONTH('Renovation Budget'!$F$18)-MONTH(Assumptions!$F$11))),DK$11&lt;=((12*(YEAR('Renovation Budget'!$F$18)-YEAR(Assumptions!$F$11))+(MONTH('Renovation Budget'!$F$18)-MONTH(Assumptions!$F$11)))+'Renovation Budget'!$G$18-1)),-'Renovation Budget'!$C$18/'Renovation Budget'!$G$18,0)</f>
        <v/>
      </c>
      <c r="DL88" s="228">
        <f>IF(AND(DL$11&gt;=(12*(YEAR('Renovation Budget'!$F$18)-YEAR(Assumptions!$F$11))+(MONTH('Renovation Budget'!$F$18)-MONTH(Assumptions!$F$11))),DL$11&lt;=((12*(YEAR('Renovation Budget'!$F$18)-YEAR(Assumptions!$F$11))+(MONTH('Renovation Budget'!$F$18)-MONTH(Assumptions!$F$11)))+'Renovation Budget'!$G$18-1)),-'Renovation Budget'!$C$18/'Renovation Budget'!$G$18,0)</f>
        <v/>
      </c>
      <c r="DM88" s="228">
        <f>IF(AND(DM$11&gt;=(12*(YEAR('Renovation Budget'!$F$18)-YEAR(Assumptions!$F$11))+(MONTH('Renovation Budget'!$F$18)-MONTH(Assumptions!$F$11))),DM$11&lt;=((12*(YEAR('Renovation Budget'!$F$18)-YEAR(Assumptions!$F$11))+(MONTH('Renovation Budget'!$F$18)-MONTH(Assumptions!$F$11)))+'Renovation Budget'!$G$18-1)),-'Renovation Budget'!$C$18/'Renovation Budget'!$G$18,0)</f>
        <v/>
      </c>
      <c r="DN88" s="228">
        <f>IF(AND(DN$11&gt;=(12*(YEAR('Renovation Budget'!$F$18)-YEAR(Assumptions!$F$11))+(MONTH('Renovation Budget'!$F$18)-MONTH(Assumptions!$F$11))),DN$11&lt;=((12*(YEAR('Renovation Budget'!$F$18)-YEAR(Assumptions!$F$11))+(MONTH('Renovation Budget'!$F$18)-MONTH(Assumptions!$F$11)))+'Renovation Budget'!$G$18-1)),-'Renovation Budget'!$C$18/'Renovation Budget'!$G$18,0)</f>
        <v/>
      </c>
      <c r="DO88" s="228">
        <f>IF(AND(DO$11&gt;=(12*(YEAR('Renovation Budget'!$F$18)-YEAR(Assumptions!$F$11))+(MONTH('Renovation Budget'!$F$18)-MONTH(Assumptions!$F$11))),DO$11&lt;=((12*(YEAR('Renovation Budget'!$F$18)-YEAR(Assumptions!$F$11))+(MONTH('Renovation Budget'!$F$18)-MONTH(Assumptions!$F$11)))+'Renovation Budget'!$G$18-1)),-'Renovation Budget'!$C$18/'Renovation Budget'!$G$18,0)</f>
        <v/>
      </c>
      <c r="DP88" s="228">
        <f>IF(AND(DP$11&gt;=(12*(YEAR('Renovation Budget'!$F$18)-YEAR(Assumptions!$F$11))+(MONTH('Renovation Budget'!$F$18)-MONTH(Assumptions!$F$11))),DP$11&lt;=((12*(YEAR('Renovation Budget'!$F$18)-YEAR(Assumptions!$F$11))+(MONTH('Renovation Budget'!$F$18)-MONTH(Assumptions!$F$11)))+'Renovation Budget'!$G$18-1)),-'Renovation Budget'!$C$18/'Renovation Budget'!$G$18,0)</f>
        <v/>
      </c>
      <c r="DQ88" s="228">
        <f>IF(AND(DQ$11&gt;=(12*(YEAR('Renovation Budget'!$F$18)-YEAR(Assumptions!$F$11))+(MONTH('Renovation Budget'!$F$18)-MONTH(Assumptions!$F$11))),DQ$11&lt;=((12*(YEAR('Renovation Budget'!$F$18)-YEAR(Assumptions!$F$11))+(MONTH('Renovation Budget'!$F$18)-MONTH(Assumptions!$F$11)))+'Renovation Budget'!$G$18-1)),-'Renovation Budget'!$C$18/'Renovation Budget'!$G$18,0)</f>
        <v/>
      </c>
      <c r="DR88" s="228">
        <f>IF(AND(DR$11&gt;=(12*(YEAR('Renovation Budget'!$F$18)-YEAR(Assumptions!$F$11))+(MONTH('Renovation Budget'!$F$18)-MONTH(Assumptions!$F$11))),DR$11&lt;=((12*(YEAR('Renovation Budget'!$F$18)-YEAR(Assumptions!$F$11))+(MONTH('Renovation Budget'!$F$18)-MONTH(Assumptions!$F$11)))+'Renovation Budget'!$G$18-1)),-'Renovation Budget'!$C$18/'Renovation Budget'!$G$18,0)</f>
        <v/>
      </c>
      <c r="DS88" s="228">
        <f>IF(AND(DS$11&gt;=(12*(YEAR('Renovation Budget'!$F$18)-YEAR(Assumptions!$F$11))+(MONTH('Renovation Budget'!$F$18)-MONTH(Assumptions!$F$11))),DS$11&lt;=((12*(YEAR('Renovation Budget'!$F$18)-YEAR(Assumptions!$F$11))+(MONTH('Renovation Budget'!$F$18)-MONTH(Assumptions!$F$11)))+'Renovation Budget'!$G$18-1)),-'Renovation Budget'!$C$18/'Renovation Budget'!$G$18,0)</f>
        <v/>
      </c>
      <c r="DT88" s="228">
        <f>IF(AND(DT$11&gt;=(12*(YEAR('Renovation Budget'!$F$18)-YEAR(Assumptions!$F$11))+(MONTH('Renovation Budget'!$F$18)-MONTH(Assumptions!$F$11))),DT$11&lt;=((12*(YEAR('Renovation Budget'!$F$18)-YEAR(Assumptions!$F$11))+(MONTH('Renovation Budget'!$F$18)-MONTH(Assumptions!$F$11)))+'Renovation Budget'!$G$18-1)),-'Renovation Budget'!$C$18/'Renovation Budget'!$G$18,0)</f>
        <v/>
      </c>
    </row>
    <row r="89" ht="15" customHeight="1" s="148">
      <c r="A89" s="112" t="inlineStr">
        <is>
          <t>Equipment</t>
        </is>
      </c>
      <c r="C89" s="228">
        <f>SUM(D89:DT89)</f>
        <v/>
      </c>
      <c r="D89" s="228">
        <f>IF(AND(D$11&gt;=(12*(YEAR('Renovation Budget'!$F$19)-YEAR(Assumptions!$F$11))+(MONTH('Renovation Budget'!$F$19)-MONTH(Assumptions!$F$11))),D$11&lt;=((12*(YEAR('Renovation Budget'!$F$19)-YEAR(Assumptions!$F$11))+(MONTH('Renovation Budget'!$F$19)-MONTH(Assumptions!$F$11)))+'Renovation Budget'!$G$19-1)),-'Renovation Budget'!$C$19/'Renovation Budget'!$G$19,0)</f>
        <v/>
      </c>
      <c r="E89" s="228">
        <f>IF(AND(E$11&gt;=(12*(YEAR('Renovation Budget'!$F$19)-YEAR(Assumptions!$F$11))+(MONTH('Renovation Budget'!$F$19)-MONTH(Assumptions!$F$11))),E$11&lt;=((12*(YEAR('Renovation Budget'!$F$19)-YEAR(Assumptions!$F$11))+(MONTH('Renovation Budget'!$F$19)-MONTH(Assumptions!$F$11)))+'Renovation Budget'!$G$19-1)),-'Renovation Budget'!$C$19/'Renovation Budget'!$G$19,0)</f>
        <v/>
      </c>
      <c r="F89" s="228">
        <f>IF(AND(F$11&gt;=(12*(YEAR('Renovation Budget'!$F$19)-YEAR(Assumptions!$F$11))+(MONTH('Renovation Budget'!$F$19)-MONTH(Assumptions!$F$11))),F$11&lt;=((12*(YEAR('Renovation Budget'!$F$19)-YEAR(Assumptions!$F$11))+(MONTH('Renovation Budget'!$F$19)-MONTH(Assumptions!$F$11)))+'Renovation Budget'!$G$19-1)),-'Renovation Budget'!$C$19/'Renovation Budget'!$G$19,0)</f>
        <v/>
      </c>
      <c r="G89" s="228">
        <f>IF(AND(G$11&gt;=(12*(YEAR('Renovation Budget'!$F$19)-YEAR(Assumptions!$F$11))+(MONTH('Renovation Budget'!$F$19)-MONTH(Assumptions!$F$11))),G$11&lt;=((12*(YEAR('Renovation Budget'!$F$19)-YEAR(Assumptions!$F$11))+(MONTH('Renovation Budget'!$F$19)-MONTH(Assumptions!$F$11)))+'Renovation Budget'!$G$19-1)),-'Renovation Budget'!$C$19/'Renovation Budget'!$G$19,0)</f>
        <v/>
      </c>
      <c r="H89" s="228">
        <f>IF(AND(H$11&gt;=(12*(YEAR('Renovation Budget'!$F$19)-YEAR(Assumptions!$F$11))+(MONTH('Renovation Budget'!$F$19)-MONTH(Assumptions!$F$11))),H$11&lt;=((12*(YEAR('Renovation Budget'!$F$19)-YEAR(Assumptions!$F$11))+(MONTH('Renovation Budget'!$F$19)-MONTH(Assumptions!$F$11)))+'Renovation Budget'!$G$19-1)),-'Renovation Budget'!$C$19/'Renovation Budget'!$G$19,0)</f>
        <v/>
      </c>
      <c r="I89" s="228">
        <f>IF(AND(I$11&gt;=(12*(YEAR('Renovation Budget'!$F$19)-YEAR(Assumptions!$F$11))+(MONTH('Renovation Budget'!$F$19)-MONTH(Assumptions!$F$11))),I$11&lt;=((12*(YEAR('Renovation Budget'!$F$19)-YEAR(Assumptions!$F$11))+(MONTH('Renovation Budget'!$F$19)-MONTH(Assumptions!$F$11)))+'Renovation Budget'!$G$19-1)),-'Renovation Budget'!$C$19/'Renovation Budget'!$G$19,0)</f>
        <v/>
      </c>
      <c r="J89" s="228">
        <f>IF(AND(J$11&gt;=(12*(YEAR('Renovation Budget'!$F$19)-YEAR(Assumptions!$F$11))+(MONTH('Renovation Budget'!$F$19)-MONTH(Assumptions!$F$11))),J$11&lt;=((12*(YEAR('Renovation Budget'!$F$19)-YEAR(Assumptions!$F$11))+(MONTH('Renovation Budget'!$F$19)-MONTH(Assumptions!$F$11)))+'Renovation Budget'!$G$19-1)),-'Renovation Budget'!$C$19/'Renovation Budget'!$G$19,0)</f>
        <v/>
      </c>
      <c r="K89" s="228">
        <f>IF(AND(K$11&gt;=(12*(YEAR('Renovation Budget'!$F$19)-YEAR(Assumptions!$F$11))+(MONTH('Renovation Budget'!$F$19)-MONTH(Assumptions!$F$11))),K$11&lt;=((12*(YEAR('Renovation Budget'!$F$19)-YEAR(Assumptions!$F$11))+(MONTH('Renovation Budget'!$F$19)-MONTH(Assumptions!$F$11)))+'Renovation Budget'!$G$19-1)),-'Renovation Budget'!$C$19/'Renovation Budget'!$G$19,0)</f>
        <v/>
      </c>
      <c r="L89" s="228">
        <f>IF(AND(L$11&gt;=(12*(YEAR('Renovation Budget'!$F$19)-YEAR(Assumptions!$F$11))+(MONTH('Renovation Budget'!$F$19)-MONTH(Assumptions!$F$11))),L$11&lt;=((12*(YEAR('Renovation Budget'!$F$19)-YEAR(Assumptions!$F$11))+(MONTH('Renovation Budget'!$F$19)-MONTH(Assumptions!$F$11)))+'Renovation Budget'!$G$19-1)),-'Renovation Budget'!$C$19/'Renovation Budget'!$G$19,0)</f>
        <v/>
      </c>
      <c r="M89" s="228">
        <f>IF(AND(M$11&gt;=(12*(YEAR('Renovation Budget'!$F$19)-YEAR(Assumptions!$F$11))+(MONTH('Renovation Budget'!$F$19)-MONTH(Assumptions!$F$11))),M$11&lt;=((12*(YEAR('Renovation Budget'!$F$19)-YEAR(Assumptions!$F$11))+(MONTH('Renovation Budget'!$F$19)-MONTH(Assumptions!$F$11)))+'Renovation Budget'!$G$19-1)),-'Renovation Budget'!$C$19/'Renovation Budget'!$G$19,0)</f>
        <v/>
      </c>
      <c r="N89" s="228">
        <f>IF(AND(N$11&gt;=(12*(YEAR('Renovation Budget'!$F$19)-YEAR(Assumptions!$F$11))+(MONTH('Renovation Budget'!$F$19)-MONTH(Assumptions!$F$11))),N$11&lt;=((12*(YEAR('Renovation Budget'!$F$19)-YEAR(Assumptions!$F$11))+(MONTH('Renovation Budget'!$F$19)-MONTH(Assumptions!$F$11)))+'Renovation Budget'!$G$19-1)),-'Renovation Budget'!$C$19/'Renovation Budget'!$G$19,0)</f>
        <v/>
      </c>
      <c r="O89" s="228">
        <f>IF(AND(O$11&gt;=(12*(YEAR('Renovation Budget'!$F$19)-YEAR(Assumptions!$F$11))+(MONTH('Renovation Budget'!$F$19)-MONTH(Assumptions!$F$11))),O$11&lt;=((12*(YEAR('Renovation Budget'!$F$19)-YEAR(Assumptions!$F$11))+(MONTH('Renovation Budget'!$F$19)-MONTH(Assumptions!$F$11)))+'Renovation Budget'!$G$19-1)),-'Renovation Budget'!$C$19/'Renovation Budget'!$G$19,0)</f>
        <v/>
      </c>
      <c r="P89" s="228">
        <f>IF(AND(P$11&gt;=(12*(YEAR('Renovation Budget'!$F$19)-YEAR(Assumptions!$F$11))+(MONTH('Renovation Budget'!$F$19)-MONTH(Assumptions!$F$11))),P$11&lt;=((12*(YEAR('Renovation Budget'!$F$19)-YEAR(Assumptions!$F$11))+(MONTH('Renovation Budget'!$F$19)-MONTH(Assumptions!$F$11)))+'Renovation Budget'!$G$19-1)),-'Renovation Budget'!$C$19/'Renovation Budget'!$G$19,0)</f>
        <v/>
      </c>
      <c r="Q89" s="228">
        <f>IF(AND(Q$11&gt;=(12*(YEAR('Renovation Budget'!$F$19)-YEAR(Assumptions!$F$11))+(MONTH('Renovation Budget'!$F$19)-MONTH(Assumptions!$F$11))),Q$11&lt;=((12*(YEAR('Renovation Budget'!$F$19)-YEAR(Assumptions!$F$11))+(MONTH('Renovation Budget'!$F$19)-MONTH(Assumptions!$F$11)))+'Renovation Budget'!$G$19-1)),-'Renovation Budget'!$C$19/'Renovation Budget'!$G$19,0)</f>
        <v/>
      </c>
      <c r="R89" s="228">
        <f>IF(AND(R$11&gt;=(12*(YEAR('Renovation Budget'!$F$19)-YEAR(Assumptions!$F$11))+(MONTH('Renovation Budget'!$F$19)-MONTH(Assumptions!$F$11))),R$11&lt;=((12*(YEAR('Renovation Budget'!$F$19)-YEAR(Assumptions!$F$11))+(MONTH('Renovation Budget'!$F$19)-MONTH(Assumptions!$F$11)))+'Renovation Budget'!$G$19-1)),-'Renovation Budget'!$C$19/'Renovation Budget'!$G$19,0)</f>
        <v/>
      </c>
      <c r="S89" s="228">
        <f>IF(AND(S$11&gt;=(12*(YEAR('Renovation Budget'!$F$19)-YEAR(Assumptions!$F$11))+(MONTH('Renovation Budget'!$F$19)-MONTH(Assumptions!$F$11))),S$11&lt;=((12*(YEAR('Renovation Budget'!$F$19)-YEAR(Assumptions!$F$11))+(MONTH('Renovation Budget'!$F$19)-MONTH(Assumptions!$F$11)))+'Renovation Budget'!$G$19-1)),-'Renovation Budget'!$C$19/'Renovation Budget'!$G$19,0)</f>
        <v/>
      </c>
      <c r="T89" s="228">
        <f>IF(AND(T$11&gt;=(12*(YEAR('Renovation Budget'!$F$19)-YEAR(Assumptions!$F$11))+(MONTH('Renovation Budget'!$F$19)-MONTH(Assumptions!$F$11))),T$11&lt;=((12*(YEAR('Renovation Budget'!$F$19)-YEAR(Assumptions!$F$11))+(MONTH('Renovation Budget'!$F$19)-MONTH(Assumptions!$F$11)))+'Renovation Budget'!$G$19-1)),-'Renovation Budget'!$C$19/'Renovation Budget'!$G$19,0)</f>
        <v/>
      </c>
      <c r="U89" s="228">
        <f>IF(AND(U$11&gt;=(12*(YEAR('Renovation Budget'!$F$19)-YEAR(Assumptions!$F$11))+(MONTH('Renovation Budget'!$F$19)-MONTH(Assumptions!$F$11))),U$11&lt;=((12*(YEAR('Renovation Budget'!$F$19)-YEAR(Assumptions!$F$11))+(MONTH('Renovation Budget'!$F$19)-MONTH(Assumptions!$F$11)))+'Renovation Budget'!$G$19-1)),-'Renovation Budget'!$C$19/'Renovation Budget'!$G$19,0)</f>
        <v/>
      </c>
      <c r="V89" s="228">
        <f>IF(AND(V$11&gt;=(12*(YEAR('Renovation Budget'!$F$19)-YEAR(Assumptions!$F$11))+(MONTH('Renovation Budget'!$F$19)-MONTH(Assumptions!$F$11))),V$11&lt;=((12*(YEAR('Renovation Budget'!$F$19)-YEAR(Assumptions!$F$11))+(MONTH('Renovation Budget'!$F$19)-MONTH(Assumptions!$F$11)))+'Renovation Budget'!$G$19-1)),-'Renovation Budget'!$C$19/'Renovation Budget'!$G$19,0)</f>
        <v/>
      </c>
      <c r="W89" s="228">
        <f>IF(AND(W$11&gt;=(12*(YEAR('Renovation Budget'!$F$19)-YEAR(Assumptions!$F$11))+(MONTH('Renovation Budget'!$F$19)-MONTH(Assumptions!$F$11))),W$11&lt;=((12*(YEAR('Renovation Budget'!$F$19)-YEAR(Assumptions!$F$11))+(MONTH('Renovation Budget'!$F$19)-MONTH(Assumptions!$F$11)))+'Renovation Budget'!$G$19-1)),-'Renovation Budget'!$C$19/'Renovation Budget'!$G$19,0)</f>
        <v/>
      </c>
      <c r="X89" s="228">
        <f>IF(AND(X$11&gt;=(12*(YEAR('Renovation Budget'!$F$19)-YEAR(Assumptions!$F$11))+(MONTH('Renovation Budget'!$F$19)-MONTH(Assumptions!$F$11))),X$11&lt;=((12*(YEAR('Renovation Budget'!$F$19)-YEAR(Assumptions!$F$11))+(MONTH('Renovation Budget'!$F$19)-MONTH(Assumptions!$F$11)))+'Renovation Budget'!$G$19-1)),-'Renovation Budget'!$C$19/'Renovation Budget'!$G$19,0)</f>
        <v/>
      </c>
      <c r="Y89" s="228">
        <f>IF(AND(Y$11&gt;=(12*(YEAR('Renovation Budget'!$F$19)-YEAR(Assumptions!$F$11))+(MONTH('Renovation Budget'!$F$19)-MONTH(Assumptions!$F$11))),Y$11&lt;=((12*(YEAR('Renovation Budget'!$F$19)-YEAR(Assumptions!$F$11))+(MONTH('Renovation Budget'!$F$19)-MONTH(Assumptions!$F$11)))+'Renovation Budget'!$G$19-1)),-'Renovation Budget'!$C$19/'Renovation Budget'!$G$19,0)</f>
        <v/>
      </c>
      <c r="Z89" s="228">
        <f>IF(AND(Z$11&gt;=(12*(YEAR('Renovation Budget'!$F$19)-YEAR(Assumptions!$F$11))+(MONTH('Renovation Budget'!$F$19)-MONTH(Assumptions!$F$11))),Z$11&lt;=((12*(YEAR('Renovation Budget'!$F$19)-YEAR(Assumptions!$F$11))+(MONTH('Renovation Budget'!$F$19)-MONTH(Assumptions!$F$11)))+'Renovation Budget'!$G$19-1)),-'Renovation Budget'!$C$19/'Renovation Budget'!$G$19,0)</f>
        <v/>
      </c>
      <c r="AA89" s="228">
        <f>IF(AND(AA$11&gt;=(12*(YEAR('Renovation Budget'!$F$19)-YEAR(Assumptions!$F$11))+(MONTH('Renovation Budget'!$F$19)-MONTH(Assumptions!$F$11))),AA$11&lt;=((12*(YEAR('Renovation Budget'!$F$19)-YEAR(Assumptions!$F$11))+(MONTH('Renovation Budget'!$F$19)-MONTH(Assumptions!$F$11)))+'Renovation Budget'!$G$19-1)),-'Renovation Budget'!$C$19/'Renovation Budget'!$G$19,0)</f>
        <v/>
      </c>
      <c r="AB89" s="228">
        <f>IF(AND(AB$11&gt;=(12*(YEAR('Renovation Budget'!$F$19)-YEAR(Assumptions!$F$11))+(MONTH('Renovation Budget'!$F$19)-MONTH(Assumptions!$F$11))),AB$11&lt;=((12*(YEAR('Renovation Budget'!$F$19)-YEAR(Assumptions!$F$11))+(MONTH('Renovation Budget'!$F$19)-MONTH(Assumptions!$F$11)))+'Renovation Budget'!$G$19-1)),-'Renovation Budget'!$C$19/'Renovation Budget'!$G$19,0)</f>
        <v/>
      </c>
      <c r="AC89" s="228">
        <f>IF(AND(AC$11&gt;=(12*(YEAR('Renovation Budget'!$F$19)-YEAR(Assumptions!$F$11))+(MONTH('Renovation Budget'!$F$19)-MONTH(Assumptions!$F$11))),AC$11&lt;=((12*(YEAR('Renovation Budget'!$F$19)-YEAR(Assumptions!$F$11))+(MONTH('Renovation Budget'!$F$19)-MONTH(Assumptions!$F$11)))+'Renovation Budget'!$G$19-1)),-'Renovation Budget'!$C$19/'Renovation Budget'!$G$19,0)</f>
        <v/>
      </c>
      <c r="AD89" s="228">
        <f>IF(AND(AD$11&gt;=(12*(YEAR('Renovation Budget'!$F$19)-YEAR(Assumptions!$F$11))+(MONTH('Renovation Budget'!$F$19)-MONTH(Assumptions!$F$11))),AD$11&lt;=((12*(YEAR('Renovation Budget'!$F$19)-YEAR(Assumptions!$F$11))+(MONTH('Renovation Budget'!$F$19)-MONTH(Assumptions!$F$11)))+'Renovation Budget'!$G$19-1)),-'Renovation Budget'!$C$19/'Renovation Budget'!$G$19,0)</f>
        <v/>
      </c>
      <c r="AE89" s="228">
        <f>IF(AND(AE$11&gt;=(12*(YEAR('Renovation Budget'!$F$19)-YEAR(Assumptions!$F$11))+(MONTH('Renovation Budget'!$F$19)-MONTH(Assumptions!$F$11))),AE$11&lt;=((12*(YEAR('Renovation Budget'!$F$19)-YEAR(Assumptions!$F$11))+(MONTH('Renovation Budget'!$F$19)-MONTH(Assumptions!$F$11)))+'Renovation Budget'!$G$19-1)),-'Renovation Budget'!$C$19/'Renovation Budget'!$G$19,0)</f>
        <v/>
      </c>
      <c r="AF89" s="228">
        <f>IF(AND(AF$11&gt;=(12*(YEAR('Renovation Budget'!$F$19)-YEAR(Assumptions!$F$11))+(MONTH('Renovation Budget'!$F$19)-MONTH(Assumptions!$F$11))),AF$11&lt;=((12*(YEAR('Renovation Budget'!$F$19)-YEAR(Assumptions!$F$11))+(MONTH('Renovation Budget'!$F$19)-MONTH(Assumptions!$F$11)))+'Renovation Budget'!$G$19-1)),-'Renovation Budget'!$C$19/'Renovation Budget'!$G$19,0)</f>
        <v/>
      </c>
      <c r="AG89" s="228">
        <f>IF(AND(AG$11&gt;=(12*(YEAR('Renovation Budget'!$F$19)-YEAR(Assumptions!$F$11))+(MONTH('Renovation Budget'!$F$19)-MONTH(Assumptions!$F$11))),AG$11&lt;=((12*(YEAR('Renovation Budget'!$F$19)-YEAR(Assumptions!$F$11))+(MONTH('Renovation Budget'!$F$19)-MONTH(Assumptions!$F$11)))+'Renovation Budget'!$G$19-1)),-'Renovation Budget'!$C$19/'Renovation Budget'!$G$19,0)</f>
        <v/>
      </c>
      <c r="AH89" s="228">
        <f>IF(AND(AH$11&gt;=(12*(YEAR('Renovation Budget'!$F$19)-YEAR(Assumptions!$F$11))+(MONTH('Renovation Budget'!$F$19)-MONTH(Assumptions!$F$11))),AH$11&lt;=((12*(YEAR('Renovation Budget'!$F$19)-YEAR(Assumptions!$F$11))+(MONTH('Renovation Budget'!$F$19)-MONTH(Assumptions!$F$11)))+'Renovation Budget'!$G$19-1)),-'Renovation Budget'!$C$19/'Renovation Budget'!$G$19,0)</f>
        <v/>
      </c>
      <c r="AI89" s="228">
        <f>IF(AND(AI$11&gt;=(12*(YEAR('Renovation Budget'!$F$19)-YEAR(Assumptions!$F$11))+(MONTH('Renovation Budget'!$F$19)-MONTH(Assumptions!$F$11))),AI$11&lt;=((12*(YEAR('Renovation Budget'!$F$19)-YEAR(Assumptions!$F$11))+(MONTH('Renovation Budget'!$F$19)-MONTH(Assumptions!$F$11)))+'Renovation Budget'!$G$19-1)),-'Renovation Budget'!$C$19/'Renovation Budget'!$G$19,0)</f>
        <v/>
      </c>
      <c r="AJ89" s="228">
        <f>IF(AND(AJ$11&gt;=(12*(YEAR('Renovation Budget'!$F$19)-YEAR(Assumptions!$F$11))+(MONTH('Renovation Budget'!$F$19)-MONTH(Assumptions!$F$11))),AJ$11&lt;=((12*(YEAR('Renovation Budget'!$F$19)-YEAR(Assumptions!$F$11))+(MONTH('Renovation Budget'!$F$19)-MONTH(Assumptions!$F$11)))+'Renovation Budget'!$G$19-1)),-'Renovation Budget'!$C$19/'Renovation Budget'!$G$19,0)</f>
        <v/>
      </c>
      <c r="AK89" s="228">
        <f>IF(AND(AK$11&gt;=(12*(YEAR('Renovation Budget'!$F$19)-YEAR(Assumptions!$F$11))+(MONTH('Renovation Budget'!$F$19)-MONTH(Assumptions!$F$11))),AK$11&lt;=((12*(YEAR('Renovation Budget'!$F$19)-YEAR(Assumptions!$F$11))+(MONTH('Renovation Budget'!$F$19)-MONTH(Assumptions!$F$11)))+'Renovation Budget'!$G$19-1)),-'Renovation Budget'!$C$19/'Renovation Budget'!$G$19,0)</f>
        <v/>
      </c>
      <c r="AL89" s="228">
        <f>IF(AND(AL$11&gt;=(12*(YEAR('Renovation Budget'!$F$19)-YEAR(Assumptions!$F$11))+(MONTH('Renovation Budget'!$F$19)-MONTH(Assumptions!$F$11))),AL$11&lt;=((12*(YEAR('Renovation Budget'!$F$19)-YEAR(Assumptions!$F$11))+(MONTH('Renovation Budget'!$F$19)-MONTH(Assumptions!$F$11)))+'Renovation Budget'!$G$19-1)),-'Renovation Budget'!$C$19/'Renovation Budget'!$G$19,0)</f>
        <v/>
      </c>
      <c r="AM89" s="228">
        <f>IF(AND(AM$11&gt;=(12*(YEAR('Renovation Budget'!$F$19)-YEAR(Assumptions!$F$11))+(MONTH('Renovation Budget'!$F$19)-MONTH(Assumptions!$F$11))),AM$11&lt;=((12*(YEAR('Renovation Budget'!$F$19)-YEAR(Assumptions!$F$11))+(MONTH('Renovation Budget'!$F$19)-MONTH(Assumptions!$F$11)))+'Renovation Budget'!$G$19-1)),-'Renovation Budget'!$C$19/'Renovation Budget'!$G$19,0)</f>
        <v/>
      </c>
      <c r="AN89" s="228">
        <f>IF(AND(AN$11&gt;=(12*(YEAR('Renovation Budget'!$F$19)-YEAR(Assumptions!$F$11))+(MONTH('Renovation Budget'!$F$19)-MONTH(Assumptions!$F$11))),AN$11&lt;=((12*(YEAR('Renovation Budget'!$F$19)-YEAR(Assumptions!$F$11))+(MONTH('Renovation Budget'!$F$19)-MONTH(Assumptions!$F$11)))+'Renovation Budget'!$G$19-1)),-'Renovation Budget'!$C$19/'Renovation Budget'!$G$19,0)</f>
        <v/>
      </c>
      <c r="AO89" s="228">
        <f>IF(AND(AO$11&gt;=(12*(YEAR('Renovation Budget'!$F$19)-YEAR(Assumptions!$F$11))+(MONTH('Renovation Budget'!$F$19)-MONTH(Assumptions!$F$11))),AO$11&lt;=((12*(YEAR('Renovation Budget'!$F$19)-YEAR(Assumptions!$F$11))+(MONTH('Renovation Budget'!$F$19)-MONTH(Assumptions!$F$11)))+'Renovation Budget'!$G$19-1)),-'Renovation Budget'!$C$19/'Renovation Budget'!$G$19,0)</f>
        <v/>
      </c>
      <c r="AP89" s="228">
        <f>IF(AND(AP$11&gt;=(12*(YEAR('Renovation Budget'!$F$19)-YEAR(Assumptions!$F$11))+(MONTH('Renovation Budget'!$F$19)-MONTH(Assumptions!$F$11))),AP$11&lt;=((12*(YEAR('Renovation Budget'!$F$19)-YEAR(Assumptions!$F$11))+(MONTH('Renovation Budget'!$F$19)-MONTH(Assumptions!$F$11)))+'Renovation Budget'!$G$19-1)),-'Renovation Budget'!$C$19/'Renovation Budget'!$G$19,0)</f>
        <v/>
      </c>
      <c r="AQ89" s="228">
        <f>IF(AND(AQ$11&gt;=(12*(YEAR('Renovation Budget'!$F$19)-YEAR(Assumptions!$F$11))+(MONTH('Renovation Budget'!$F$19)-MONTH(Assumptions!$F$11))),AQ$11&lt;=((12*(YEAR('Renovation Budget'!$F$19)-YEAR(Assumptions!$F$11))+(MONTH('Renovation Budget'!$F$19)-MONTH(Assumptions!$F$11)))+'Renovation Budget'!$G$19-1)),-'Renovation Budget'!$C$19/'Renovation Budget'!$G$19,0)</f>
        <v/>
      </c>
      <c r="AR89" s="228">
        <f>IF(AND(AR$11&gt;=(12*(YEAR('Renovation Budget'!$F$19)-YEAR(Assumptions!$F$11))+(MONTH('Renovation Budget'!$F$19)-MONTH(Assumptions!$F$11))),AR$11&lt;=((12*(YEAR('Renovation Budget'!$F$19)-YEAR(Assumptions!$F$11))+(MONTH('Renovation Budget'!$F$19)-MONTH(Assumptions!$F$11)))+'Renovation Budget'!$G$19-1)),-'Renovation Budget'!$C$19/'Renovation Budget'!$G$19,0)</f>
        <v/>
      </c>
      <c r="AS89" s="228">
        <f>IF(AND(AS$11&gt;=(12*(YEAR('Renovation Budget'!$F$19)-YEAR(Assumptions!$F$11))+(MONTH('Renovation Budget'!$F$19)-MONTH(Assumptions!$F$11))),AS$11&lt;=((12*(YEAR('Renovation Budget'!$F$19)-YEAR(Assumptions!$F$11))+(MONTH('Renovation Budget'!$F$19)-MONTH(Assumptions!$F$11)))+'Renovation Budget'!$G$19-1)),-'Renovation Budget'!$C$19/'Renovation Budget'!$G$19,0)</f>
        <v/>
      </c>
      <c r="AT89" s="228">
        <f>IF(AND(AT$11&gt;=(12*(YEAR('Renovation Budget'!$F$19)-YEAR(Assumptions!$F$11))+(MONTH('Renovation Budget'!$F$19)-MONTH(Assumptions!$F$11))),AT$11&lt;=((12*(YEAR('Renovation Budget'!$F$19)-YEAR(Assumptions!$F$11))+(MONTH('Renovation Budget'!$F$19)-MONTH(Assumptions!$F$11)))+'Renovation Budget'!$G$19-1)),-'Renovation Budget'!$C$19/'Renovation Budget'!$G$19,0)</f>
        <v/>
      </c>
      <c r="AU89" s="228">
        <f>IF(AND(AU$11&gt;=(12*(YEAR('Renovation Budget'!$F$19)-YEAR(Assumptions!$F$11))+(MONTH('Renovation Budget'!$F$19)-MONTH(Assumptions!$F$11))),AU$11&lt;=((12*(YEAR('Renovation Budget'!$F$19)-YEAR(Assumptions!$F$11))+(MONTH('Renovation Budget'!$F$19)-MONTH(Assumptions!$F$11)))+'Renovation Budget'!$G$19-1)),-'Renovation Budget'!$C$19/'Renovation Budget'!$G$19,0)</f>
        <v/>
      </c>
      <c r="AV89" s="228">
        <f>IF(AND(AV$11&gt;=(12*(YEAR('Renovation Budget'!$F$19)-YEAR(Assumptions!$F$11))+(MONTH('Renovation Budget'!$F$19)-MONTH(Assumptions!$F$11))),AV$11&lt;=((12*(YEAR('Renovation Budget'!$F$19)-YEAR(Assumptions!$F$11))+(MONTH('Renovation Budget'!$F$19)-MONTH(Assumptions!$F$11)))+'Renovation Budget'!$G$19-1)),-'Renovation Budget'!$C$19/'Renovation Budget'!$G$19,0)</f>
        <v/>
      </c>
      <c r="AW89" s="228">
        <f>IF(AND(AW$11&gt;=(12*(YEAR('Renovation Budget'!$F$19)-YEAR(Assumptions!$F$11))+(MONTH('Renovation Budget'!$F$19)-MONTH(Assumptions!$F$11))),AW$11&lt;=((12*(YEAR('Renovation Budget'!$F$19)-YEAR(Assumptions!$F$11))+(MONTH('Renovation Budget'!$F$19)-MONTH(Assumptions!$F$11)))+'Renovation Budget'!$G$19-1)),-'Renovation Budget'!$C$19/'Renovation Budget'!$G$19,0)</f>
        <v/>
      </c>
      <c r="AX89" s="228">
        <f>IF(AND(AX$11&gt;=(12*(YEAR('Renovation Budget'!$F$19)-YEAR(Assumptions!$F$11))+(MONTH('Renovation Budget'!$F$19)-MONTH(Assumptions!$F$11))),AX$11&lt;=((12*(YEAR('Renovation Budget'!$F$19)-YEAR(Assumptions!$F$11))+(MONTH('Renovation Budget'!$F$19)-MONTH(Assumptions!$F$11)))+'Renovation Budget'!$G$19-1)),-'Renovation Budget'!$C$19/'Renovation Budget'!$G$19,0)</f>
        <v/>
      </c>
      <c r="AY89" s="228">
        <f>IF(AND(AY$11&gt;=(12*(YEAR('Renovation Budget'!$F$19)-YEAR(Assumptions!$F$11))+(MONTH('Renovation Budget'!$F$19)-MONTH(Assumptions!$F$11))),AY$11&lt;=((12*(YEAR('Renovation Budget'!$F$19)-YEAR(Assumptions!$F$11))+(MONTH('Renovation Budget'!$F$19)-MONTH(Assumptions!$F$11)))+'Renovation Budget'!$G$19-1)),-'Renovation Budget'!$C$19/'Renovation Budget'!$G$19,0)</f>
        <v/>
      </c>
      <c r="AZ89" s="228">
        <f>IF(AND(AZ$11&gt;=(12*(YEAR('Renovation Budget'!$F$19)-YEAR(Assumptions!$F$11))+(MONTH('Renovation Budget'!$F$19)-MONTH(Assumptions!$F$11))),AZ$11&lt;=((12*(YEAR('Renovation Budget'!$F$19)-YEAR(Assumptions!$F$11))+(MONTH('Renovation Budget'!$F$19)-MONTH(Assumptions!$F$11)))+'Renovation Budget'!$G$19-1)),-'Renovation Budget'!$C$19/'Renovation Budget'!$G$19,0)</f>
        <v/>
      </c>
      <c r="BA89" s="228">
        <f>IF(AND(BA$11&gt;=(12*(YEAR('Renovation Budget'!$F$19)-YEAR(Assumptions!$F$11))+(MONTH('Renovation Budget'!$F$19)-MONTH(Assumptions!$F$11))),BA$11&lt;=((12*(YEAR('Renovation Budget'!$F$19)-YEAR(Assumptions!$F$11))+(MONTH('Renovation Budget'!$F$19)-MONTH(Assumptions!$F$11)))+'Renovation Budget'!$G$19-1)),-'Renovation Budget'!$C$19/'Renovation Budget'!$G$19,0)</f>
        <v/>
      </c>
      <c r="BB89" s="228">
        <f>IF(AND(BB$11&gt;=(12*(YEAR('Renovation Budget'!$F$19)-YEAR(Assumptions!$F$11))+(MONTH('Renovation Budget'!$F$19)-MONTH(Assumptions!$F$11))),BB$11&lt;=((12*(YEAR('Renovation Budget'!$F$19)-YEAR(Assumptions!$F$11))+(MONTH('Renovation Budget'!$F$19)-MONTH(Assumptions!$F$11)))+'Renovation Budget'!$G$19-1)),-'Renovation Budget'!$C$19/'Renovation Budget'!$G$19,0)</f>
        <v/>
      </c>
      <c r="BC89" s="228">
        <f>IF(AND(BC$11&gt;=(12*(YEAR('Renovation Budget'!$F$19)-YEAR(Assumptions!$F$11))+(MONTH('Renovation Budget'!$F$19)-MONTH(Assumptions!$F$11))),BC$11&lt;=((12*(YEAR('Renovation Budget'!$F$19)-YEAR(Assumptions!$F$11))+(MONTH('Renovation Budget'!$F$19)-MONTH(Assumptions!$F$11)))+'Renovation Budget'!$G$19-1)),-'Renovation Budget'!$C$19/'Renovation Budget'!$G$19,0)</f>
        <v/>
      </c>
      <c r="BD89" s="228">
        <f>IF(AND(BD$11&gt;=(12*(YEAR('Renovation Budget'!$F$19)-YEAR(Assumptions!$F$11))+(MONTH('Renovation Budget'!$F$19)-MONTH(Assumptions!$F$11))),BD$11&lt;=((12*(YEAR('Renovation Budget'!$F$19)-YEAR(Assumptions!$F$11))+(MONTH('Renovation Budget'!$F$19)-MONTH(Assumptions!$F$11)))+'Renovation Budget'!$G$19-1)),-'Renovation Budget'!$C$19/'Renovation Budget'!$G$19,0)</f>
        <v/>
      </c>
      <c r="BE89" s="228">
        <f>IF(AND(BE$11&gt;=(12*(YEAR('Renovation Budget'!$F$19)-YEAR(Assumptions!$F$11))+(MONTH('Renovation Budget'!$F$19)-MONTH(Assumptions!$F$11))),BE$11&lt;=((12*(YEAR('Renovation Budget'!$F$19)-YEAR(Assumptions!$F$11))+(MONTH('Renovation Budget'!$F$19)-MONTH(Assumptions!$F$11)))+'Renovation Budget'!$G$19-1)),-'Renovation Budget'!$C$19/'Renovation Budget'!$G$19,0)</f>
        <v/>
      </c>
      <c r="BF89" s="228">
        <f>IF(AND(BF$11&gt;=(12*(YEAR('Renovation Budget'!$F$19)-YEAR(Assumptions!$F$11))+(MONTH('Renovation Budget'!$F$19)-MONTH(Assumptions!$F$11))),BF$11&lt;=((12*(YEAR('Renovation Budget'!$F$19)-YEAR(Assumptions!$F$11))+(MONTH('Renovation Budget'!$F$19)-MONTH(Assumptions!$F$11)))+'Renovation Budget'!$G$19-1)),-'Renovation Budget'!$C$19/'Renovation Budget'!$G$19,0)</f>
        <v/>
      </c>
      <c r="BG89" s="228">
        <f>IF(AND(BG$11&gt;=(12*(YEAR('Renovation Budget'!$F$19)-YEAR(Assumptions!$F$11))+(MONTH('Renovation Budget'!$F$19)-MONTH(Assumptions!$F$11))),BG$11&lt;=((12*(YEAR('Renovation Budget'!$F$19)-YEAR(Assumptions!$F$11))+(MONTH('Renovation Budget'!$F$19)-MONTH(Assumptions!$F$11)))+'Renovation Budget'!$G$19-1)),-'Renovation Budget'!$C$19/'Renovation Budget'!$G$19,0)</f>
        <v/>
      </c>
      <c r="BH89" s="228">
        <f>IF(AND(BH$11&gt;=(12*(YEAR('Renovation Budget'!$F$19)-YEAR(Assumptions!$F$11))+(MONTH('Renovation Budget'!$F$19)-MONTH(Assumptions!$F$11))),BH$11&lt;=((12*(YEAR('Renovation Budget'!$F$19)-YEAR(Assumptions!$F$11))+(MONTH('Renovation Budget'!$F$19)-MONTH(Assumptions!$F$11)))+'Renovation Budget'!$G$19-1)),-'Renovation Budget'!$C$19/'Renovation Budget'!$G$19,0)</f>
        <v/>
      </c>
      <c r="BI89" s="228">
        <f>IF(AND(BI$11&gt;=(12*(YEAR('Renovation Budget'!$F$19)-YEAR(Assumptions!$F$11))+(MONTH('Renovation Budget'!$F$19)-MONTH(Assumptions!$F$11))),BI$11&lt;=((12*(YEAR('Renovation Budget'!$F$19)-YEAR(Assumptions!$F$11))+(MONTH('Renovation Budget'!$F$19)-MONTH(Assumptions!$F$11)))+'Renovation Budget'!$G$19-1)),-'Renovation Budget'!$C$19/'Renovation Budget'!$G$19,0)</f>
        <v/>
      </c>
      <c r="BJ89" s="228">
        <f>IF(AND(BJ$11&gt;=(12*(YEAR('Renovation Budget'!$F$19)-YEAR(Assumptions!$F$11))+(MONTH('Renovation Budget'!$F$19)-MONTH(Assumptions!$F$11))),BJ$11&lt;=((12*(YEAR('Renovation Budget'!$F$19)-YEAR(Assumptions!$F$11))+(MONTH('Renovation Budget'!$F$19)-MONTH(Assumptions!$F$11)))+'Renovation Budget'!$G$19-1)),-'Renovation Budget'!$C$19/'Renovation Budget'!$G$19,0)</f>
        <v/>
      </c>
      <c r="BK89" s="228">
        <f>IF(AND(BK$11&gt;=(12*(YEAR('Renovation Budget'!$F$19)-YEAR(Assumptions!$F$11))+(MONTH('Renovation Budget'!$F$19)-MONTH(Assumptions!$F$11))),BK$11&lt;=((12*(YEAR('Renovation Budget'!$F$19)-YEAR(Assumptions!$F$11))+(MONTH('Renovation Budget'!$F$19)-MONTH(Assumptions!$F$11)))+'Renovation Budget'!$G$19-1)),-'Renovation Budget'!$C$19/'Renovation Budget'!$G$19,0)</f>
        <v/>
      </c>
      <c r="BL89" s="228">
        <f>IF(AND(BL$11&gt;=(12*(YEAR('Renovation Budget'!$F$19)-YEAR(Assumptions!$F$11))+(MONTH('Renovation Budget'!$F$19)-MONTH(Assumptions!$F$11))),BL$11&lt;=((12*(YEAR('Renovation Budget'!$F$19)-YEAR(Assumptions!$F$11))+(MONTH('Renovation Budget'!$F$19)-MONTH(Assumptions!$F$11)))+'Renovation Budget'!$G$19-1)),-'Renovation Budget'!$C$19/'Renovation Budget'!$G$19,0)</f>
        <v/>
      </c>
      <c r="BM89" s="228">
        <f>IF(AND(BM$11&gt;=(12*(YEAR('Renovation Budget'!$F$19)-YEAR(Assumptions!$F$11))+(MONTH('Renovation Budget'!$F$19)-MONTH(Assumptions!$F$11))),BM$11&lt;=((12*(YEAR('Renovation Budget'!$F$19)-YEAR(Assumptions!$F$11))+(MONTH('Renovation Budget'!$F$19)-MONTH(Assumptions!$F$11)))+'Renovation Budget'!$G$19-1)),-'Renovation Budget'!$C$19/'Renovation Budget'!$G$19,0)</f>
        <v/>
      </c>
      <c r="BN89" s="228">
        <f>IF(AND(BN$11&gt;=(12*(YEAR('Renovation Budget'!$F$19)-YEAR(Assumptions!$F$11))+(MONTH('Renovation Budget'!$F$19)-MONTH(Assumptions!$F$11))),BN$11&lt;=((12*(YEAR('Renovation Budget'!$F$19)-YEAR(Assumptions!$F$11))+(MONTH('Renovation Budget'!$F$19)-MONTH(Assumptions!$F$11)))+'Renovation Budget'!$G$19-1)),-'Renovation Budget'!$C$19/'Renovation Budget'!$G$19,0)</f>
        <v/>
      </c>
      <c r="BO89" s="228">
        <f>IF(AND(BO$11&gt;=(12*(YEAR('Renovation Budget'!$F$19)-YEAR(Assumptions!$F$11))+(MONTH('Renovation Budget'!$F$19)-MONTH(Assumptions!$F$11))),BO$11&lt;=((12*(YEAR('Renovation Budget'!$F$19)-YEAR(Assumptions!$F$11))+(MONTH('Renovation Budget'!$F$19)-MONTH(Assumptions!$F$11)))+'Renovation Budget'!$G$19-1)),-'Renovation Budget'!$C$19/'Renovation Budget'!$G$19,0)</f>
        <v/>
      </c>
      <c r="BP89" s="228">
        <f>IF(AND(BP$11&gt;=(12*(YEAR('Renovation Budget'!$F$19)-YEAR(Assumptions!$F$11))+(MONTH('Renovation Budget'!$F$19)-MONTH(Assumptions!$F$11))),BP$11&lt;=((12*(YEAR('Renovation Budget'!$F$19)-YEAR(Assumptions!$F$11))+(MONTH('Renovation Budget'!$F$19)-MONTH(Assumptions!$F$11)))+'Renovation Budget'!$G$19-1)),-'Renovation Budget'!$C$19/'Renovation Budget'!$G$19,0)</f>
        <v/>
      </c>
      <c r="BQ89" s="228">
        <f>IF(AND(BQ$11&gt;=(12*(YEAR('Renovation Budget'!$F$19)-YEAR(Assumptions!$F$11))+(MONTH('Renovation Budget'!$F$19)-MONTH(Assumptions!$F$11))),BQ$11&lt;=((12*(YEAR('Renovation Budget'!$F$19)-YEAR(Assumptions!$F$11))+(MONTH('Renovation Budget'!$F$19)-MONTH(Assumptions!$F$11)))+'Renovation Budget'!$G$19-1)),-'Renovation Budget'!$C$19/'Renovation Budget'!$G$19,0)</f>
        <v/>
      </c>
      <c r="BR89" s="228">
        <f>IF(AND(BR$11&gt;=(12*(YEAR('Renovation Budget'!$F$19)-YEAR(Assumptions!$F$11))+(MONTH('Renovation Budget'!$F$19)-MONTH(Assumptions!$F$11))),BR$11&lt;=((12*(YEAR('Renovation Budget'!$F$19)-YEAR(Assumptions!$F$11))+(MONTH('Renovation Budget'!$F$19)-MONTH(Assumptions!$F$11)))+'Renovation Budget'!$G$19-1)),-'Renovation Budget'!$C$19/'Renovation Budget'!$G$19,0)</f>
        <v/>
      </c>
      <c r="BS89" s="228">
        <f>IF(AND(BS$11&gt;=(12*(YEAR('Renovation Budget'!$F$19)-YEAR(Assumptions!$F$11))+(MONTH('Renovation Budget'!$F$19)-MONTH(Assumptions!$F$11))),BS$11&lt;=((12*(YEAR('Renovation Budget'!$F$19)-YEAR(Assumptions!$F$11))+(MONTH('Renovation Budget'!$F$19)-MONTH(Assumptions!$F$11)))+'Renovation Budget'!$G$19-1)),-'Renovation Budget'!$C$19/'Renovation Budget'!$G$19,0)</f>
        <v/>
      </c>
      <c r="BT89" s="228">
        <f>IF(AND(BT$11&gt;=(12*(YEAR('Renovation Budget'!$F$19)-YEAR(Assumptions!$F$11))+(MONTH('Renovation Budget'!$F$19)-MONTH(Assumptions!$F$11))),BT$11&lt;=((12*(YEAR('Renovation Budget'!$F$19)-YEAR(Assumptions!$F$11))+(MONTH('Renovation Budget'!$F$19)-MONTH(Assumptions!$F$11)))+'Renovation Budget'!$G$19-1)),-'Renovation Budget'!$C$19/'Renovation Budget'!$G$19,0)</f>
        <v/>
      </c>
      <c r="BU89" s="228">
        <f>IF(AND(BU$11&gt;=(12*(YEAR('Renovation Budget'!$F$19)-YEAR(Assumptions!$F$11))+(MONTH('Renovation Budget'!$F$19)-MONTH(Assumptions!$F$11))),BU$11&lt;=((12*(YEAR('Renovation Budget'!$F$19)-YEAR(Assumptions!$F$11))+(MONTH('Renovation Budget'!$F$19)-MONTH(Assumptions!$F$11)))+'Renovation Budget'!$G$19-1)),-'Renovation Budget'!$C$19/'Renovation Budget'!$G$19,0)</f>
        <v/>
      </c>
      <c r="BV89" s="228">
        <f>IF(AND(BV$11&gt;=(12*(YEAR('Renovation Budget'!$F$19)-YEAR(Assumptions!$F$11))+(MONTH('Renovation Budget'!$F$19)-MONTH(Assumptions!$F$11))),BV$11&lt;=((12*(YEAR('Renovation Budget'!$F$19)-YEAR(Assumptions!$F$11))+(MONTH('Renovation Budget'!$F$19)-MONTH(Assumptions!$F$11)))+'Renovation Budget'!$G$19-1)),-'Renovation Budget'!$C$19/'Renovation Budget'!$G$19,0)</f>
        <v/>
      </c>
      <c r="BW89" s="228">
        <f>IF(AND(BW$11&gt;=(12*(YEAR('Renovation Budget'!$F$19)-YEAR(Assumptions!$F$11))+(MONTH('Renovation Budget'!$F$19)-MONTH(Assumptions!$F$11))),BW$11&lt;=((12*(YEAR('Renovation Budget'!$F$19)-YEAR(Assumptions!$F$11))+(MONTH('Renovation Budget'!$F$19)-MONTH(Assumptions!$F$11)))+'Renovation Budget'!$G$19-1)),-'Renovation Budget'!$C$19/'Renovation Budget'!$G$19,0)</f>
        <v/>
      </c>
      <c r="BX89" s="228">
        <f>IF(AND(BX$11&gt;=(12*(YEAR('Renovation Budget'!$F$19)-YEAR(Assumptions!$F$11))+(MONTH('Renovation Budget'!$F$19)-MONTH(Assumptions!$F$11))),BX$11&lt;=((12*(YEAR('Renovation Budget'!$F$19)-YEAR(Assumptions!$F$11))+(MONTH('Renovation Budget'!$F$19)-MONTH(Assumptions!$F$11)))+'Renovation Budget'!$G$19-1)),-'Renovation Budget'!$C$19/'Renovation Budget'!$G$19,0)</f>
        <v/>
      </c>
      <c r="BY89" s="228">
        <f>IF(AND(BY$11&gt;=(12*(YEAR('Renovation Budget'!$F$19)-YEAR(Assumptions!$F$11))+(MONTH('Renovation Budget'!$F$19)-MONTH(Assumptions!$F$11))),BY$11&lt;=((12*(YEAR('Renovation Budget'!$F$19)-YEAR(Assumptions!$F$11))+(MONTH('Renovation Budget'!$F$19)-MONTH(Assumptions!$F$11)))+'Renovation Budget'!$G$19-1)),-'Renovation Budget'!$C$19/'Renovation Budget'!$G$19,0)</f>
        <v/>
      </c>
      <c r="BZ89" s="228">
        <f>IF(AND(BZ$11&gt;=(12*(YEAR('Renovation Budget'!$F$19)-YEAR(Assumptions!$F$11))+(MONTH('Renovation Budget'!$F$19)-MONTH(Assumptions!$F$11))),BZ$11&lt;=((12*(YEAR('Renovation Budget'!$F$19)-YEAR(Assumptions!$F$11))+(MONTH('Renovation Budget'!$F$19)-MONTH(Assumptions!$F$11)))+'Renovation Budget'!$G$19-1)),-'Renovation Budget'!$C$19/'Renovation Budget'!$G$19,0)</f>
        <v/>
      </c>
      <c r="CA89" s="228">
        <f>IF(AND(CA$11&gt;=(12*(YEAR('Renovation Budget'!$F$19)-YEAR(Assumptions!$F$11))+(MONTH('Renovation Budget'!$F$19)-MONTH(Assumptions!$F$11))),CA$11&lt;=((12*(YEAR('Renovation Budget'!$F$19)-YEAR(Assumptions!$F$11))+(MONTH('Renovation Budget'!$F$19)-MONTH(Assumptions!$F$11)))+'Renovation Budget'!$G$19-1)),-'Renovation Budget'!$C$19/'Renovation Budget'!$G$19,0)</f>
        <v/>
      </c>
      <c r="CB89" s="228">
        <f>IF(AND(CB$11&gt;=(12*(YEAR('Renovation Budget'!$F$19)-YEAR(Assumptions!$F$11))+(MONTH('Renovation Budget'!$F$19)-MONTH(Assumptions!$F$11))),CB$11&lt;=((12*(YEAR('Renovation Budget'!$F$19)-YEAR(Assumptions!$F$11))+(MONTH('Renovation Budget'!$F$19)-MONTH(Assumptions!$F$11)))+'Renovation Budget'!$G$19-1)),-'Renovation Budget'!$C$19/'Renovation Budget'!$G$19,0)</f>
        <v/>
      </c>
      <c r="CC89" s="228">
        <f>IF(AND(CC$11&gt;=(12*(YEAR('Renovation Budget'!$F$19)-YEAR(Assumptions!$F$11))+(MONTH('Renovation Budget'!$F$19)-MONTH(Assumptions!$F$11))),CC$11&lt;=((12*(YEAR('Renovation Budget'!$F$19)-YEAR(Assumptions!$F$11))+(MONTH('Renovation Budget'!$F$19)-MONTH(Assumptions!$F$11)))+'Renovation Budget'!$G$19-1)),-'Renovation Budget'!$C$19/'Renovation Budget'!$G$19,0)</f>
        <v/>
      </c>
      <c r="CD89" s="228">
        <f>IF(AND(CD$11&gt;=(12*(YEAR('Renovation Budget'!$F$19)-YEAR(Assumptions!$F$11))+(MONTH('Renovation Budget'!$F$19)-MONTH(Assumptions!$F$11))),CD$11&lt;=((12*(YEAR('Renovation Budget'!$F$19)-YEAR(Assumptions!$F$11))+(MONTH('Renovation Budget'!$F$19)-MONTH(Assumptions!$F$11)))+'Renovation Budget'!$G$19-1)),-'Renovation Budget'!$C$19/'Renovation Budget'!$G$19,0)</f>
        <v/>
      </c>
      <c r="CE89" s="228">
        <f>IF(AND(CE$11&gt;=(12*(YEAR('Renovation Budget'!$F$19)-YEAR(Assumptions!$F$11))+(MONTH('Renovation Budget'!$F$19)-MONTH(Assumptions!$F$11))),CE$11&lt;=((12*(YEAR('Renovation Budget'!$F$19)-YEAR(Assumptions!$F$11))+(MONTH('Renovation Budget'!$F$19)-MONTH(Assumptions!$F$11)))+'Renovation Budget'!$G$19-1)),-'Renovation Budget'!$C$19/'Renovation Budget'!$G$19,0)</f>
        <v/>
      </c>
      <c r="CF89" s="228">
        <f>IF(AND(CF$11&gt;=(12*(YEAR('Renovation Budget'!$F$19)-YEAR(Assumptions!$F$11))+(MONTH('Renovation Budget'!$F$19)-MONTH(Assumptions!$F$11))),CF$11&lt;=((12*(YEAR('Renovation Budget'!$F$19)-YEAR(Assumptions!$F$11))+(MONTH('Renovation Budget'!$F$19)-MONTH(Assumptions!$F$11)))+'Renovation Budget'!$G$19-1)),-'Renovation Budget'!$C$19/'Renovation Budget'!$G$19,0)</f>
        <v/>
      </c>
      <c r="CG89" s="228">
        <f>IF(AND(CG$11&gt;=(12*(YEAR('Renovation Budget'!$F$19)-YEAR(Assumptions!$F$11))+(MONTH('Renovation Budget'!$F$19)-MONTH(Assumptions!$F$11))),CG$11&lt;=((12*(YEAR('Renovation Budget'!$F$19)-YEAR(Assumptions!$F$11))+(MONTH('Renovation Budget'!$F$19)-MONTH(Assumptions!$F$11)))+'Renovation Budget'!$G$19-1)),-'Renovation Budget'!$C$19/'Renovation Budget'!$G$19,0)</f>
        <v/>
      </c>
      <c r="CH89" s="228">
        <f>IF(AND(CH$11&gt;=(12*(YEAR('Renovation Budget'!$F$19)-YEAR(Assumptions!$F$11))+(MONTH('Renovation Budget'!$F$19)-MONTH(Assumptions!$F$11))),CH$11&lt;=((12*(YEAR('Renovation Budget'!$F$19)-YEAR(Assumptions!$F$11))+(MONTH('Renovation Budget'!$F$19)-MONTH(Assumptions!$F$11)))+'Renovation Budget'!$G$19-1)),-'Renovation Budget'!$C$19/'Renovation Budget'!$G$19,0)</f>
        <v/>
      </c>
      <c r="CI89" s="228">
        <f>IF(AND(CI$11&gt;=(12*(YEAR('Renovation Budget'!$F$19)-YEAR(Assumptions!$F$11))+(MONTH('Renovation Budget'!$F$19)-MONTH(Assumptions!$F$11))),CI$11&lt;=((12*(YEAR('Renovation Budget'!$F$19)-YEAR(Assumptions!$F$11))+(MONTH('Renovation Budget'!$F$19)-MONTH(Assumptions!$F$11)))+'Renovation Budget'!$G$19-1)),-'Renovation Budget'!$C$19/'Renovation Budget'!$G$19,0)</f>
        <v/>
      </c>
      <c r="CJ89" s="228">
        <f>IF(AND(CJ$11&gt;=(12*(YEAR('Renovation Budget'!$F$19)-YEAR(Assumptions!$F$11))+(MONTH('Renovation Budget'!$F$19)-MONTH(Assumptions!$F$11))),CJ$11&lt;=((12*(YEAR('Renovation Budget'!$F$19)-YEAR(Assumptions!$F$11))+(MONTH('Renovation Budget'!$F$19)-MONTH(Assumptions!$F$11)))+'Renovation Budget'!$G$19-1)),-'Renovation Budget'!$C$19/'Renovation Budget'!$G$19,0)</f>
        <v/>
      </c>
      <c r="CK89" s="228">
        <f>IF(AND(CK$11&gt;=(12*(YEAR('Renovation Budget'!$F$19)-YEAR(Assumptions!$F$11))+(MONTH('Renovation Budget'!$F$19)-MONTH(Assumptions!$F$11))),CK$11&lt;=((12*(YEAR('Renovation Budget'!$F$19)-YEAR(Assumptions!$F$11))+(MONTH('Renovation Budget'!$F$19)-MONTH(Assumptions!$F$11)))+'Renovation Budget'!$G$19-1)),-'Renovation Budget'!$C$19/'Renovation Budget'!$G$19,0)</f>
        <v/>
      </c>
      <c r="CL89" s="228">
        <f>IF(AND(CL$11&gt;=(12*(YEAR('Renovation Budget'!$F$19)-YEAR(Assumptions!$F$11))+(MONTH('Renovation Budget'!$F$19)-MONTH(Assumptions!$F$11))),CL$11&lt;=((12*(YEAR('Renovation Budget'!$F$19)-YEAR(Assumptions!$F$11))+(MONTH('Renovation Budget'!$F$19)-MONTH(Assumptions!$F$11)))+'Renovation Budget'!$G$19-1)),-'Renovation Budget'!$C$19/'Renovation Budget'!$G$19,0)</f>
        <v/>
      </c>
      <c r="CM89" s="228">
        <f>IF(AND(CM$11&gt;=(12*(YEAR('Renovation Budget'!$F$19)-YEAR(Assumptions!$F$11))+(MONTH('Renovation Budget'!$F$19)-MONTH(Assumptions!$F$11))),CM$11&lt;=((12*(YEAR('Renovation Budget'!$F$19)-YEAR(Assumptions!$F$11))+(MONTH('Renovation Budget'!$F$19)-MONTH(Assumptions!$F$11)))+'Renovation Budget'!$G$19-1)),-'Renovation Budget'!$C$19/'Renovation Budget'!$G$19,0)</f>
        <v/>
      </c>
      <c r="CN89" s="228">
        <f>IF(AND(CN$11&gt;=(12*(YEAR('Renovation Budget'!$F$19)-YEAR(Assumptions!$F$11))+(MONTH('Renovation Budget'!$F$19)-MONTH(Assumptions!$F$11))),CN$11&lt;=((12*(YEAR('Renovation Budget'!$F$19)-YEAR(Assumptions!$F$11))+(MONTH('Renovation Budget'!$F$19)-MONTH(Assumptions!$F$11)))+'Renovation Budget'!$G$19-1)),-'Renovation Budget'!$C$19/'Renovation Budget'!$G$19,0)</f>
        <v/>
      </c>
      <c r="CO89" s="228">
        <f>IF(AND(CO$11&gt;=(12*(YEAR('Renovation Budget'!$F$19)-YEAR(Assumptions!$F$11))+(MONTH('Renovation Budget'!$F$19)-MONTH(Assumptions!$F$11))),CO$11&lt;=((12*(YEAR('Renovation Budget'!$F$19)-YEAR(Assumptions!$F$11))+(MONTH('Renovation Budget'!$F$19)-MONTH(Assumptions!$F$11)))+'Renovation Budget'!$G$19-1)),-'Renovation Budget'!$C$19/'Renovation Budget'!$G$19,0)</f>
        <v/>
      </c>
      <c r="CP89" s="228">
        <f>IF(AND(CP$11&gt;=(12*(YEAR('Renovation Budget'!$F$19)-YEAR(Assumptions!$F$11))+(MONTH('Renovation Budget'!$F$19)-MONTH(Assumptions!$F$11))),CP$11&lt;=((12*(YEAR('Renovation Budget'!$F$19)-YEAR(Assumptions!$F$11))+(MONTH('Renovation Budget'!$F$19)-MONTH(Assumptions!$F$11)))+'Renovation Budget'!$G$19-1)),-'Renovation Budget'!$C$19/'Renovation Budget'!$G$19,0)</f>
        <v/>
      </c>
      <c r="CQ89" s="228">
        <f>IF(AND(CQ$11&gt;=(12*(YEAR('Renovation Budget'!$F$19)-YEAR(Assumptions!$F$11))+(MONTH('Renovation Budget'!$F$19)-MONTH(Assumptions!$F$11))),CQ$11&lt;=((12*(YEAR('Renovation Budget'!$F$19)-YEAR(Assumptions!$F$11))+(MONTH('Renovation Budget'!$F$19)-MONTH(Assumptions!$F$11)))+'Renovation Budget'!$G$19-1)),-'Renovation Budget'!$C$19/'Renovation Budget'!$G$19,0)</f>
        <v/>
      </c>
      <c r="CR89" s="228">
        <f>IF(AND(CR$11&gt;=(12*(YEAR('Renovation Budget'!$F$19)-YEAR(Assumptions!$F$11))+(MONTH('Renovation Budget'!$F$19)-MONTH(Assumptions!$F$11))),CR$11&lt;=((12*(YEAR('Renovation Budget'!$F$19)-YEAR(Assumptions!$F$11))+(MONTH('Renovation Budget'!$F$19)-MONTH(Assumptions!$F$11)))+'Renovation Budget'!$G$19-1)),-'Renovation Budget'!$C$19/'Renovation Budget'!$G$19,0)</f>
        <v/>
      </c>
      <c r="CS89" s="228">
        <f>IF(AND(CS$11&gt;=(12*(YEAR('Renovation Budget'!$F$19)-YEAR(Assumptions!$F$11))+(MONTH('Renovation Budget'!$F$19)-MONTH(Assumptions!$F$11))),CS$11&lt;=((12*(YEAR('Renovation Budget'!$F$19)-YEAR(Assumptions!$F$11))+(MONTH('Renovation Budget'!$F$19)-MONTH(Assumptions!$F$11)))+'Renovation Budget'!$G$19-1)),-'Renovation Budget'!$C$19/'Renovation Budget'!$G$19,0)</f>
        <v/>
      </c>
      <c r="CT89" s="228">
        <f>IF(AND(CT$11&gt;=(12*(YEAR('Renovation Budget'!$F$19)-YEAR(Assumptions!$F$11))+(MONTH('Renovation Budget'!$F$19)-MONTH(Assumptions!$F$11))),CT$11&lt;=((12*(YEAR('Renovation Budget'!$F$19)-YEAR(Assumptions!$F$11))+(MONTH('Renovation Budget'!$F$19)-MONTH(Assumptions!$F$11)))+'Renovation Budget'!$G$19-1)),-'Renovation Budget'!$C$19/'Renovation Budget'!$G$19,0)</f>
        <v/>
      </c>
      <c r="CU89" s="228">
        <f>IF(AND(CU$11&gt;=(12*(YEAR('Renovation Budget'!$F$19)-YEAR(Assumptions!$F$11))+(MONTH('Renovation Budget'!$F$19)-MONTH(Assumptions!$F$11))),CU$11&lt;=((12*(YEAR('Renovation Budget'!$F$19)-YEAR(Assumptions!$F$11))+(MONTH('Renovation Budget'!$F$19)-MONTH(Assumptions!$F$11)))+'Renovation Budget'!$G$19-1)),-'Renovation Budget'!$C$19/'Renovation Budget'!$G$19,0)</f>
        <v/>
      </c>
      <c r="CV89" s="228">
        <f>IF(AND(CV$11&gt;=(12*(YEAR('Renovation Budget'!$F$19)-YEAR(Assumptions!$F$11))+(MONTH('Renovation Budget'!$F$19)-MONTH(Assumptions!$F$11))),CV$11&lt;=((12*(YEAR('Renovation Budget'!$F$19)-YEAR(Assumptions!$F$11))+(MONTH('Renovation Budget'!$F$19)-MONTH(Assumptions!$F$11)))+'Renovation Budget'!$G$19-1)),-'Renovation Budget'!$C$19/'Renovation Budget'!$G$19,0)</f>
        <v/>
      </c>
      <c r="CW89" s="228">
        <f>IF(AND(CW$11&gt;=(12*(YEAR('Renovation Budget'!$F$19)-YEAR(Assumptions!$F$11))+(MONTH('Renovation Budget'!$F$19)-MONTH(Assumptions!$F$11))),CW$11&lt;=((12*(YEAR('Renovation Budget'!$F$19)-YEAR(Assumptions!$F$11))+(MONTH('Renovation Budget'!$F$19)-MONTH(Assumptions!$F$11)))+'Renovation Budget'!$G$19-1)),-'Renovation Budget'!$C$19/'Renovation Budget'!$G$19,0)</f>
        <v/>
      </c>
      <c r="CX89" s="228">
        <f>IF(AND(CX$11&gt;=(12*(YEAR('Renovation Budget'!$F$19)-YEAR(Assumptions!$F$11))+(MONTH('Renovation Budget'!$F$19)-MONTH(Assumptions!$F$11))),CX$11&lt;=((12*(YEAR('Renovation Budget'!$F$19)-YEAR(Assumptions!$F$11))+(MONTH('Renovation Budget'!$F$19)-MONTH(Assumptions!$F$11)))+'Renovation Budget'!$G$19-1)),-'Renovation Budget'!$C$19/'Renovation Budget'!$G$19,0)</f>
        <v/>
      </c>
      <c r="CY89" s="228">
        <f>IF(AND(CY$11&gt;=(12*(YEAR('Renovation Budget'!$F$19)-YEAR(Assumptions!$F$11))+(MONTH('Renovation Budget'!$F$19)-MONTH(Assumptions!$F$11))),CY$11&lt;=((12*(YEAR('Renovation Budget'!$F$19)-YEAR(Assumptions!$F$11))+(MONTH('Renovation Budget'!$F$19)-MONTH(Assumptions!$F$11)))+'Renovation Budget'!$G$19-1)),-'Renovation Budget'!$C$19/'Renovation Budget'!$G$19,0)</f>
        <v/>
      </c>
      <c r="CZ89" s="228">
        <f>IF(AND(CZ$11&gt;=(12*(YEAR('Renovation Budget'!$F$19)-YEAR(Assumptions!$F$11))+(MONTH('Renovation Budget'!$F$19)-MONTH(Assumptions!$F$11))),CZ$11&lt;=((12*(YEAR('Renovation Budget'!$F$19)-YEAR(Assumptions!$F$11))+(MONTH('Renovation Budget'!$F$19)-MONTH(Assumptions!$F$11)))+'Renovation Budget'!$G$19-1)),-'Renovation Budget'!$C$19/'Renovation Budget'!$G$19,0)</f>
        <v/>
      </c>
      <c r="DA89" s="228">
        <f>IF(AND(DA$11&gt;=(12*(YEAR('Renovation Budget'!$F$19)-YEAR(Assumptions!$F$11))+(MONTH('Renovation Budget'!$F$19)-MONTH(Assumptions!$F$11))),DA$11&lt;=((12*(YEAR('Renovation Budget'!$F$19)-YEAR(Assumptions!$F$11))+(MONTH('Renovation Budget'!$F$19)-MONTH(Assumptions!$F$11)))+'Renovation Budget'!$G$19-1)),-'Renovation Budget'!$C$19/'Renovation Budget'!$G$19,0)</f>
        <v/>
      </c>
      <c r="DB89" s="228">
        <f>IF(AND(DB$11&gt;=(12*(YEAR('Renovation Budget'!$F$19)-YEAR(Assumptions!$F$11))+(MONTH('Renovation Budget'!$F$19)-MONTH(Assumptions!$F$11))),DB$11&lt;=((12*(YEAR('Renovation Budget'!$F$19)-YEAR(Assumptions!$F$11))+(MONTH('Renovation Budget'!$F$19)-MONTH(Assumptions!$F$11)))+'Renovation Budget'!$G$19-1)),-'Renovation Budget'!$C$19/'Renovation Budget'!$G$19,0)</f>
        <v/>
      </c>
      <c r="DC89" s="228">
        <f>IF(AND(DC$11&gt;=(12*(YEAR('Renovation Budget'!$F$19)-YEAR(Assumptions!$F$11))+(MONTH('Renovation Budget'!$F$19)-MONTH(Assumptions!$F$11))),DC$11&lt;=((12*(YEAR('Renovation Budget'!$F$19)-YEAR(Assumptions!$F$11))+(MONTH('Renovation Budget'!$F$19)-MONTH(Assumptions!$F$11)))+'Renovation Budget'!$G$19-1)),-'Renovation Budget'!$C$19/'Renovation Budget'!$G$19,0)</f>
        <v/>
      </c>
      <c r="DD89" s="228">
        <f>IF(AND(DD$11&gt;=(12*(YEAR('Renovation Budget'!$F$19)-YEAR(Assumptions!$F$11))+(MONTH('Renovation Budget'!$F$19)-MONTH(Assumptions!$F$11))),DD$11&lt;=((12*(YEAR('Renovation Budget'!$F$19)-YEAR(Assumptions!$F$11))+(MONTH('Renovation Budget'!$F$19)-MONTH(Assumptions!$F$11)))+'Renovation Budget'!$G$19-1)),-'Renovation Budget'!$C$19/'Renovation Budget'!$G$19,0)</f>
        <v/>
      </c>
      <c r="DE89" s="228">
        <f>IF(AND(DE$11&gt;=(12*(YEAR('Renovation Budget'!$F$19)-YEAR(Assumptions!$F$11))+(MONTH('Renovation Budget'!$F$19)-MONTH(Assumptions!$F$11))),DE$11&lt;=((12*(YEAR('Renovation Budget'!$F$19)-YEAR(Assumptions!$F$11))+(MONTH('Renovation Budget'!$F$19)-MONTH(Assumptions!$F$11)))+'Renovation Budget'!$G$19-1)),-'Renovation Budget'!$C$19/'Renovation Budget'!$G$19,0)</f>
        <v/>
      </c>
      <c r="DF89" s="228">
        <f>IF(AND(DF$11&gt;=(12*(YEAR('Renovation Budget'!$F$19)-YEAR(Assumptions!$F$11))+(MONTH('Renovation Budget'!$F$19)-MONTH(Assumptions!$F$11))),DF$11&lt;=((12*(YEAR('Renovation Budget'!$F$19)-YEAR(Assumptions!$F$11))+(MONTH('Renovation Budget'!$F$19)-MONTH(Assumptions!$F$11)))+'Renovation Budget'!$G$19-1)),-'Renovation Budget'!$C$19/'Renovation Budget'!$G$19,0)</f>
        <v/>
      </c>
      <c r="DG89" s="228">
        <f>IF(AND(DG$11&gt;=(12*(YEAR('Renovation Budget'!$F$19)-YEAR(Assumptions!$F$11))+(MONTH('Renovation Budget'!$F$19)-MONTH(Assumptions!$F$11))),DG$11&lt;=((12*(YEAR('Renovation Budget'!$F$19)-YEAR(Assumptions!$F$11))+(MONTH('Renovation Budget'!$F$19)-MONTH(Assumptions!$F$11)))+'Renovation Budget'!$G$19-1)),-'Renovation Budget'!$C$19/'Renovation Budget'!$G$19,0)</f>
        <v/>
      </c>
      <c r="DH89" s="228">
        <f>IF(AND(DH$11&gt;=(12*(YEAR('Renovation Budget'!$F$19)-YEAR(Assumptions!$F$11))+(MONTH('Renovation Budget'!$F$19)-MONTH(Assumptions!$F$11))),DH$11&lt;=((12*(YEAR('Renovation Budget'!$F$19)-YEAR(Assumptions!$F$11))+(MONTH('Renovation Budget'!$F$19)-MONTH(Assumptions!$F$11)))+'Renovation Budget'!$G$19-1)),-'Renovation Budget'!$C$19/'Renovation Budget'!$G$19,0)</f>
        <v/>
      </c>
      <c r="DI89" s="228">
        <f>IF(AND(DI$11&gt;=(12*(YEAR('Renovation Budget'!$F$19)-YEAR(Assumptions!$F$11))+(MONTH('Renovation Budget'!$F$19)-MONTH(Assumptions!$F$11))),DI$11&lt;=((12*(YEAR('Renovation Budget'!$F$19)-YEAR(Assumptions!$F$11))+(MONTH('Renovation Budget'!$F$19)-MONTH(Assumptions!$F$11)))+'Renovation Budget'!$G$19-1)),-'Renovation Budget'!$C$19/'Renovation Budget'!$G$19,0)</f>
        <v/>
      </c>
      <c r="DJ89" s="228">
        <f>IF(AND(DJ$11&gt;=(12*(YEAR('Renovation Budget'!$F$19)-YEAR(Assumptions!$F$11))+(MONTH('Renovation Budget'!$F$19)-MONTH(Assumptions!$F$11))),DJ$11&lt;=((12*(YEAR('Renovation Budget'!$F$19)-YEAR(Assumptions!$F$11))+(MONTH('Renovation Budget'!$F$19)-MONTH(Assumptions!$F$11)))+'Renovation Budget'!$G$19-1)),-'Renovation Budget'!$C$19/'Renovation Budget'!$G$19,0)</f>
        <v/>
      </c>
      <c r="DK89" s="228">
        <f>IF(AND(DK$11&gt;=(12*(YEAR('Renovation Budget'!$F$19)-YEAR(Assumptions!$F$11))+(MONTH('Renovation Budget'!$F$19)-MONTH(Assumptions!$F$11))),DK$11&lt;=((12*(YEAR('Renovation Budget'!$F$19)-YEAR(Assumptions!$F$11))+(MONTH('Renovation Budget'!$F$19)-MONTH(Assumptions!$F$11)))+'Renovation Budget'!$G$19-1)),-'Renovation Budget'!$C$19/'Renovation Budget'!$G$19,0)</f>
        <v/>
      </c>
      <c r="DL89" s="228">
        <f>IF(AND(DL$11&gt;=(12*(YEAR('Renovation Budget'!$F$19)-YEAR(Assumptions!$F$11))+(MONTH('Renovation Budget'!$F$19)-MONTH(Assumptions!$F$11))),DL$11&lt;=((12*(YEAR('Renovation Budget'!$F$19)-YEAR(Assumptions!$F$11))+(MONTH('Renovation Budget'!$F$19)-MONTH(Assumptions!$F$11)))+'Renovation Budget'!$G$19-1)),-'Renovation Budget'!$C$19/'Renovation Budget'!$G$19,0)</f>
        <v/>
      </c>
      <c r="DM89" s="228">
        <f>IF(AND(DM$11&gt;=(12*(YEAR('Renovation Budget'!$F$19)-YEAR(Assumptions!$F$11))+(MONTH('Renovation Budget'!$F$19)-MONTH(Assumptions!$F$11))),DM$11&lt;=((12*(YEAR('Renovation Budget'!$F$19)-YEAR(Assumptions!$F$11))+(MONTH('Renovation Budget'!$F$19)-MONTH(Assumptions!$F$11)))+'Renovation Budget'!$G$19-1)),-'Renovation Budget'!$C$19/'Renovation Budget'!$G$19,0)</f>
        <v/>
      </c>
      <c r="DN89" s="228">
        <f>IF(AND(DN$11&gt;=(12*(YEAR('Renovation Budget'!$F$19)-YEAR(Assumptions!$F$11))+(MONTH('Renovation Budget'!$F$19)-MONTH(Assumptions!$F$11))),DN$11&lt;=((12*(YEAR('Renovation Budget'!$F$19)-YEAR(Assumptions!$F$11))+(MONTH('Renovation Budget'!$F$19)-MONTH(Assumptions!$F$11)))+'Renovation Budget'!$G$19-1)),-'Renovation Budget'!$C$19/'Renovation Budget'!$G$19,0)</f>
        <v/>
      </c>
      <c r="DO89" s="228">
        <f>IF(AND(DO$11&gt;=(12*(YEAR('Renovation Budget'!$F$19)-YEAR(Assumptions!$F$11))+(MONTH('Renovation Budget'!$F$19)-MONTH(Assumptions!$F$11))),DO$11&lt;=((12*(YEAR('Renovation Budget'!$F$19)-YEAR(Assumptions!$F$11))+(MONTH('Renovation Budget'!$F$19)-MONTH(Assumptions!$F$11)))+'Renovation Budget'!$G$19-1)),-'Renovation Budget'!$C$19/'Renovation Budget'!$G$19,0)</f>
        <v/>
      </c>
      <c r="DP89" s="228">
        <f>IF(AND(DP$11&gt;=(12*(YEAR('Renovation Budget'!$F$19)-YEAR(Assumptions!$F$11))+(MONTH('Renovation Budget'!$F$19)-MONTH(Assumptions!$F$11))),DP$11&lt;=((12*(YEAR('Renovation Budget'!$F$19)-YEAR(Assumptions!$F$11))+(MONTH('Renovation Budget'!$F$19)-MONTH(Assumptions!$F$11)))+'Renovation Budget'!$G$19-1)),-'Renovation Budget'!$C$19/'Renovation Budget'!$G$19,0)</f>
        <v/>
      </c>
      <c r="DQ89" s="228">
        <f>IF(AND(DQ$11&gt;=(12*(YEAR('Renovation Budget'!$F$19)-YEAR(Assumptions!$F$11))+(MONTH('Renovation Budget'!$F$19)-MONTH(Assumptions!$F$11))),DQ$11&lt;=((12*(YEAR('Renovation Budget'!$F$19)-YEAR(Assumptions!$F$11))+(MONTH('Renovation Budget'!$F$19)-MONTH(Assumptions!$F$11)))+'Renovation Budget'!$G$19-1)),-'Renovation Budget'!$C$19/'Renovation Budget'!$G$19,0)</f>
        <v/>
      </c>
      <c r="DR89" s="228">
        <f>IF(AND(DR$11&gt;=(12*(YEAR('Renovation Budget'!$F$19)-YEAR(Assumptions!$F$11))+(MONTH('Renovation Budget'!$F$19)-MONTH(Assumptions!$F$11))),DR$11&lt;=((12*(YEAR('Renovation Budget'!$F$19)-YEAR(Assumptions!$F$11))+(MONTH('Renovation Budget'!$F$19)-MONTH(Assumptions!$F$11)))+'Renovation Budget'!$G$19-1)),-'Renovation Budget'!$C$19/'Renovation Budget'!$G$19,0)</f>
        <v/>
      </c>
      <c r="DS89" s="228">
        <f>IF(AND(DS$11&gt;=(12*(YEAR('Renovation Budget'!$F$19)-YEAR(Assumptions!$F$11))+(MONTH('Renovation Budget'!$F$19)-MONTH(Assumptions!$F$11))),DS$11&lt;=((12*(YEAR('Renovation Budget'!$F$19)-YEAR(Assumptions!$F$11))+(MONTH('Renovation Budget'!$F$19)-MONTH(Assumptions!$F$11)))+'Renovation Budget'!$G$19-1)),-'Renovation Budget'!$C$19/'Renovation Budget'!$G$19,0)</f>
        <v/>
      </c>
      <c r="DT89" s="228">
        <f>IF(AND(DT$11&gt;=(12*(YEAR('Renovation Budget'!$F$19)-YEAR(Assumptions!$F$11))+(MONTH('Renovation Budget'!$F$19)-MONTH(Assumptions!$F$11))),DT$11&lt;=((12*(YEAR('Renovation Budget'!$F$19)-YEAR(Assumptions!$F$11))+(MONTH('Renovation Budget'!$F$19)-MONTH(Assumptions!$F$11)))+'Renovation Budget'!$G$19-1)),-'Renovation Budget'!$C$19/'Renovation Budget'!$G$19,0)</f>
        <v/>
      </c>
    </row>
    <row r="90" ht="15" customHeight="1" s="148">
      <c r="A90" s="112" t="inlineStr">
        <is>
          <t>Furnishings</t>
        </is>
      </c>
      <c r="C90" s="228">
        <f>SUM(D90:DT90)</f>
        <v/>
      </c>
      <c r="D90" s="228">
        <f>IF(AND(D$11&gt;=(12*(YEAR('Renovation Budget'!$F$20)-YEAR(Assumptions!$F$11))+(MONTH('Renovation Budget'!$F$20)-MONTH(Assumptions!$F$11))),D$11&lt;=((12*(YEAR('Renovation Budget'!$F$20)-YEAR(Assumptions!$F$11))+(MONTH('Renovation Budget'!$F$20)-MONTH(Assumptions!$F$11)))+'Renovation Budget'!$G$20-1)),-'Renovation Budget'!$C$20/'Renovation Budget'!$G$20,0)</f>
        <v/>
      </c>
      <c r="E90" s="228">
        <f>IF(AND(E$11&gt;=(12*(YEAR('Renovation Budget'!$F$20)-YEAR(Assumptions!$F$11))+(MONTH('Renovation Budget'!$F$20)-MONTH(Assumptions!$F$11))),E$11&lt;=((12*(YEAR('Renovation Budget'!$F$20)-YEAR(Assumptions!$F$11))+(MONTH('Renovation Budget'!$F$20)-MONTH(Assumptions!$F$11)))+'Renovation Budget'!$G$20-1)),-'Renovation Budget'!$C$20/'Renovation Budget'!$G$20,0)</f>
        <v/>
      </c>
      <c r="F90" s="228">
        <f>IF(AND(F$11&gt;=(12*(YEAR('Renovation Budget'!$F$20)-YEAR(Assumptions!$F$11))+(MONTH('Renovation Budget'!$F$20)-MONTH(Assumptions!$F$11))),F$11&lt;=((12*(YEAR('Renovation Budget'!$F$20)-YEAR(Assumptions!$F$11))+(MONTH('Renovation Budget'!$F$20)-MONTH(Assumptions!$F$11)))+'Renovation Budget'!$G$20-1)),-'Renovation Budget'!$C$20/'Renovation Budget'!$G$20,0)</f>
        <v/>
      </c>
      <c r="G90" s="228">
        <f>IF(AND(G$11&gt;=(12*(YEAR('Renovation Budget'!$F$20)-YEAR(Assumptions!$F$11))+(MONTH('Renovation Budget'!$F$20)-MONTH(Assumptions!$F$11))),G$11&lt;=((12*(YEAR('Renovation Budget'!$F$20)-YEAR(Assumptions!$F$11))+(MONTH('Renovation Budget'!$F$20)-MONTH(Assumptions!$F$11)))+'Renovation Budget'!$G$20-1)),-'Renovation Budget'!$C$20/'Renovation Budget'!$G$20,0)</f>
        <v/>
      </c>
      <c r="H90" s="228">
        <f>IF(AND(H$11&gt;=(12*(YEAR('Renovation Budget'!$F$20)-YEAR(Assumptions!$F$11))+(MONTH('Renovation Budget'!$F$20)-MONTH(Assumptions!$F$11))),H$11&lt;=((12*(YEAR('Renovation Budget'!$F$20)-YEAR(Assumptions!$F$11))+(MONTH('Renovation Budget'!$F$20)-MONTH(Assumptions!$F$11)))+'Renovation Budget'!$G$20-1)),-'Renovation Budget'!$C$20/'Renovation Budget'!$G$20,0)</f>
        <v/>
      </c>
      <c r="I90" s="228">
        <f>IF(AND(I$11&gt;=(12*(YEAR('Renovation Budget'!$F$20)-YEAR(Assumptions!$F$11))+(MONTH('Renovation Budget'!$F$20)-MONTH(Assumptions!$F$11))),I$11&lt;=((12*(YEAR('Renovation Budget'!$F$20)-YEAR(Assumptions!$F$11))+(MONTH('Renovation Budget'!$F$20)-MONTH(Assumptions!$F$11)))+'Renovation Budget'!$G$20-1)),-'Renovation Budget'!$C$20/'Renovation Budget'!$G$20,0)</f>
        <v/>
      </c>
      <c r="J90" s="228">
        <f>IF(AND(J$11&gt;=(12*(YEAR('Renovation Budget'!$F$20)-YEAR(Assumptions!$F$11))+(MONTH('Renovation Budget'!$F$20)-MONTH(Assumptions!$F$11))),J$11&lt;=((12*(YEAR('Renovation Budget'!$F$20)-YEAR(Assumptions!$F$11))+(MONTH('Renovation Budget'!$F$20)-MONTH(Assumptions!$F$11)))+'Renovation Budget'!$G$20-1)),-'Renovation Budget'!$C$20/'Renovation Budget'!$G$20,0)</f>
        <v/>
      </c>
      <c r="K90" s="228">
        <f>IF(AND(K$11&gt;=(12*(YEAR('Renovation Budget'!$F$20)-YEAR(Assumptions!$F$11))+(MONTH('Renovation Budget'!$F$20)-MONTH(Assumptions!$F$11))),K$11&lt;=((12*(YEAR('Renovation Budget'!$F$20)-YEAR(Assumptions!$F$11))+(MONTH('Renovation Budget'!$F$20)-MONTH(Assumptions!$F$11)))+'Renovation Budget'!$G$20-1)),-'Renovation Budget'!$C$20/'Renovation Budget'!$G$20,0)</f>
        <v/>
      </c>
      <c r="L90" s="228">
        <f>IF(AND(L$11&gt;=(12*(YEAR('Renovation Budget'!$F$20)-YEAR(Assumptions!$F$11))+(MONTH('Renovation Budget'!$F$20)-MONTH(Assumptions!$F$11))),L$11&lt;=((12*(YEAR('Renovation Budget'!$F$20)-YEAR(Assumptions!$F$11))+(MONTH('Renovation Budget'!$F$20)-MONTH(Assumptions!$F$11)))+'Renovation Budget'!$G$20-1)),-'Renovation Budget'!$C$20/'Renovation Budget'!$G$20,0)</f>
        <v/>
      </c>
      <c r="M90" s="228">
        <f>IF(AND(M$11&gt;=(12*(YEAR('Renovation Budget'!$F$20)-YEAR(Assumptions!$F$11))+(MONTH('Renovation Budget'!$F$20)-MONTH(Assumptions!$F$11))),M$11&lt;=((12*(YEAR('Renovation Budget'!$F$20)-YEAR(Assumptions!$F$11))+(MONTH('Renovation Budget'!$F$20)-MONTH(Assumptions!$F$11)))+'Renovation Budget'!$G$20-1)),-'Renovation Budget'!$C$20/'Renovation Budget'!$G$20,0)</f>
        <v/>
      </c>
      <c r="N90" s="228">
        <f>IF(AND(N$11&gt;=(12*(YEAR('Renovation Budget'!$F$20)-YEAR(Assumptions!$F$11))+(MONTH('Renovation Budget'!$F$20)-MONTH(Assumptions!$F$11))),N$11&lt;=((12*(YEAR('Renovation Budget'!$F$20)-YEAR(Assumptions!$F$11))+(MONTH('Renovation Budget'!$F$20)-MONTH(Assumptions!$F$11)))+'Renovation Budget'!$G$20-1)),-'Renovation Budget'!$C$20/'Renovation Budget'!$G$20,0)</f>
        <v/>
      </c>
      <c r="O90" s="228">
        <f>IF(AND(O$11&gt;=(12*(YEAR('Renovation Budget'!$F$20)-YEAR(Assumptions!$F$11))+(MONTH('Renovation Budget'!$F$20)-MONTH(Assumptions!$F$11))),O$11&lt;=((12*(YEAR('Renovation Budget'!$F$20)-YEAR(Assumptions!$F$11))+(MONTH('Renovation Budget'!$F$20)-MONTH(Assumptions!$F$11)))+'Renovation Budget'!$G$20-1)),-'Renovation Budget'!$C$20/'Renovation Budget'!$G$20,0)</f>
        <v/>
      </c>
      <c r="P90" s="228">
        <f>IF(AND(P$11&gt;=(12*(YEAR('Renovation Budget'!$F$20)-YEAR(Assumptions!$F$11))+(MONTH('Renovation Budget'!$F$20)-MONTH(Assumptions!$F$11))),P$11&lt;=((12*(YEAR('Renovation Budget'!$F$20)-YEAR(Assumptions!$F$11))+(MONTH('Renovation Budget'!$F$20)-MONTH(Assumptions!$F$11)))+'Renovation Budget'!$G$20-1)),-'Renovation Budget'!$C$20/'Renovation Budget'!$G$20,0)</f>
        <v/>
      </c>
      <c r="Q90" s="228">
        <f>IF(AND(Q$11&gt;=(12*(YEAR('Renovation Budget'!$F$20)-YEAR(Assumptions!$F$11))+(MONTH('Renovation Budget'!$F$20)-MONTH(Assumptions!$F$11))),Q$11&lt;=((12*(YEAR('Renovation Budget'!$F$20)-YEAR(Assumptions!$F$11))+(MONTH('Renovation Budget'!$F$20)-MONTH(Assumptions!$F$11)))+'Renovation Budget'!$G$20-1)),-'Renovation Budget'!$C$20/'Renovation Budget'!$G$20,0)</f>
        <v/>
      </c>
      <c r="R90" s="228">
        <f>IF(AND(R$11&gt;=(12*(YEAR('Renovation Budget'!$F$20)-YEAR(Assumptions!$F$11))+(MONTH('Renovation Budget'!$F$20)-MONTH(Assumptions!$F$11))),R$11&lt;=((12*(YEAR('Renovation Budget'!$F$20)-YEAR(Assumptions!$F$11))+(MONTH('Renovation Budget'!$F$20)-MONTH(Assumptions!$F$11)))+'Renovation Budget'!$G$20-1)),-'Renovation Budget'!$C$20/'Renovation Budget'!$G$20,0)</f>
        <v/>
      </c>
      <c r="S90" s="228">
        <f>IF(AND(S$11&gt;=(12*(YEAR('Renovation Budget'!$F$20)-YEAR(Assumptions!$F$11))+(MONTH('Renovation Budget'!$F$20)-MONTH(Assumptions!$F$11))),S$11&lt;=((12*(YEAR('Renovation Budget'!$F$20)-YEAR(Assumptions!$F$11))+(MONTH('Renovation Budget'!$F$20)-MONTH(Assumptions!$F$11)))+'Renovation Budget'!$G$20-1)),-'Renovation Budget'!$C$20/'Renovation Budget'!$G$20,0)</f>
        <v/>
      </c>
      <c r="T90" s="228">
        <f>IF(AND(T$11&gt;=(12*(YEAR('Renovation Budget'!$F$20)-YEAR(Assumptions!$F$11))+(MONTH('Renovation Budget'!$F$20)-MONTH(Assumptions!$F$11))),T$11&lt;=((12*(YEAR('Renovation Budget'!$F$20)-YEAR(Assumptions!$F$11))+(MONTH('Renovation Budget'!$F$20)-MONTH(Assumptions!$F$11)))+'Renovation Budget'!$G$20-1)),-'Renovation Budget'!$C$20/'Renovation Budget'!$G$20,0)</f>
        <v/>
      </c>
      <c r="U90" s="228">
        <f>IF(AND(U$11&gt;=(12*(YEAR('Renovation Budget'!$F$20)-YEAR(Assumptions!$F$11))+(MONTH('Renovation Budget'!$F$20)-MONTH(Assumptions!$F$11))),U$11&lt;=((12*(YEAR('Renovation Budget'!$F$20)-YEAR(Assumptions!$F$11))+(MONTH('Renovation Budget'!$F$20)-MONTH(Assumptions!$F$11)))+'Renovation Budget'!$G$20-1)),-'Renovation Budget'!$C$20/'Renovation Budget'!$G$20,0)</f>
        <v/>
      </c>
      <c r="V90" s="228">
        <f>IF(AND(V$11&gt;=(12*(YEAR('Renovation Budget'!$F$20)-YEAR(Assumptions!$F$11))+(MONTH('Renovation Budget'!$F$20)-MONTH(Assumptions!$F$11))),V$11&lt;=((12*(YEAR('Renovation Budget'!$F$20)-YEAR(Assumptions!$F$11))+(MONTH('Renovation Budget'!$F$20)-MONTH(Assumptions!$F$11)))+'Renovation Budget'!$G$20-1)),-'Renovation Budget'!$C$20/'Renovation Budget'!$G$20,0)</f>
        <v/>
      </c>
      <c r="W90" s="228">
        <f>IF(AND(W$11&gt;=(12*(YEAR('Renovation Budget'!$F$20)-YEAR(Assumptions!$F$11))+(MONTH('Renovation Budget'!$F$20)-MONTH(Assumptions!$F$11))),W$11&lt;=((12*(YEAR('Renovation Budget'!$F$20)-YEAR(Assumptions!$F$11))+(MONTH('Renovation Budget'!$F$20)-MONTH(Assumptions!$F$11)))+'Renovation Budget'!$G$20-1)),-'Renovation Budget'!$C$20/'Renovation Budget'!$G$20,0)</f>
        <v/>
      </c>
      <c r="X90" s="228">
        <f>IF(AND(X$11&gt;=(12*(YEAR('Renovation Budget'!$F$20)-YEAR(Assumptions!$F$11))+(MONTH('Renovation Budget'!$F$20)-MONTH(Assumptions!$F$11))),X$11&lt;=((12*(YEAR('Renovation Budget'!$F$20)-YEAR(Assumptions!$F$11))+(MONTH('Renovation Budget'!$F$20)-MONTH(Assumptions!$F$11)))+'Renovation Budget'!$G$20-1)),-'Renovation Budget'!$C$20/'Renovation Budget'!$G$20,0)</f>
        <v/>
      </c>
      <c r="Y90" s="228">
        <f>IF(AND(Y$11&gt;=(12*(YEAR('Renovation Budget'!$F$20)-YEAR(Assumptions!$F$11))+(MONTH('Renovation Budget'!$F$20)-MONTH(Assumptions!$F$11))),Y$11&lt;=((12*(YEAR('Renovation Budget'!$F$20)-YEAR(Assumptions!$F$11))+(MONTH('Renovation Budget'!$F$20)-MONTH(Assumptions!$F$11)))+'Renovation Budget'!$G$20-1)),-'Renovation Budget'!$C$20/'Renovation Budget'!$G$20,0)</f>
        <v/>
      </c>
      <c r="Z90" s="228">
        <f>IF(AND(Z$11&gt;=(12*(YEAR('Renovation Budget'!$F$20)-YEAR(Assumptions!$F$11))+(MONTH('Renovation Budget'!$F$20)-MONTH(Assumptions!$F$11))),Z$11&lt;=((12*(YEAR('Renovation Budget'!$F$20)-YEAR(Assumptions!$F$11))+(MONTH('Renovation Budget'!$F$20)-MONTH(Assumptions!$F$11)))+'Renovation Budget'!$G$20-1)),-'Renovation Budget'!$C$20/'Renovation Budget'!$G$20,0)</f>
        <v/>
      </c>
      <c r="AA90" s="228">
        <f>IF(AND(AA$11&gt;=(12*(YEAR('Renovation Budget'!$F$20)-YEAR(Assumptions!$F$11))+(MONTH('Renovation Budget'!$F$20)-MONTH(Assumptions!$F$11))),AA$11&lt;=((12*(YEAR('Renovation Budget'!$F$20)-YEAR(Assumptions!$F$11))+(MONTH('Renovation Budget'!$F$20)-MONTH(Assumptions!$F$11)))+'Renovation Budget'!$G$20-1)),-'Renovation Budget'!$C$20/'Renovation Budget'!$G$20,0)</f>
        <v/>
      </c>
      <c r="AB90" s="228">
        <f>IF(AND(AB$11&gt;=(12*(YEAR('Renovation Budget'!$F$20)-YEAR(Assumptions!$F$11))+(MONTH('Renovation Budget'!$F$20)-MONTH(Assumptions!$F$11))),AB$11&lt;=((12*(YEAR('Renovation Budget'!$F$20)-YEAR(Assumptions!$F$11))+(MONTH('Renovation Budget'!$F$20)-MONTH(Assumptions!$F$11)))+'Renovation Budget'!$G$20-1)),-'Renovation Budget'!$C$20/'Renovation Budget'!$G$20,0)</f>
        <v/>
      </c>
      <c r="AC90" s="228">
        <f>IF(AND(AC$11&gt;=(12*(YEAR('Renovation Budget'!$F$20)-YEAR(Assumptions!$F$11))+(MONTH('Renovation Budget'!$F$20)-MONTH(Assumptions!$F$11))),AC$11&lt;=((12*(YEAR('Renovation Budget'!$F$20)-YEAR(Assumptions!$F$11))+(MONTH('Renovation Budget'!$F$20)-MONTH(Assumptions!$F$11)))+'Renovation Budget'!$G$20-1)),-'Renovation Budget'!$C$20/'Renovation Budget'!$G$20,0)</f>
        <v/>
      </c>
      <c r="AD90" s="228">
        <f>IF(AND(AD$11&gt;=(12*(YEAR('Renovation Budget'!$F$20)-YEAR(Assumptions!$F$11))+(MONTH('Renovation Budget'!$F$20)-MONTH(Assumptions!$F$11))),AD$11&lt;=((12*(YEAR('Renovation Budget'!$F$20)-YEAR(Assumptions!$F$11))+(MONTH('Renovation Budget'!$F$20)-MONTH(Assumptions!$F$11)))+'Renovation Budget'!$G$20-1)),-'Renovation Budget'!$C$20/'Renovation Budget'!$G$20,0)</f>
        <v/>
      </c>
      <c r="AE90" s="228">
        <f>IF(AND(AE$11&gt;=(12*(YEAR('Renovation Budget'!$F$20)-YEAR(Assumptions!$F$11))+(MONTH('Renovation Budget'!$F$20)-MONTH(Assumptions!$F$11))),AE$11&lt;=((12*(YEAR('Renovation Budget'!$F$20)-YEAR(Assumptions!$F$11))+(MONTH('Renovation Budget'!$F$20)-MONTH(Assumptions!$F$11)))+'Renovation Budget'!$G$20-1)),-'Renovation Budget'!$C$20/'Renovation Budget'!$G$20,0)</f>
        <v/>
      </c>
      <c r="AF90" s="228">
        <f>IF(AND(AF$11&gt;=(12*(YEAR('Renovation Budget'!$F$20)-YEAR(Assumptions!$F$11))+(MONTH('Renovation Budget'!$F$20)-MONTH(Assumptions!$F$11))),AF$11&lt;=((12*(YEAR('Renovation Budget'!$F$20)-YEAR(Assumptions!$F$11))+(MONTH('Renovation Budget'!$F$20)-MONTH(Assumptions!$F$11)))+'Renovation Budget'!$G$20-1)),-'Renovation Budget'!$C$20/'Renovation Budget'!$G$20,0)</f>
        <v/>
      </c>
      <c r="AG90" s="228">
        <f>IF(AND(AG$11&gt;=(12*(YEAR('Renovation Budget'!$F$20)-YEAR(Assumptions!$F$11))+(MONTH('Renovation Budget'!$F$20)-MONTH(Assumptions!$F$11))),AG$11&lt;=((12*(YEAR('Renovation Budget'!$F$20)-YEAR(Assumptions!$F$11))+(MONTH('Renovation Budget'!$F$20)-MONTH(Assumptions!$F$11)))+'Renovation Budget'!$G$20-1)),-'Renovation Budget'!$C$20/'Renovation Budget'!$G$20,0)</f>
        <v/>
      </c>
      <c r="AH90" s="228">
        <f>IF(AND(AH$11&gt;=(12*(YEAR('Renovation Budget'!$F$20)-YEAR(Assumptions!$F$11))+(MONTH('Renovation Budget'!$F$20)-MONTH(Assumptions!$F$11))),AH$11&lt;=((12*(YEAR('Renovation Budget'!$F$20)-YEAR(Assumptions!$F$11))+(MONTH('Renovation Budget'!$F$20)-MONTH(Assumptions!$F$11)))+'Renovation Budget'!$G$20-1)),-'Renovation Budget'!$C$20/'Renovation Budget'!$G$20,0)</f>
        <v/>
      </c>
      <c r="AI90" s="228">
        <f>IF(AND(AI$11&gt;=(12*(YEAR('Renovation Budget'!$F$20)-YEAR(Assumptions!$F$11))+(MONTH('Renovation Budget'!$F$20)-MONTH(Assumptions!$F$11))),AI$11&lt;=((12*(YEAR('Renovation Budget'!$F$20)-YEAR(Assumptions!$F$11))+(MONTH('Renovation Budget'!$F$20)-MONTH(Assumptions!$F$11)))+'Renovation Budget'!$G$20-1)),-'Renovation Budget'!$C$20/'Renovation Budget'!$G$20,0)</f>
        <v/>
      </c>
      <c r="AJ90" s="228">
        <f>IF(AND(AJ$11&gt;=(12*(YEAR('Renovation Budget'!$F$20)-YEAR(Assumptions!$F$11))+(MONTH('Renovation Budget'!$F$20)-MONTH(Assumptions!$F$11))),AJ$11&lt;=((12*(YEAR('Renovation Budget'!$F$20)-YEAR(Assumptions!$F$11))+(MONTH('Renovation Budget'!$F$20)-MONTH(Assumptions!$F$11)))+'Renovation Budget'!$G$20-1)),-'Renovation Budget'!$C$20/'Renovation Budget'!$G$20,0)</f>
        <v/>
      </c>
      <c r="AK90" s="228">
        <f>IF(AND(AK$11&gt;=(12*(YEAR('Renovation Budget'!$F$20)-YEAR(Assumptions!$F$11))+(MONTH('Renovation Budget'!$F$20)-MONTH(Assumptions!$F$11))),AK$11&lt;=((12*(YEAR('Renovation Budget'!$F$20)-YEAR(Assumptions!$F$11))+(MONTH('Renovation Budget'!$F$20)-MONTH(Assumptions!$F$11)))+'Renovation Budget'!$G$20-1)),-'Renovation Budget'!$C$20/'Renovation Budget'!$G$20,0)</f>
        <v/>
      </c>
      <c r="AL90" s="228">
        <f>IF(AND(AL$11&gt;=(12*(YEAR('Renovation Budget'!$F$20)-YEAR(Assumptions!$F$11))+(MONTH('Renovation Budget'!$F$20)-MONTH(Assumptions!$F$11))),AL$11&lt;=((12*(YEAR('Renovation Budget'!$F$20)-YEAR(Assumptions!$F$11))+(MONTH('Renovation Budget'!$F$20)-MONTH(Assumptions!$F$11)))+'Renovation Budget'!$G$20-1)),-'Renovation Budget'!$C$20/'Renovation Budget'!$G$20,0)</f>
        <v/>
      </c>
      <c r="AM90" s="228">
        <f>IF(AND(AM$11&gt;=(12*(YEAR('Renovation Budget'!$F$20)-YEAR(Assumptions!$F$11))+(MONTH('Renovation Budget'!$F$20)-MONTH(Assumptions!$F$11))),AM$11&lt;=((12*(YEAR('Renovation Budget'!$F$20)-YEAR(Assumptions!$F$11))+(MONTH('Renovation Budget'!$F$20)-MONTH(Assumptions!$F$11)))+'Renovation Budget'!$G$20-1)),-'Renovation Budget'!$C$20/'Renovation Budget'!$G$20,0)</f>
        <v/>
      </c>
      <c r="AN90" s="228">
        <f>IF(AND(AN$11&gt;=(12*(YEAR('Renovation Budget'!$F$20)-YEAR(Assumptions!$F$11))+(MONTH('Renovation Budget'!$F$20)-MONTH(Assumptions!$F$11))),AN$11&lt;=((12*(YEAR('Renovation Budget'!$F$20)-YEAR(Assumptions!$F$11))+(MONTH('Renovation Budget'!$F$20)-MONTH(Assumptions!$F$11)))+'Renovation Budget'!$G$20-1)),-'Renovation Budget'!$C$20/'Renovation Budget'!$G$20,0)</f>
        <v/>
      </c>
      <c r="AO90" s="228">
        <f>IF(AND(AO$11&gt;=(12*(YEAR('Renovation Budget'!$F$20)-YEAR(Assumptions!$F$11))+(MONTH('Renovation Budget'!$F$20)-MONTH(Assumptions!$F$11))),AO$11&lt;=((12*(YEAR('Renovation Budget'!$F$20)-YEAR(Assumptions!$F$11))+(MONTH('Renovation Budget'!$F$20)-MONTH(Assumptions!$F$11)))+'Renovation Budget'!$G$20-1)),-'Renovation Budget'!$C$20/'Renovation Budget'!$G$20,0)</f>
        <v/>
      </c>
      <c r="AP90" s="228">
        <f>IF(AND(AP$11&gt;=(12*(YEAR('Renovation Budget'!$F$20)-YEAR(Assumptions!$F$11))+(MONTH('Renovation Budget'!$F$20)-MONTH(Assumptions!$F$11))),AP$11&lt;=((12*(YEAR('Renovation Budget'!$F$20)-YEAR(Assumptions!$F$11))+(MONTH('Renovation Budget'!$F$20)-MONTH(Assumptions!$F$11)))+'Renovation Budget'!$G$20-1)),-'Renovation Budget'!$C$20/'Renovation Budget'!$G$20,0)</f>
        <v/>
      </c>
      <c r="AQ90" s="228">
        <f>IF(AND(AQ$11&gt;=(12*(YEAR('Renovation Budget'!$F$20)-YEAR(Assumptions!$F$11))+(MONTH('Renovation Budget'!$F$20)-MONTH(Assumptions!$F$11))),AQ$11&lt;=((12*(YEAR('Renovation Budget'!$F$20)-YEAR(Assumptions!$F$11))+(MONTH('Renovation Budget'!$F$20)-MONTH(Assumptions!$F$11)))+'Renovation Budget'!$G$20-1)),-'Renovation Budget'!$C$20/'Renovation Budget'!$G$20,0)</f>
        <v/>
      </c>
      <c r="AR90" s="228">
        <f>IF(AND(AR$11&gt;=(12*(YEAR('Renovation Budget'!$F$20)-YEAR(Assumptions!$F$11))+(MONTH('Renovation Budget'!$F$20)-MONTH(Assumptions!$F$11))),AR$11&lt;=((12*(YEAR('Renovation Budget'!$F$20)-YEAR(Assumptions!$F$11))+(MONTH('Renovation Budget'!$F$20)-MONTH(Assumptions!$F$11)))+'Renovation Budget'!$G$20-1)),-'Renovation Budget'!$C$20/'Renovation Budget'!$G$20,0)</f>
        <v/>
      </c>
      <c r="AS90" s="228">
        <f>IF(AND(AS$11&gt;=(12*(YEAR('Renovation Budget'!$F$20)-YEAR(Assumptions!$F$11))+(MONTH('Renovation Budget'!$F$20)-MONTH(Assumptions!$F$11))),AS$11&lt;=((12*(YEAR('Renovation Budget'!$F$20)-YEAR(Assumptions!$F$11))+(MONTH('Renovation Budget'!$F$20)-MONTH(Assumptions!$F$11)))+'Renovation Budget'!$G$20-1)),-'Renovation Budget'!$C$20/'Renovation Budget'!$G$20,0)</f>
        <v/>
      </c>
      <c r="AT90" s="228">
        <f>IF(AND(AT$11&gt;=(12*(YEAR('Renovation Budget'!$F$20)-YEAR(Assumptions!$F$11))+(MONTH('Renovation Budget'!$F$20)-MONTH(Assumptions!$F$11))),AT$11&lt;=((12*(YEAR('Renovation Budget'!$F$20)-YEAR(Assumptions!$F$11))+(MONTH('Renovation Budget'!$F$20)-MONTH(Assumptions!$F$11)))+'Renovation Budget'!$G$20-1)),-'Renovation Budget'!$C$20/'Renovation Budget'!$G$20,0)</f>
        <v/>
      </c>
      <c r="AU90" s="228">
        <f>IF(AND(AU$11&gt;=(12*(YEAR('Renovation Budget'!$F$20)-YEAR(Assumptions!$F$11))+(MONTH('Renovation Budget'!$F$20)-MONTH(Assumptions!$F$11))),AU$11&lt;=((12*(YEAR('Renovation Budget'!$F$20)-YEAR(Assumptions!$F$11))+(MONTH('Renovation Budget'!$F$20)-MONTH(Assumptions!$F$11)))+'Renovation Budget'!$G$20-1)),-'Renovation Budget'!$C$20/'Renovation Budget'!$G$20,0)</f>
        <v/>
      </c>
      <c r="AV90" s="228">
        <f>IF(AND(AV$11&gt;=(12*(YEAR('Renovation Budget'!$F$20)-YEAR(Assumptions!$F$11))+(MONTH('Renovation Budget'!$F$20)-MONTH(Assumptions!$F$11))),AV$11&lt;=((12*(YEAR('Renovation Budget'!$F$20)-YEAR(Assumptions!$F$11))+(MONTH('Renovation Budget'!$F$20)-MONTH(Assumptions!$F$11)))+'Renovation Budget'!$G$20-1)),-'Renovation Budget'!$C$20/'Renovation Budget'!$G$20,0)</f>
        <v/>
      </c>
      <c r="AW90" s="228">
        <f>IF(AND(AW$11&gt;=(12*(YEAR('Renovation Budget'!$F$20)-YEAR(Assumptions!$F$11))+(MONTH('Renovation Budget'!$F$20)-MONTH(Assumptions!$F$11))),AW$11&lt;=((12*(YEAR('Renovation Budget'!$F$20)-YEAR(Assumptions!$F$11))+(MONTH('Renovation Budget'!$F$20)-MONTH(Assumptions!$F$11)))+'Renovation Budget'!$G$20-1)),-'Renovation Budget'!$C$20/'Renovation Budget'!$G$20,0)</f>
        <v/>
      </c>
      <c r="AX90" s="228">
        <f>IF(AND(AX$11&gt;=(12*(YEAR('Renovation Budget'!$F$20)-YEAR(Assumptions!$F$11))+(MONTH('Renovation Budget'!$F$20)-MONTH(Assumptions!$F$11))),AX$11&lt;=((12*(YEAR('Renovation Budget'!$F$20)-YEAR(Assumptions!$F$11))+(MONTH('Renovation Budget'!$F$20)-MONTH(Assumptions!$F$11)))+'Renovation Budget'!$G$20-1)),-'Renovation Budget'!$C$20/'Renovation Budget'!$G$20,0)</f>
        <v/>
      </c>
      <c r="AY90" s="228">
        <f>IF(AND(AY$11&gt;=(12*(YEAR('Renovation Budget'!$F$20)-YEAR(Assumptions!$F$11))+(MONTH('Renovation Budget'!$F$20)-MONTH(Assumptions!$F$11))),AY$11&lt;=((12*(YEAR('Renovation Budget'!$F$20)-YEAR(Assumptions!$F$11))+(MONTH('Renovation Budget'!$F$20)-MONTH(Assumptions!$F$11)))+'Renovation Budget'!$G$20-1)),-'Renovation Budget'!$C$20/'Renovation Budget'!$G$20,0)</f>
        <v/>
      </c>
      <c r="AZ90" s="228">
        <f>IF(AND(AZ$11&gt;=(12*(YEAR('Renovation Budget'!$F$20)-YEAR(Assumptions!$F$11))+(MONTH('Renovation Budget'!$F$20)-MONTH(Assumptions!$F$11))),AZ$11&lt;=((12*(YEAR('Renovation Budget'!$F$20)-YEAR(Assumptions!$F$11))+(MONTH('Renovation Budget'!$F$20)-MONTH(Assumptions!$F$11)))+'Renovation Budget'!$G$20-1)),-'Renovation Budget'!$C$20/'Renovation Budget'!$G$20,0)</f>
        <v/>
      </c>
      <c r="BA90" s="228">
        <f>IF(AND(BA$11&gt;=(12*(YEAR('Renovation Budget'!$F$20)-YEAR(Assumptions!$F$11))+(MONTH('Renovation Budget'!$F$20)-MONTH(Assumptions!$F$11))),BA$11&lt;=((12*(YEAR('Renovation Budget'!$F$20)-YEAR(Assumptions!$F$11))+(MONTH('Renovation Budget'!$F$20)-MONTH(Assumptions!$F$11)))+'Renovation Budget'!$G$20-1)),-'Renovation Budget'!$C$20/'Renovation Budget'!$G$20,0)</f>
        <v/>
      </c>
      <c r="BB90" s="228">
        <f>IF(AND(BB$11&gt;=(12*(YEAR('Renovation Budget'!$F$20)-YEAR(Assumptions!$F$11))+(MONTH('Renovation Budget'!$F$20)-MONTH(Assumptions!$F$11))),BB$11&lt;=((12*(YEAR('Renovation Budget'!$F$20)-YEAR(Assumptions!$F$11))+(MONTH('Renovation Budget'!$F$20)-MONTH(Assumptions!$F$11)))+'Renovation Budget'!$G$20-1)),-'Renovation Budget'!$C$20/'Renovation Budget'!$G$20,0)</f>
        <v/>
      </c>
      <c r="BC90" s="228">
        <f>IF(AND(BC$11&gt;=(12*(YEAR('Renovation Budget'!$F$20)-YEAR(Assumptions!$F$11))+(MONTH('Renovation Budget'!$F$20)-MONTH(Assumptions!$F$11))),BC$11&lt;=((12*(YEAR('Renovation Budget'!$F$20)-YEAR(Assumptions!$F$11))+(MONTH('Renovation Budget'!$F$20)-MONTH(Assumptions!$F$11)))+'Renovation Budget'!$G$20-1)),-'Renovation Budget'!$C$20/'Renovation Budget'!$G$20,0)</f>
        <v/>
      </c>
      <c r="BD90" s="228">
        <f>IF(AND(BD$11&gt;=(12*(YEAR('Renovation Budget'!$F$20)-YEAR(Assumptions!$F$11))+(MONTH('Renovation Budget'!$F$20)-MONTH(Assumptions!$F$11))),BD$11&lt;=((12*(YEAR('Renovation Budget'!$F$20)-YEAR(Assumptions!$F$11))+(MONTH('Renovation Budget'!$F$20)-MONTH(Assumptions!$F$11)))+'Renovation Budget'!$G$20-1)),-'Renovation Budget'!$C$20/'Renovation Budget'!$G$20,0)</f>
        <v/>
      </c>
      <c r="BE90" s="228">
        <f>IF(AND(BE$11&gt;=(12*(YEAR('Renovation Budget'!$F$20)-YEAR(Assumptions!$F$11))+(MONTH('Renovation Budget'!$F$20)-MONTH(Assumptions!$F$11))),BE$11&lt;=((12*(YEAR('Renovation Budget'!$F$20)-YEAR(Assumptions!$F$11))+(MONTH('Renovation Budget'!$F$20)-MONTH(Assumptions!$F$11)))+'Renovation Budget'!$G$20-1)),-'Renovation Budget'!$C$20/'Renovation Budget'!$G$20,0)</f>
        <v/>
      </c>
      <c r="BF90" s="228">
        <f>IF(AND(BF$11&gt;=(12*(YEAR('Renovation Budget'!$F$20)-YEAR(Assumptions!$F$11))+(MONTH('Renovation Budget'!$F$20)-MONTH(Assumptions!$F$11))),BF$11&lt;=((12*(YEAR('Renovation Budget'!$F$20)-YEAR(Assumptions!$F$11))+(MONTH('Renovation Budget'!$F$20)-MONTH(Assumptions!$F$11)))+'Renovation Budget'!$G$20-1)),-'Renovation Budget'!$C$20/'Renovation Budget'!$G$20,0)</f>
        <v/>
      </c>
      <c r="BG90" s="228">
        <f>IF(AND(BG$11&gt;=(12*(YEAR('Renovation Budget'!$F$20)-YEAR(Assumptions!$F$11))+(MONTH('Renovation Budget'!$F$20)-MONTH(Assumptions!$F$11))),BG$11&lt;=((12*(YEAR('Renovation Budget'!$F$20)-YEAR(Assumptions!$F$11))+(MONTH('Renovation Budget'!$F$20)-MONTH(Assumptions!$F$11)))+'Renovation Budget'!$G$20-1)),-'Renovation Budget'!$C$20/'Renovation Budget'!$G$20,0)</f>
        <v/>
      </c>
      <c r="BH90" s="228">
        <f>IF(AND(BH$11&gt;=(12*(YEAR('Renovation Budget'!$F$20)-YEAR(Assumptions!$F$11))+(MONTH('Renovation Budget'!$F$20)-MONTH(Assumptions!$F$11))),BH$11&lt;=((12*(YEAR('Renovation Budget'!$F$20)-YEAR(Assumptions!$F$11))+(MONTH('Renovation Budget'!$F$20)-MONTH(Assumptions!$F$11)))+'Renovation Budget'!$G$20-1)),-'Renovation Budget'!$C$20/'Renovation Budget'!$G$20,0)</f>
        <v/>
      </c>
      <c r="BI90" s="228">
        <f>IF(AND(BI$11&gt;=(12*(YEAR('Renovation Budget'!$F$20)-YEAR(Assumptions!$F$11))+(MONTH('Renovation Budget'!$F$20)-MONTH(Assumptions!$F$11))),BI$11&lt;=((12*(YEAR('Renovation Budget'!$F$20)-YEAR(Assumptions!$F$11))+(MONTH('Renovation Budget'!$F$20)-MONTH(Assumptions!$F$11)))+'Renovation Budget'!$G$20-1)),-'Renovation Budget'!$C$20/'Renovation Budget'!$G$20,0)</f>
        <v/>
      </c>
      <c r="BJ90" s="228">
        <f>IF(AND(BJ$11&gt;=(12*(YEAR('Renovation Budget'!$F$20)-YEAR(Assumptions!$F$11))+(MONTH('Renovation Budget'!$F$20)-MONTH(Assumptions!$F$11))),BJ$11&lt;=((12*(YEAR('Renovation Budget'!$F$20)-YEAR(Assumptions!$F$11))+(MONTH('Renovation Budget'!$F$20)-MONTH(Assumptions!$F$11)))+'Renovation Budget'!$G$20-1)),-'Renovation Budget'!$C$20/'Renovation Budget'!$G$20,0)</f>
        <v/>
      </c>
      <c r="BK90" s="228">
        <f>IF(AND(BK$11&gt;=(12*(YEAR('Renovation Budget'!$F$20)-YEAR(Assumptions!$F$11))+(MONTH('Renovation Budget'!$F$20)-MONTH(Assumptions!$F$11))),BK$11&lt;=((12*(YEAR('Renovation Budget'!$F$20)-YEAR(Assumptions!$F$11))+(MONTH('Renovation Budget'!$F$20)-MONTH(Assumptions!$F$11)))+'Renovation Budget'!$G$20-1)),-'Renovation Budget'!$C$20/'Renovation Budget'!$G$20,0)</f>
        <v/>
      </c>
      <c r="BL90" s="228">
        <f>IF(AND(BL$11&gt;=(12*(YEAR('Renovation Budget'!$F$20)-YEAR(Assumptions!$F$11))+(MONTH('Renovation Budget'!$F$20)-MONTH(Assumptions!$F$11))),BL$11&lt;=((12*(YEAR('Renovation Budget'!$F$20)-YEAR(Assumptions!$F$11))+(MONTH('Renovation Budget'!$F$20)-MONTH(Assumptions!$F$11)))+'Renovation Budget'!$G$20-1)),-'Renovation Budget'!$C$20/'Renovation Budget'!$G$20,0)</f>
        <v/>
      </c>
      <c r="BM90" s="228">
        <f>IF(AND(BM$11&gt;=(12*(YEAR('Renovation Budget'!$F$20)-YEAR(Assumptions!$F$11))+(MONTH('Renovation Budget'!$F$20)-MONTH(Assumptions!$F$11))),BM$11&lt;=((12*(YEAR('Renovation Budget'!$F$20)-YEAR(Assumptions!$F$11))+(MONTH('Renovation Budget'!$F$20)-MONTH(Assumptions!$F$11)))+'Renovation Budget'!$G$20-1)),-'Renovation Budget'!$C$20/'Renovation Budget'!$G$20,0)</f>
        <v/>
      </c>
      <c r="BN90" s="228">
        <f>IF(AND(BN$11&gt;=(12*(YEAR('Renovation Budget'!$F$20)-YEAR(Assumptions!$F$11))+(MONTH('Renovation Budget'!$F$20)-MONTH(Assumptions!$F$11))),BN$11&lt;=((12*(YEAR('Renovation Budget'!$F$20)-YEAR(Assumptions!$F$11))+(MONTH('Renovation Budget'!$F$20)-MONTH(Assumptions!$F$11)))+'Renovation Budget'!$G$20-1)),-'Renovation Budget'!$C$20/'Renovation Budget'!$G$20,0)</f>
        <v/>
      </c>
      <c r="BO90" s="228">
        <f>IF(AND(BO$11&gt;=(12*(YEAR('Renovation Budget'!$F$20)-YEAR(Assumptions!$F$11))+(MONTH('Renovation Budget'!$F$20)-MONTH(Assumptions!$F$11))),BO$11&lt;=((12*(YEAR('Renovation Budget'!$F$20)-YEAR(Assumptions!$F$11))+(MONTH('Renovation Budget'!$F$20)-MONTH(Assumptions!$F$11)))+'Renovation Budget'!$G$20-1)),-'Renovation Budget'!$C$20/'Renovation Budget'!$G$20,0)</f>
        <v/>
      </c>
      <c r="BP90" s="228">
        <f>IF(AND(BP$11&gt;=(12*(YEAR('Renovation Budget'!$F$20)-YEAR(Assumptions!$F$11))+(MONTH('Renovation Budget'!$F$20)-MONTH(Assumptions!$F$11))),BP$11&lt;=((12*(YEAR('Renovation Budget'!$F$20)-YEAR(Assumptions!$F$11))+(MONTH('Renovation Budget'!$F$20)-MONTH(Assumptions!$F$11)))+'Renovation Budget'!$G$20-1)),-'Renovation Budget'!$C$20/'Renovation Budget'!$G$20,0)</f>
        <v/>
      </c>
      <c r="BQ90" s="228">
        <f>IF(AND(BQ$11&gt;=(12*(YEAR('Renovation Budget'!$F$20)-YEAR(Assumptions!$F$11))+(MONTH('Renovation Budget'!$F$20)-MONTH(Assumptions!$F$11))),BQ$11&lt;=((12*(YEAR('Renovation Budget'!$F$20)-YEAR(Assumptions!$F$11))+(MONTH('Renovation Budget'!$F$20)-MONTH(Assumptions!$F$11)))+'Renovation Budget'!$G$20-1)),-'Renovation Budget'!$C$20/'Renovation Budget'!$G$20,0)</f>
        <v/>
      </c>
      <c r="BR90" s="228">
        <f>IF(AND(BR$11&gt;=(12*(YEAR('Renovation Budget'!$F$20)-YEAR(Assumptions!$F$11))+(MONTH('Renovation Budget'!$F$20)-MONTH(Assumptions!$F$11))),BR$11&lt;=((12*(YEAR('Renovation Budget'!$F$20)-YEAR(Assumptions!$F$11))+(MONTH('Renovation Budget'!$F$20)-MONTH(Assumptions!$F$11)))+'Renovation Budget'!$G$20-1)),-'Renovation Budget'!$C$20/'Renovation Budget'!$G$20,0)</f>
        <v/>
      </c>
      <c r="BS90" s="228">
        <f>IF(AND(BS$11&gt;=(12*(YEAR('Renovation Budget'!$F$20)-YEAR(Assumptions!$F$11))+(MONTH('Renovation Budget'!$F$20)-MONTH(Assumptions!$F$11))),BS$11&lt;=((12*(YEAR('Renovation Budget'!$F$20)-YEAR(Assumptions!$F$11))+(MONTH('Renovation Budget'!$F$20)-MONTH(Assumptions!$F$11)))+'Renovation Budget'!$G$20-1)),-'Renovation Budget'!$C$20/'Renovation Budget'!$G$20,0)</f>
        <v/>
      </c>
      <c r="BT90" s="228">
        <f>IF(AND(BT$11&gt;=(12*(YEAR('Renovation Budget'!$F$20)-YEAR(Assumptions!$F$11))+(MONTH('Renovation Budget'!$F$20)-MONTH(Assumptions!$F$11))),BT$11&lt;=((12*(YEAR('Renovation Budget'!$F$20)-YEAR(Assumptions!$F$11))+(MONTH('Renovation Budget'!$F$20)-MONTH(Assumptions!$F$11)))+'Renovation Budget'!$G$20-1)),-'Renovation Budget'!$C$20/'Renovation Budget'!$G$20,0)</f>
        <v/>
      </c>
      <c r="BU90" s="228">
        <f>IF(AND(BU$11&gt;=(12*(YEAR('Renovation Budget'!$F$20)-YEAR(Assumptions!$F$11))+(MONTH('Renovation Budget'!$F$20)-MONTH(Assumptions!$F$11))),BU$11&lt;=((12*(YEAR('Renovation Budget'!$F$20)-YEAR(Assumptions!$F$11))+(MONTH('Renovation Budget'!$F$20)-MONTH(Assumptions!$F$11)))+'Renovation Budget'!$G$20-1)),-'Renovation Budget'!$C$20/'Renovation Budget'!$G$20,0)</f>
        <v/>
      </c>
      <c r="BV90" s="228">
        <f>IF(AND(BV$11&gt;=(12*(YEAR('Renovation Budget'!$F$20)-YEAR(Assumptions!$F$11))+(MONTH('Renovation Budget'!$F$20)-MONTH(Assumptions!$F$11))),BV$11&lt;=((12*(YEAR('Renovation Budget'!$F$20)-YEAR(Assumptions!$F$11))+(MONTH('Renovation Budget'!$F$20)-MONTH(Assumptions!$F$11)))+'Renovation Budget'!$G$20-1)),-'Renovation Budget'!$C$20/'Renovation Budget'!$G$20,0)</f>
        <v/>
      </c>
      <c r="BW90" s="228">
        <f>IF(AND(BW$11&gt;=(12*(YEAR('Renovation Budget'!$F$20)-YEAR(Assumptions!$F$11))+(MONTH('Renovation Budget'!$F$20)-MONTH(Assumptions!$F$11))),BW$11&lt;=((12*(YEAR('Renovation Budget'!$F$20)-YEAR(Assumptions!$F$11))+(MONTH('Renovation Budget'!$F$20)-MONTH(Assumptions!$F$11)))+'Renovation Budget'!$G$20-1)),-'Renovation Budget'!$C$20/'Renovation Budget'!$G$20,0)</f>
        <v/>
      </c>
      <c r="BX90" s="228">
        <f>IF(AND(BX$11&gt;=(12*(YEAR('Renovation Budget'!$F$20)-YEAR(Assumptions!$F$11))+(MONTH('Renovation Budget'!$F$20)-MONTH(Assumptions!$F$11))),BX$11&lt;=((12*(YEAR('Renovation Budget'!$F$20)-YEAR(Assumptions!$F$11))+(MONTH('Renovation Budget'!$F$20)-MONTH(Assumptions!$F$11)))+'Renovation Budget'!$G$20-1)),-'Renovation Budget'!$C$20/'Renovation Budget'!$G$20,0)</f>
        <v/>
      </c>
      <c r="BY90" s="228">
        <f>IF(AND(BY$11&gt;=(12*(YEAR('Renovation Budget'!$F$20)-YEAR(Assumptions!$F$11))+(MONTH('Renovation Budget'!$F$20)-MONTH(Assumptions!$F$11))),BY$11&lt;=((12*(YEAR('Renovation Budget'!$F$20)-YEAR(Assumptions!$F$11))+(MONTH('Renovation Budget'!$F$20)-MONTH(Assumptions!$F$11)))+'Renovation Budget'!$G$20-1)),-'Renovation Budget'!$C$20/'Renovation Budget'!$G$20,0)</f>
        <v/>
      </c>
      <c r="BZ90" s="228">
        <f>IF(AND(BZ$11&gt;=(12*(YEAR('Renovation Budget'!$F$20)-YEAR(Assumptions!$F$11))+(MONTH('Renovation Budget'!$F$20)-MONTH(Assumptions!$F$11))),BZ$11&lt;=((12*(YEAR('Renovation Budget'!$F$20)-YEAR(Assumptions!$F$11))+(MONTH('Renovation Budget'!$F$20)-MONTH(Assumptions!$F$11)))+'Renovation Budget'!$G$20-1)),-'Renovation Budget'!$C$20/'Renovation Budget'!$G$20,0)</f>
        <v/>
      </c>
      <c r="CA90" s="228">
        <f>IF(AND(CA$11&gt;=(12*(YEAR('Renovation Budget'!$F$20)-YEAR(Assumptions!$F$11))+(MONTH('Renovation Budget'!$F$20)-MONTH(Assumptions!$F$11))),CA$11&lt;=((12*(YEAR('Renovation Budget'!$F$20)-YEAR(Assumptions!$F$11))+(MONTH('Renovation Budget'!$F$20)-MONTH(Assumptions!$F$11)))+'Renovation Budget'!$G$20-1)),-'Renovation Budget'!$C$20/'Renovation Budget'!$G$20,0)</f>
        <v/>
      </c>
      <c r="CB90" s="228">
        <f>IF(AND(CB$11&gt;=(12*(YEAR('Renovation Budget'!$F$20)-YEAR(Assumptions!$F$11))+(MONTH('Renovation Budget'!$F$20)-MONTH(Assumptions!$F$11))),CB$11&lt;=((12*(YEAR('Renovation Budget'!$F$20)-YEAR(Assumptions!$F$11))+(MONTH('Renovation Budget'!$F$20)-MONTH(Assumptions!$F$11)))+'Renovation Budget'!$G$20-1)),-'Renovation Budget'!$C$20/'Renovation Budget'!$G$20,0)</f>
        <v/>
      </c>
      <c r="CC90" s="228">
        <f>IF(AND(CC$11&gt;=(12*(YEAR('Renovation Budget'!$F$20)-YEAR(Assumptions!$F$11))+(MONTH('Renovation Budget'!$F$20)-MONTH(Assumptions!$F$11))),CC$11&lt;=((12*(YEAR('Renovation Budget'!$F$20)-YEAR(Assumptions!$F$11))+(MONTH('Renovation Budget'!$F$20)-MONTH(Assumptions!$F$11)))+'Renovation Budget'!$G$20-1)),-'Renovation Budget'!$C$20/'Renovation Budget'!$G$20,0)</f>
        <v/>
      </c>
      <c r="CD90" s="228">
        <f>IF(AND(CD$11&gt;=(12*(YEAR('Renovation Budget'!$F$20)-YEAR(Assumptions!$F$11))+(MONTH('Renovation Budget'!$F$20)-MONTH(Assumptions!$F$11))),CD$11&lt;=((12*(YEAR('Renovation Budget'!$F$20)-YEAR(Assumptions!$F$11))+(MONTH('Renovation Budget'!$F$20)-MONTH(Assumptions!$F$11)))+'Renovation Budget'!$G$20-1)),-'Renovation Budget'!$C$20/'Renovation Budget'!$G$20,0)</f>
        <v/>
      </c>
      <c r="CE90" s="228">
        <f>IF(AND(CE$11&gt;=(12*(YEAR('Renovation Budget'!$F$20)-YEAR(Assumptions!$F$11))+(MONTH('Renovation Budget'!$F$20)-MONTH(Assumptions!$F$11))),CE$11&lt;=((12*(YEAR('Renovation Budget'!$F$20)-YEAR(Assumptions!$F$11))+(MONTH('Renovation Budget'!$F$20)-MONTH(Assumptions!$F$11)))+'Renovation Budget'!$G$20-1)),-'Renovation Budget'!$C$20/'Renovation Budget'!$G$20,0)</f>
        <v/>
      </c>
      <c r="CF90" s="228">
        <f>IF(AND(CF$11&gt;=(12*(YEAR('Renovation Budget'!$F$20)-YEAR(Assumptions!$F$11))+(MONTH('Renovation Budget'!$F$20)-MONTH(Assumptions!$F$11))),CF$11&lt;=((12*(YEAR('Renovation Budget'!$F$20)-YEAR(Assumptions!$F$11))+(MONTH('Renovation Budget'!$F$20)-MONTH(Assumptions!$F$11)))+'Renovation Budget'!$G$20-1)),-'Renovation Budget'!$C$20/'Renovation Budget'!$G$20,0)</f>
        <v/>
      </c>
      <c r="CG90" s="228">
        <f>IF(AND(CG$11&gt;=(12*(YEAR('Renovation Budget'!$F$20)-YEAR(Assumptions!$F$11))+(MONTH('Renovation Budget'!$F$20)-MONTH(Assumptions!$F$11))),CG$11&lt;=((12*(YEAR('Renovation Budget'!$F$20)-YEAR(Assumptions!$F$11))+(MONTH('Renovation Budget'!$F$20)-MONTH(Assumptions!$F$11)))+'Renovation Budget'!$G$20-1)),-'Renovation Budget'!$C$20/'Renovation Budget'!$G$20,0)</f>
        <v/>
      </c>
      <c r="CH90" s="228">
        <f>IF(AND(CH$11&gt;=(12*(YEAR('Renovation Budget'!$F$20)-YEAR(Assumptions!$F$11))+(MONTH('Renovation Budget'!$F$20)-MONTH(Assumptions!$F$11))),CH$11&lt;=((12*(YEAR('Renovation Budget'!$F$20)-YEAR(Assumptions!$F$11))+(MONTH('Renovation Budget'!$F$20)-MONTH(Assumptions!$F$11)))+'Renovation Budget'!$G$20-1)),-'Renovation Budget'!$C$20/'Renovation Budget'!$G$20,0)</f>
        <v/>
      </c>
      <c r="CI90" s="228">
        <f>IF(AND(CI$11&gt;=(12*(YEAR('Renovation Budget'!$F$20)-YEAR(Assumptions!$F$11))+(MONTH('Renovation Budget'!$F$20)-MONTH(Assumptions!$F$11))),CI$11&lt;=((12*(YEAR('Renovation Budget'!$F$20)-YEAR(Assumptions!$F$11))+(MONTH('Renovation Budget'!$F$20)-MONTH(Assumptions!$F$11)))+'Renovation Budget'!$G$20-1)),-'Renovation Budget'!$C$20/'Renovation Budget'!$G$20,0)</f>
        <v/>
      </c>
      <c r="CJ90" s="228">
        <f>IF(AND(CJ$11&gt;=(12*(YEAR('Renovation Budget'!$F$20)-YEAR(Assumptions!$F$11))+(MONTH('Renovation Budget'!$F$20)-MONTH(Assumptions!$F$11))),CJ$11&lt;=((12*(YEAR('Renovation Budget'!$F$20)-YEAR(Assumptions!$F$11))+(MONTH('Renovation Budget'!$F$20)-MONTH(Assumptions!$F$11)))+'Renovation Budget'!$G$20-1)),-'Renovation Budget'!$C$20/'Renovation Budget'!$G$20,0)</f>
        <v/>
      </c>
      <c r="CK90" s="228">
        <f>IF(AND(CK$11&gt;=(12*(YEAR('Renovation Budget'!$F$20)-YEAR(Assumptions!$F$11))+(MONTH('Renovation Budget'!$F$20)-MONTH(Assumptions!$F$11))),CK$11&lt;=((12*(YEAR('Renovation Budget'!$F$20)-YEAR(Assumptions!$F$11))+(MONTH('Renovation Budget'!$F$20)-MONTH(Assumptions!$F$11)))+'Renovation Budget'!$G$20-1)),-'Renovation Budget'!$C$20/'Renovation Budget'!$G$20,0)</f>
        <v/>
      </c>
      <c r="CL90" s="228">
        <f>IF(AND(CL$11&gt;=(12*(YEAR('Renovation Budget'!$F$20)-YEAR(Assumptions!$F$11))+(MONTH('Renovation Budget'!$F$20)-MONTH(Assumptions!$F$11))),CL$11&lt;=((12*(YEAR('Renovation Budget'!$F$20)-YEAR(Assumptions!$F$11))+(MONTH('Renovation Budget'!$F$20)-MONTH(Assumptions!$F$11)))+'Renovation Budget'!$G$20-1)),-'Renovation Budget'!$C$20/'Renovation Budget'!$G$20,0)</f>
        <v/>
      </c>
      <c r="CM90" s="228">
        <f>IF(AND(CM$11&gt;=(12*(YEAR('Renovation Budget'!$F$20)-YEAR(Assumptions!$F$11))+(MONTH('Renovation Budget'!$F$20)-MONTH(Assumptions!$F$11))),CM$11&lt;=((12*(YEAR('Renovation Budget'!$F$20)-YEAR(Assumptions!$F$11))+(MONTH('Renovation Budget'!$F$20)-MONTH(Assumptions!$F$11)))+'Renovation Budget'!$G$20-1)),-'Renovation Budget'!$C$20/'Renovation Budget'!$G$20,0)</f>
        <v/>
      </c>
      <c r="CN90" s="228">
        <f>IF(AND(CN$11&gt;=(12*(YEAR('Renovation Budget'!$F$20)-YEAR(Assumptions!$F$11))+(MONTH('Renovation Budget'!$F$20)-MONTH(Assumptions!$F$11))),CN$11&lt;=((12*(YEAR('Renovation Budget'!$F$20)-YEAR(Assumptions!$F$11))+(MONTH('Renovation Budget'!$F$20)-MONTH(Assumptions!$F$11)))+'Renovation Budget'!$G$20-1)),-'Renovation Budget'!$C$20/'Renovation Budget'!$G$20,0)</f>
        <v/>
      </c>
      <c r="CO90" s="228">
        <f>IF(AND(CO$11&gt;=(12*(YEAR('Renovation Budget'!$F$20)-YEAR(Assumptions!$F$11))+(MONTH('Renovation Budget'!$F$20)-MONTH(Assumptions!$F$11))),CO$11&lt;=((12*(YEAR('Renovation Budget'!$F$20)-YEAR(Assumptions!$F$11))+(MONTH('Renovation Budget'!$F$20)-MONTH(Assumptions!$F$11)))+'Renovation Budget'!$G$20-1)),-'Renovation Budget'!$C$20/'Renovation Budget'!$G$20,0)</f>
        <v/>
      </c>
      <c r="CP90" s="228">
        <f>IF(AND(CP$11&gt;=(12*(YEAR('Renovation Budget'!$F$20)-YEAR(Assumptions!$F$11))+(MONTH('Renovation Budget'!$F$20)-MONTH(Assumptions!$F$11))),CP$11&lt;=((12*(YEAR('Renovation Budget'!$F$20)-YEAR(Assumptions!$F$11))+(MONTH('Renovation Budget'!$F$20)-MONTH(Assumptions!$F$11)))+'Renovation Budget'!$G$20-1)),-'Renovation Budget'!$C$20/'Renovation Budget'!$G$20,0)</f>
        <v/>
      </c>
      <c r="CQ90" s="228">
        <f>IF(AND(CQ$11&gt;=(12*(YEAR('Renovation Budget'!$F$20)-YEAR(Assumptions!$F$11))+(MONTH('Renovation Budget'!$F$20)-MONTH(Assumptions!$F$11))),CQ$11&lt;=((12*(YEAR('Renovation Budget'!$F$20)-YEAR(Assumptions!$F$11))+(MONTH('Renovation Budget'!$F$20)-MONTH(Assumptions!$F$11)))+'Renovation Budget'!$G$20-1)),-'Renovation Budget'!$C$20/'Renovation Budget'!$G$20,0)</f>
        <v/>
      </c>
      <c r="CR90" s="228">
        <f>IF(AND(CR$11&gt;=(12*(YEAR('Renovation Budget'!$F$20)-YEAR(Assumptions!$F$11))+(MONTH('Renovation Budget'!$F$20)-MONTH(Assumptions!$F$11))),CR$11&lt;=((12*(YEAR('Renovation Budget'!$F$20)-YEAR(Assumptions!$F$11))+(MONTH('Renovation Budget'!$F$20)-MONTH(Assumptions!$F$11)))+'Renovation Budget'!$G$20-1)),-'Renovation Budget'!$C$20/'Renovation Budget'!$G$20,0)</f>
        <v/>
      </c>
      <c r="CS90" s="228">
        <f>IF(AND(CS$11&gt;=(12*(YEAR('Renovation Budget'!$F$20)-YEAR(Assumptions!$F$11))+(MONTH('Renovation Budget'!$F$20)-MONTH(Assumptions!$F$11))),CS$11&lt;=((12*(YEAR('Renovation Budget'!$F$20)-YEAR(Assumptions!$F$11))+(MONTH('Renovation Budget'!$F$20)-MONTH(Assumptions!$F$11)))+'Renovation Budget'!$G$20-1)),-'Renovation Budget'!$C$20/'Renovation Budget'!$G$20,0)</f>
        <v/>
      </c>
      <c r="CT90" s="228">
        <f>IF(AND(CT$11&gt;=(12*(YEAR('Renovation Budget'!$F$20)-YEAR(Assumptions!$F$11))+(MONTH('Renovation Budget'!$F$20)-MONTH(Assumptions!$F$11))),CT$11&lt;=((12*(YEAR('Renovation Budget'!$F$20)-YEAR(Assumptions!$F$11))+(MONTH('Renovation Budget'!$F$20)-MONTH(Assumptions!$F$11)))+'Renovation Budget'!$G$20-1)),-'Renovation Budget'!$C$20/'Renovation Budget'!$G$20,0)</f>
        <v/>
      </c>
      <c r="CU90" s="228">
        <f>IF(AND(CU$11&gt;=(12*(YEAR('Renovation Budget'!$F$20)-YEAR(Assumptions!$F$11))+(MONTH('Renovation Budget'!$F$20)-MONTH(Assumptions!$F$11))),CU$11&lt;=((12*(YEAR('Renovation Budget'!$F$20)-YEAR(Assumptions!$F$11))+(MONTH('Renovation Budget'!$F$20)-MONTH(Assumptions!$F$11)))+'Renovation Budget'!$G$20-1)),-'Renovation Budget'!$C$20/'Renovation Budget'!$G$20,0)</f>
        <v/>
      </c>
      <c r="CV90" s="228">
        <f>IF(AND(CV$11&gt;=(12*(YEAR('Renovation Budget'!$F$20)-YEAR(Assumptions!$F$11))+(MONTH('Renovation Budget'!$F$20)-MONTH(Assumptions!$F$11))),CV$11&lt;=((12*(YEAR('Renovation Budget'!$F$20)-YEAR(Assumptions!$F$11))+(MONTH('Renovation Budget'!$F$20)-MONTH(Assumptions!$F$11)))+'Renovation Budget'!$G$20-1)),-'Renovation Budget'!$C$20/'Renovation Budget'!$G$20,0)</f>
        <v/>
      </c>
      <c r="CW90" s="228">
        <f>IF(AND(CW$11&gt;=(12*(YEAR('Renovation Budget'!$F$20)-YEAR(Assumptions!$F$11))+(MONTH('Renovation Budget'!$F$20)-MONTH(Assumptions!$F$11))),CW$11&lt;=((12*(YEAR('Renovation Budget'!$F$20)-YEAR(Assumptions!$F$11))+(MONTH('Renovation Budget'!$F$20)-MONTH(Assumptions!$F$11)))+'Renovation Budget'!$G$20-1)),-'Renovation Budget'!$C$20/'Renovation Budget'!$G$20,0)</f>
        <v/>
      </c>
      <c r="CX90" s="228">
        <f>IF(AND(CX$11&gt;=(12*(YEAR('Renovation Budget'!$F$20)-YEAR(Assumptions!$F$11))+(MONTH('Renovation Budget'!$F$20)-MONTH(Assumptions!$F$11))),CX$11&lt;=((12*(YEAR('Renovation Budget'!$F$20)-YEAR(Assumptions!$F$11))+(MONTH('Renovation Budget'!$F$20)-MONTH(Assumptions!$F$11)))+'Renovation Budget'!$G$20-1)),-'Renovation Budget'!$C$20/'Renovation Budget'!$G$20,0)</f>
        <v/>
      </c>
      <c r="CY90" s="228">
        <f>IF(AND(CY$11&gt;=(12*(YEAR('Renovation Budget'!$F$20)-YEAR(Assumptions!$F$11))+(MONTH('Renovation Budget'!$F$20)-MONTH(Assumptions!$F$11))),CY$11&lt;=((12*(YEAR('Renovation Budget'!$F$20)-YEAR(Assumptions!$F$11))+(MONTH('Renovation Budget'!$F$20)-MONTH(Assumptions!$F$11)))+'Renovation Budget'!$G$20-1)),-'Renovation Budget'!$C$20/'Renovation Budget'!$G$20,0)</f>
        <v/>
      </c>
      <c r="CZ90" s="228">
        <f>IF(AND(CZ$11&gt;=(12*(YEAR('Renovation Budget'!$F$20)-YEAR(Assumptions!$F$11))+(MONTH('Renovation Budget'!$F$20)-MONTH(Assumptions!$F$11))),CZ$11&lt;=((12*(YEAR('Renovation Budget'!$F$20)-YEAR(Assumptions!$F$11))+(MONTH('Renovation Budget'!$F$20)-MONTH(Assumptions!$F$11)))+'Renovation Budget'!$G$20-1)),-'Renovation Budget'!$C$20/'Renovation Budget'!$G$20,0)</f>
        <v/>
      </c>
      <c r="DA90" s="228">
        <f>IF(AND(DA$11&gt;=(12*(YEAR('Renovation Budget'!$F$20)-YEAR(Assumptions!$F$11))+(MONTH('Renovation Budget'!$F$20)-MONTH(Assumptions!$F$11))),DA$11&lt;=((12*(YEAR('Renovation Budget'!$F$20)-YEAR(Assumptions!$F$11))+(MONTH('Renovation Budget'!$F$20)-MONTH(Assumptions!$F$11)))+'Renovation Budget'!$G$20-1)),-'Renovation Budget'!$C$20/'Renovation Budget'!$G$20,0)</f>
        <v/>
      </c>
      <c r="DB90" s="228">
        <f>IF(AND(DB$11&gt;=(12*(YEAR('Renovation Budget'!$F$20)-YEAR(Assumptions!$F$11))+(MONTH('Renovation Budget'!$F$20)-MONTH(Assumptions!$F$11))),DB$11&lt;=((12*(YEAR('Renovation Budget'!$F$20)-YEAR(Assumptions!$F$11))+(MONTH('Renovation Budget'!$F$20)-MONTH(Assumptions!$F$11)))+'Renovation Budget'!$G$20-1)),-'Renovation Budget'!$C$20/'Renovation Budget'!$G$20,0)</f>
        <v/>
      </c>
      <c r="DC90" s="228">
        <f>IF(AND(DC$11&gt;=(12*(YEAR('Renovation Budget'!$F$20)-YEAR(Assumptions!$F$11))+(MONTH('Renovation Budget'!$F$20)-MONTH(Assumptions!$F$11))),DC$11&lt;=((12*(YEAR('Renovation Budget'!$F$20)-YEAR(Assumptions!$F$11))+(MONTH('Renovation Budget'!$F$20)-MONTH(Assumptions!$F$11)))+'Renovation Budget'!$G$20-1)),-'Renovation Budget'!$C$20/'Renovation Budget'!$G$20,0)</f>
        <v/>
      </c>
      <c r="DD90" s="228">
        <f>IF(AND(DD$11&gt;=(12*(YEAR('Renovation Budget'!$F$20)-YEAR(Assumptions!$F$11))+(MONTH('Renovation Budget'!$F$20)-MONTH(Assumptions!$F$11))),DD$11&lt;=((12*(YEAR('Renovation Budget'!$F$20)-YEAR(Assumptions!$F$11))+(MONTH('Renovation Budget'!$F$20)-MONTH(Assumptions!$F$11)))+'Renovation Budget'!$G$20-1)),-'Renovation Budget'!$C$20/'Renovation Budget'!$G$20,0)</f>
        <v/>
      </c>
      <c r="DE90" s="228">
        <f>IF(AND(DE$11&gt;=(12*(YEAR('Renovation Budget'!$F$20)-YEAR(Assumptions!$F$11))+(MONTH('Renovation Budget'!$F$20)-MONTH(Assumptions!$F$11))),DE$11&lt;=((12*(YEAR('Renovation Budget'!$F$20)-YEAR(Assumptions!$F$11))+(MONTH('Renovation Budget'!$F$20)-MONTH(Assumptions!$F$11)))+'Renovation Budget'!$G$20-1)),-'Renovation Budget'!$C$20/'Renovation Budget'!$G$20,0)</f>
        <v/>
      </c>
      <c r="DF90" s="228">
        <f>IF(AND(DF$11&gt;=(12*(YEAR('Renovation Budget'!$F$20)-YEAR(Assumptions!$F$11))+(MONTH('Renovation Budget'!$F$20)-MONTH(Assumptions!$F$11))),DF$11&lt;=((12*(YEAR('Renovation Budget'!$F$20)-YEAR(Assumptions!$F$11))+(MONTH('Renovation Budget'!$F$20)-MONTH(Assumptions!$F$11)))+'Renovation Budget'!$G$20-1)),-'Renovation Budget'!$C$20/'Renovation Budget'!$G$20,0)</f>
        <v/>
      </c>
      <c r="DG90" s="228">
        <f>IF(AND(DG$11&gt;=(12*(YEAR('Renovation Budget'!$F$20)-YEAR(Assumptions!$F$11))+(MONTH('Renovation Budget'!$F$20)-MONTH(Assumptions!$F$11))),DG$11&lt;=((12*(YEAR('Renovation Budget'!$F$20)-YEAR(Assumptions!$F$11))+(MONTH('Renovation Budget'!$F$20)-MONTH(Assumptions!$F$11)))+'Renovation Budget'!$G$20-1)),-'Renovation Budget'!$C$20/'Renovation Budget'!$G$20,0)</f>
        <v/>
      </c>
      <c r="DH90" s="228">
        <f>IF(AND(DH$11&gt;=(12*(YEAR('Renovation Budget'!$F$20)-YEAR(Assumptions!$F$11))+(MONTH('Renovation Budget'!$F$20)-MONTH(Assumptions!$F$11))),DH$11&lt;=((12*(YEAR('Renovation Budget'!$F$20)-YEAR(Assumptions!$F$11))+(MONTH('Renovation Budget'!$F$20)-MONTH(Assumptions!$F$11)))+'Renovation Budget'!$G$20-1)),-'Renovation Budget'!$C$20/'Renovation Budget'!$G$20,0)</f>
        <v/>
      </c>
      <c r="DI90" s="228">
        <f>IF(AND(DI$11&gt;=(12*(YEAR('Renovation Budget'!$F$20)-YEAR(Assumptions!$F$11))+(MONTH('Renovation Budget'!$F$20)-MONTH(Assumptions!$F$11))),DI$11&lt;=((12*(YEAR('Renovation Budget'!$F$20)-YEAR(Assumptions!$F$11))+(MONTH('Renovation Budget'!$F$20)-MONTH(Assumptions!$F$11)))+'Renovation Budget'!$G$20-1)),-'Renovation Budget'!$C$20/'Renovation Budget'!$G$20,0)</f>
        <v/>
      </c>
      <c r="DJ90" s="228">
        <f>IF(AND(DJ$11&gt;=(12*(YEAR('Renovation Budget'!$F$20)-YEAR(Assumptions!$F$11))+(MONTH('Renovation Budget'!$F$20)-MONTH(Assumptions!$F$11))),DJ$11&lt;=((12*(YEAR('Renovation Budget'!$F$20)-YEAR(Assumptions!$F$11))+(MONTH('Renovation Budget'!$F$20)-MONTH(Assumptions!$F$11)))+'Renovation Budget'!$G$20-1)),-'Renovation Budget'!$C$20/'Renovation Budget'!$G$20,0)</f>
        <v/>
      </c>
      <c r="DK90" s="228">
        <f>IF(AND(DK$11&gt;=(12*(YEAR('Renovation Budget'!$F$20)-YEAR(Assumptions!$F$11))+(MONTH('Renovation Budget'!$F$20)-MONTH(Assumptions!$F$11))),DK$11&lt;=((12*(YEAR('Renovation Budget'!$F$20)-YEAR(Assumptions!$F$11))+(MONTH('Renovation Budget'!$F$20)-MONTH(Assumptions!$F$11)))+'Renovation Budget'!$G$20-1)),-'Renovation Budget'!$C$20/'Renovation Budget'!$G$20,0)</f>
        <v/>
      </c>
      <c r="DL90" s="228">
        <f>IF(AND(DL$11&gt;=(12*(YEAR('Renovation Budget'!$F$20)-YEAR(Assumptions!$F$11))+(MONTH('Renovation Budget'!$F$20)-MONTH(Assumptions!$F$11))),DL$11&lt;=((12*(YEAR('Renovation Budget'!$F$20)-YEAR(Assumptions!$F$11))+(MONTH('Renovation Budget'!$F$20)-MONTH(Assumptions!$F$11)))+'Renovation Budget'!$G$20-1)),-'Renovation Budget'!$C$20/'Renovation Budget'!$G$20,0)</f>
        <v/>
      </c>
      <c r="DM90" s="228">
        <f>IF(AND(DM$11&gt;=(12*(YEAR('Renovation Budget'!$F$20)-YEAR(Assumptions!$F$11))+(MONTH('Renovation Budget'!$F$20)-MONTH(Assumptions!$F$11))),DM$11&lt;=((12*(YEAR('Renovation Budget'!$F$20)-YEAR(Assumptions!$F$11))+(MONTH('Renovation Budget'!$F$20)-MONTH(Assumptions!$F$11)))+'Renovation Budget'!$G$20-1)),-'Renovation Budget'!$C$20/'Renovation Budget'!$G$20,0)</f>
        <v/>
      </c>
      <c r="DN90" s="228">
        <f>IF(AND(DN$11&gt;=(12*(YEAR('Renovation Budget'!$F$20)-YEAR(Assumptions!$F$11))+(MONTH('Renovation Budget'!$F$20)-MONTH(Assumptions!$F$11))),DN$11&lt;=((12*(YEAR('Renovation Budget'!$F$20)-YEAR(Assumptions!$F$11))+(MONTH('Renovation Budget'!$F$20)-MONTH(Assumptions!$F$11)))+'Renovation Budget'!$G$20-1)),-'Renovation Budget'!$C$20/'Renovation Budget'!$G$20,0)</f>
        <v/>
      </c>
      <c r="DO90" s="228">
        <f>IF(AND(DO$11&gt;=(12*(YEAR('Renovation Budget'!$F$20)-YEAR(Assumptions!$F$11))+(MONTH('Renovation Budget'!$F$20)-MONTH(Assumptions!$F$11))),DO$11&lt;=((12*(YEAR('Renovation Budget'!$F$20)-YEAR(Assumptions!$F$11))+(MONTH('Renovation Budget'!$F$20)-MONTH(Assumptions!$F$11)))+'Renovation Budget'!$G$20-1)),-'Renovation Budget'!$C$20/'Renovation Budget'!$G$20,0)</f>
        <v/>
      </c>
      <c r="DP90" s="228">
        <f>IF(AND(DP$11&gt;=(12*(YEAR('Renovation Budget'!$F$20)-YEAR(Assumptions!$F$11))+(MONTH('Renovation Budget'!$F$20)-MONTH(Assumptions!$F$11))),DP$11&lt;=((12*(YEAR('Renovation Budget'!$F$20)-YEAR(Assumptions!$F$11))+(MONTH('Renovation Budget'!$F$20)-MONTH(Assumptions!$F$11)))+'Renovation Budget'!$G$20-1)),-'Renovation Budget'!$C$20/'Renovation Budget'!$G$20,0)</f>
        <v/>
      </c>
      <c r="DQ90" s="228">
        <f>IF(AND(DQ$11&gt;=(12*(YEAR('Renovation Budget'!$F$20)-YEAR(Assumptions!$F$11))+(MONTH('Renovation Budget'!$F$20)-MONTH(Assumptions!$F$11))),DQ$11&lt;=((12*(YEAR('Renovation Budget'!$F$20)-YEAR(Assumptions!$F$11))+(MONTH('Renovation Budget'!$F$20)-MONTH(Assumptions!$F$11)))+'Renovation Budget'!$G$20-1)),-'Renovation Budget'!$C$20/'Renovation Budget'!$G$20,0)</f>
        <v/>
      </c>
      <c r="DR90" s="228">
        <f>IF(AND(DR$11&gt;=(12*(YEAR('Renovation Budget'!$F$20)-YEAR(Assumptions!$F$11))+(MONTH('Renovation Budget'!$F$20)-MONTH(Assumptions!$F$11))),DR$11&lt;=((12*(YEAR('Renovation Budget'!$F$20)-YEAR(Assumptions!$F$11))+(MONTH('Renovation Budget'!$F$20)-MONTH(Assumptions!$F$11)))+'Renovation Budget'!$G$20-1)),-'Renovation Budget'!$C$20/'Renovation Budget'!$G$20,0)</f>
        <v/>
      </c>
      <c r="DS90" s="228">
        <f>IF(AND(DS$11&gt;=(12*(YEAR('Renovation Budget'!$F$20)-YEAR(Assumptions!$F$11))+(MONTH('Renovation Budget'!$F$20)-MONTH(Assumptions!$F$11))),DS$11&lt;=((12*(YEAR('Renovation Budget'!$F$20)-YEAR(Assumptions!$F$11))+(MONTH('Renovation Budget'!$F$20)-MONTH(Assumptions!$F$11)))+'Renovation Budget'!$G$20-1)),-'Renovation Budget'!$C$20/'Renovation Budget'!$G$20,0)</f>
        <v/>
      </c>
      <c r="DT90" s="228">
        <f>IF(AND(DT$11&gt;=(12*(YEAR('Renovation Budget'!$F$20)-YEAR(Assumptions!$F$11))+(MONTH('Renovation Budget'!$F$20)-MONTH(Assumptions!$F$11))),DT$11&lt;=((12*(YEAR('Renovation Budget'!$F$20)-YEAR(Assumptions!$F$11))+(MONTH('Renovation Budget'!$F$20)-MONTH(Assumptions!$F$11)))+'Renovation Budget'!$G$20-1)),-'Renovation Budget'!$C$20/'Renovation Budget'!$G$20,0)</f>
        <v/>
      </c>
    </row>
    <row r="91" ht="15" customHeight="1" s="148">
      <c r="A91" s="112" t="inlineStr">
        <is>
          <t>Hard Cost Contingency</t>
        </is>
      </c>
      <c r="C91" s="228">
        <f>SUM(D91:DT91)</f>
        <v/>
      </c>
      <c r="D91" s="228">
        <f>IF(AND(D$11&gt;=(12*(YEAR('Renovation Budget'!$F$21)-YEAR(Assumptions!$F$11))+(MONTH('Renovation Budget'!$F$21)-MONTH(Assumptions!$F$11))),D$11&lt;=((12*(YEAR('Renovation Budget'!$F$21)-YEAR(Assumptions!$F$11))+(MONTH('Renovation Budget'!$F$21)-MONTH(Assumptions!$F$11)))+'Renovation Budget'!$G$21-1)),-'Renovation Budget'!$C$21/'Renovation Budget'!$G$21,0)</f>
        <v/>
      </c>
      <c r="E91" s="228">
        <f>IF(AND(E$11&gt;=(12*(YEAR('Renovation Budget'!$F$21)-YEAR(Assumptions!$F$11))+(MONTH('Renovation Budget'!$F$21)-MONTH(Assumptions!$F$11))),E$11&lt;=((12*(YEAR('Renovation Budget'!$F$21)-YEAR(Assumptions!$F$11))+(MONTH('Renovation Budget'!$F$21)-MONTH(Assumptions!$F$11)))+'Renovation Budget'!$G$21-1)),-'Renovation Budget'!$C$21/'Renovation Budget'!$G$21,0)</f>
        <v/>
      </c>
      <c r="F91" s="228">
        <f>IF(AND(F$11&gt;=(12*(YEAR('Renovation Budget'!$F$21)-YEAR(Assumptions!$F$11))+(MONTH('Renovation Budget'!$F$21)-MONTH(Assumptions!$F$11))),F$11&lt;=((12*(YEAR('Renovation Budget'!$F$21)-YEAR(Assumptions!$F$11))+(MONTH('Renovation Budget'!$F$21)-MONTH(Assumptions!$F$11)))+'Renovation Budget'!$G$21-1)),-'Renovation Budget'!$C$21/'Renovation Budget'!$G$21,0)</f>
        <v/>
      </c>
      <c r="G91" s="228">
        <f>IF(AND(G$11&gt;=(12*(YEAR('Renovation Budget'!$F$21)-YEAR(Assumptions!$F$11))+(MONTH('Renovation Budget'!$F$21)-MONTH(Assumptions!$F$11))),G$11&lt;=((12*(YEAR('Renovation Budget'!$F$21)-YEAR(Assumptions!$F$11))+(MONTH('Renovation Budget'!$F$21)-MONTH(Assumptions!$F$11)))+'Renovation Budget'!$G$21-1)),-'Renovation Budget'!$C$21/'Renovation Budget'!$G$21,0)</f>
        <v/>
      </c>
      <c r="H91" s="228">
        <f>IF(AND(H$11&gt;=(12*(YEAR('Renovation Budget'!$F$21)-YEAR(Assumptions!$F$11))+(MONTH('Renovation Budget'!$F$21)-MONTH(Assumptions!$F$11))),H$11&lt;=((12*(YEAR('Renovation Budget'!$F$21)-YEAR(Assumptions!$F$11))+(MONTH('Renovation Budget'!$F$21)-MONTH(Assumptions!$F$11)))+'Renovation Budget'!$G$21-1)),-'Renovation Budget'!$C$21/'Renovation Budget'!$G$21,0)</f>
        <v/>
      </c>
      <c r="I91" s="228">
        <f>IF(AND(I$11&gt;=(12*(YEAR('Renovation Budget'!$F$21)-YEAR(Assumptions!$F$11))+(MONTH('Renovation Budget'!$F$21)-MONTH(Assumptions!$F$11))),I$11&lt;=((12*(YEAR('Renovation Budget'!$F$21)-YEAR(Assumptions!$F$11))+(MONTH('Renovation Budget'!$F$21)-MONTH(Assumptions!$F$11)))+'Renovation Budget'!$G$21-1)),-'Renovation Budget'!$C$21/'Renovation Budget'!$G$21,0)</f>
        <v/>
      </c>
      <c r="J91" s="228">
        <f>IF(AND(J$11&gt;=(12*(YEAR('Renovation Budget'!$F$21)-YEAR(Assumptions!$F$11))+(MONTH('Renovation Budget'!$F$21)-MONTH(Assumptions!$F$11))),J$11&lt;=((12*(YEAR('Renovation Budget'!$F$21)-YEAR(Assumptions!$F$11))+(MONTH('Renovation Budget'!$F$21)-MONTH(Assumptions!$F$11)))+'Renovation Budget'!$G$21-1)),-'Renovation Budget'!$C$21/'Renovation Budget'!$G$21,0)</f>
        <v/>
      </c>
      <c r="K91" s="228">
        <f>IF(AND(K$11&gt;=(12*(YEAR('Renovation Budget'!$F$21)-YEAR(Assumptions!$F$11))+(MONTH('Renovation Budget'!$F$21)-MONTH(Assumptions!$F$11))),K$11&lt;=((12*(YEAR('Renovation Budget'!$F$21)-YEAR(Assumptions!$F$11))+(MONTH('Renovation Budget'!$F$21)-MONTH(Assumptions!$F$11)))+'Renovation Budget'!$G$21-1)),-'Renovation Budget'!$C$21/'Renovation Budget'!$G$21,0)</f>
        <v/>
      </c>
      <c r="L91" s="228">
        <f>IF(AND(L$11&gt;=(12*(YEAR('Renovation Budget'!$F$21)-YEAR(Assumptions!$F$11))+(MONTH('Renovation Budget'!$F$21)-MONTH(Assumptions!$F$11))),L$11&lt;=((12*(YEAR('Renovation Budget'!$F$21)-YEAR(Assumptions!$F$11))+(MONTH('Renovation Budget'!$F$21)-MONTH(Assumptions!$F$11)))+'Renovation Budget'!$G$21-1)),-'Renovation Budget'!$C$21/'Renovation Budget'!$G$21,0)</f>
        <v/>
      </c>
      <c r="M91" s="228">
        <f>IF(AND(M$11&gt;=(12*(YEAR('Renovation Budget'!$F$21)-YEAR(Assumptions!$F$11))+(MONTH('Renovation Budget'!$F$21)-MONTH(Assumptions!$F$11))),M$11&lt;=((12*(YEAR('Renovation Budget'!$F$21)-YEAR(Assumptions!$F$11))+(MONTH('Renovation Budget'!$F$21)-MONTH(Assumptions!$F$11)))+'Renovation Budget'!$G$21-1)),-'Renovation Budget'!$C$21/'Renovation Budget'!$G$21,0)</f>
        <v/>
      </c>
      <c r="N91" s="228">
        <f>IF(AND(N$11&gt;=(12*(YEAR('Renovation Budget'!$F$21)-YEAR(Assumptions!$F$11))+(MONTH('Renovation Budget'!$F$21)-MONTH(Assumptions!$F$11))),N$11&lt;=((12*(YEAR('Renovation Budget'!$F$21)-YEAR(Assumptions!$F$11))+(MONTH('Renovation Budget'!$F$21)-MONTH(Assumptions!$F$11)))+'Renovation Budget'!$G$21-1)),-'Renovation Budget'!$C$21/'Renovation Budget'!$G$21,0)</f>
        <v/>
      </c>
      <c r="O91" s="228">
        <f>IF(AND(O$11&gt;=(12*(YEAR('Renovation Budget'!$F$21)-YEAR(Assumptions!$F$11))+(MONTH('Renovation Budget'!$F$21)-MONTH(Assumptions!$F$11))),O$11&lt;=((12*(YEAR('Renovation Budget'!$F$21)-YEAR(Assumptions!$F$11))+(MONTH('Renovation Budget'!$F$21)-MONTH(Assumptions!$F$11)))+'Renovation Budget'!$G$21-1)),-'Renovation Budget'!$C$21/'Renovation Budget'!$G$21,0)</f>
        <v/>
      </c>
      <c r="P91" s="228">
        <f>IF(AND(P$11&gt;=(12*(YEAR('Renovation Budget'!$F$21)-YEAR(Assumptions!$F$11))+(MONTH('Renovation Budget'!$F$21)-MONTH(Assumptions!$F$11))),P$11&lt;=((12*(YEAR('Renovation Budget'!$F$21)-YEAR(Assumptions!$F$11))+(MONTH('Renovation Budget'!$F$21)-MONTH(Assumptions!$F$11)))+'Renovation Budget'!$G$21-1)),-'Renovation Budget'!$C$21/'Renovation Budget'!$G$21,0)</f>
        <v/>
      </c>
      <c r="Q91" s="228">
        <f>IF(AND(Q$11&gt;=(12*(YEAR('Renovation Budget'!$F$21)-YEAR(Assumptions!$F$11))+(MONTH('Renovation Budget'!$F$21)-MONTH(Assumptions!$F$11))),Q$11&lt;=((12*(YEAR('Renovation Budget'!$F$21)-YEAR(Assumptions!$F$11))+(MONTH('Renovation Budget'!$F$21)-MONTH(Assumptions!$F$11)))+'Renovation Budget'!$G$21-1)),-'Renovation Budget'!$C$21/'Renovation Budget'!$G$21,0)</f>
        <v/>
      </c>
      <c r="R91" s="228">
        <f>IF(AND(R$11&gt;=(12*(YEAR('Renovation Budget'!$F$21)-YEAR(Assumptions!$F$11))+(MONTH('Renovation Budget'!$F$21)-MONTH(Assumptions!$F$11))),R$11&lt;=((12*(YEAR('Renovation Budget'!$F$21)-YEAR(Assumptions!$F$11))+(MONTH('Renovation Budget'!$F$21)-MONTH(Assumptions!$F$11)))+'Renovation Budget'!$G$21-1)),-'Renovation Budget'!$C$21/'Renovation Budget'!$G$21,0)</f>
        <v/>
      </c>
      <c r="S91" s="228">
        <f>IF(AND(S$11&gt;=(12*(YEAR('Renovation Budget'!$F$21)-YEAR(Assumptions!$F$11))+(MONTH('Renovation Budget'!$F$21)-MONTH(Assumptions!$F$11))),S$11&lt;=((12*(YEAR('Renovation Budget'!$F$21)-YEAR(Assumptions!$F$11))+(MONTH('Renovation Budget'!$F$21)-MONTH(Assumptions!$F$11)))+'Renovation Budget'!$G$21-1)),-'Renovation Budget'!$C$21/'Renovation Budget'!$G$21,0)</f>
        <v/>
      </c>
      <c r="T91" s="228">
        <f>IF(AND(T$11&gt;=(12*(YEAR('Renovation Budget'!$F$21)-YEAR(Assumptions!$F$11))+(MONTH('Renovation Budget'!$F$21)-MONTH(Assumptions!$F$11))),T$11&lt;=((12*(YEAR('Renovation Budget'!$F$21)-YEAR(Assumptions!$F$11))+(MONTH('Renovation Budget'!$F$21)-MONTH(Assumptions!$F$11)))+'Renovation Budget'!$G$21-1)),-'Renovation Budget'!$C$21/'Renovation Budget'!$G$21,0)</f>
        <v/>
      </c>
      <c r="U91" s="228">
        <f>IF(AND(U$11&gt;=(12*(YEAR('Renovation Budget'!$F$21)-YEAR(Assumptions!$F$11))+(MONTH('Renovation Budget'!$F$21)-MONTH(Assumptions!$F$11))),U$11&lt;=((12*(YEAR('Renovation Budget'!$F$21)-YEAR(Assumptions!$F$11))+(MONTH('Renovation Budget'!$F$21)-MONTH(Assumptions!$F$11)))+'Renovation Budget'!$G$21-1)),-'Renovation Budget'!$C$21/'Renovation Budget'!$G$21,0)</f>
        <v/>
      </c>
      <c r="V91" s="228">
        <f>IF(AND(V$11&gt;=(12*(YEAR('Renovation Budget'!$F$21)-YEAR(Assumptions!$F$11))+(MONTH('Renovation Budget'!$F$21)-MONTH(Assumptions!$F$11))),V$11&lt;=((12*(YEAR('Renovation Budget'!$F$21)-YEAR(Assumptions!$F$11))+(MONTH('Renovation Budget'!$F$21)-MONTH(Assumptions!$F$11)))+'Renovation Budget'!$G$21-1)),-'Renovation Budget'!$C$21/'Renovation Budget'!$G$21,0)</f>
        <v/>
      </c>
      <c r="W91" s="228">
        <f>IF(AND(W$11&gt;=(12*(YEAR('Renovation Budget'!$F$21)-YEAR(Assumptions!$F$11))+(MONTH('Renovation Budget'!$F$21)-MONTH(Assumptions!$F$11))),W$11&lt;=((12*(YEAR('Renovation Budget'!$F$21)-YEAR(Assumptions!$F$11))+(MONTH('Renovation Budget'!$F$21)-MONTH(Assumptions!$F$11)))+'Renovation Budget'!$G$21-1)),-'Renovation Budget'!$C$21/'Renovation Budget'!$G$21,0)</f>
        <v/>
      </c>
      <c r="X91" s="228">
        <f>IF(AND(X$11&gt;=(12*(YEAR('Renovation Budget'!$F$21)-YEAR(Assumptions!$F$11))+(MONTH('Renovation Budget'!$F$21)-MONTH(Assumptions!$F$11))),X$11&lt;=((12*(YEAR('Renovation Budget'!$F$21)-YEAR(Assumptions!$F$11))+(MONTH('Renovation Budget'!$F$21)-MONTH(Assumptions!$F$11)))+'Renovation Budget'!$G$21-1)),-'Renovation Budget'!$C$21/'Renovation Budget'!$G$21,0)</f>
        <v/>
      </c>
      <c r="Y91" s="228">
        <f>IF(AND(Y$11&gt;=(12*(YEAR('Renovation Budget'!$F$21)-YEAR(Assumptions!$F$11))+(MONTH('Renovation Budget'!$F$21)-MONTH(Assumptions!$F$11))),Y$11&lt;=((12*(YEAR('Renovation Budget'!$F$21)-YEAR(Assumptions!$F$11))+(MONTH('Renovation Budget'!$F$21)-MONTH(Assumptions!$F$11)))+'Renovation Budget'!$G$21-1)),-'Renovation Budget'!$C$21/'Renovation Budget'!$G$21,0)</f>
        <v/>
      </c>
      <c r="Z91" s="228">
        <f>IF(AND(Z$11&gt;=(12*(YEAR('Renovation Budget'!$F$21)-YEAR(Assumptions!$F$11))+(MONTH('Renovation Budget'!$F$21)-MONTH(Assumptions!$F$11))),Z$11&lt;=((12*(YEAR('Renovation Budget'!$F$21)-YEAR(Assumptions!$F$11))+(MONTH('Renovation Budget'!$F$21)-MONTH(Assumptions!$F$11)))+'Renovation Budget'!$G$21-1)),-'Renovation Budget'!$C$21/'Renovation Budget'!$G$21,0)</f>
        <v/>
      </c>
      <c r="AA91" s="228">
        <f>IF(AND(AA$11&gt;=(12*(YEAR('Renovation Budget'!$F$21)-YEAR(Assumptions!$F$11))+(MONTH('Renovation Budget'!$F$21)-MONTH(Assumptions!$F$11))),AA$11&lt;=((12*(YEAR('Renovation Budget'!$F$21)-YEAR(Assumptions!$F$11))+(MONTH('Renovation Budget'!$F$21)-MONTH(Assumptions!$F$11)))+'Renovation Budget'!$G$21-1)),-'Renovation Budget'!$C$21/'Renovation Budget'!$G$21,0)</f>
        <v/>
      </c>
      <c r="AB91" s="228">
        <f>IF(AND(AB$11&gt;=(12*(YEAR('Renovation Budget'!$F$21)-YEAR(Assumptions!$F$11))+(MONTH('Renovation Budget'!$F$21)-MONTH(Assumptions!$F$11))),AB$11&lt;=((12*(YEAR('Renovation Budget'!$F$21)-YEAR(Assumptions!$F$11))+(MONTH('Renovation Budget'!$F$21)-MONTH(Assumptions!$F$11)))+'Renovation Budget'!$G$21-1)),-'Renovation Budget'!$C$21/'Renovation Budget'!$G$21,0)</f>
        <v/>
      </c>
      <c r="AC91" s="228">
        <f>IF(AND(AC$11&gt;=(12*(YEAR('Renovation Budget'!$F$21)-YEAR(Assumptions!$F$11))+(MONTH('Renovation Budget'!$F$21)-MONTH(Assumptions!$F$11))),AC$11&lt;=((12*(YEAR('Renovation Budget'!$F$21)-YEAR(Assumptions!$F$11))+(MONTH('Renovation Budget'!$F$21)-MONTH(Assumptions!$F$11)))+'Renovation Budget'!$G$21-1)),-'Renovation Budget'!$C$21/'Renovation Budget'!$G$21,0)</f>
        <v/>
      </c>
      <c r="AD91" s="228">
        <f>IF(AND(AD$11&gt;=(12*(YEAR('Renovation Budget'!$F$21)-YEAR(Assumptions!$F$11))+(MONTH('Renovation Budget'!$F$21)-MONTH(Assumptions!$F$11))),AD$11&lt;=((12*(YEAR('Renovation Budget'!$F$21)-YEAR(Assumptions!$F$11))+(MONTH('Renovation Budget'!$F$21)-MONTH(Assumptions!$F$11)))+'Renovation Budget'!$G$21-1)),-'Renovation Budget'!$C$21/'Renovation Budget'!$G$21,0)</f>
        <v/>
      </c>
      <c r="AE91" s="228">
        <f>IF(AND(AE$11&gt;=(12*(YEAR('Renovation Budget'!$F$21)-YEAR(Assumptions!$F$11))+(MONTH('Renovation Budget'!$F$21)-MONTH(Assumptions!$F$11))),AE$11&lt;=((12*(YEAR('Renovation Budget'!$F$21)-YEAR(Assumptions!$F$11))+(MONTH('Renovation Budget'!$F$21)-MONTH(Assumptions!$F$11)))+'Renovation Budget'!$G$21-1)),-'Renovation Budget'!$C$21/'Renovation Budget'!$G$21,0)</f>
        <v/>
      </c>
      <c r="AF91" s="228">
        <f>IF(AND(AF$11&gt;=(12*(YEAR('Renovation Budget'!$F$21)-YEAR(Assumptions!$F$11))+(MONTH('Renovation Budget'!$F$21)-MONTH(Assumptions!$F$11))),AF$11&lt;=((12*(YEAR('Renovation Budget'!$F$21)-YEAR(Assumptions!$F$11))+(MONTH('Renovation Budget'!$F$21)-MONTH(Assumptions!$F$11)))+'Renovation Budget'!$G$21-1)),-'Renovation Budget'!$C$21/'Renovation Budget'!$G$21,0)</f>
        <v/>
      </c>
      <c r="AG91" s="228">
        <f>IF(AND(AG$11&gt;=(12*(YEAR('Renovation Budget'!$F$21)-YEAR(Assumptions!$F$11))+(MONTH('Renovation Budget'!$F$21)-MONTH(Assumptions!$F$11))),AG$11&lt;=((12*(YEAR('Renovation Budget'!$F$21)-YEAR(Assumptions!$F$11))+(MONTH('Renovation Budget'!$F$21)-MONTH(Assumptions!$F$11)))+'Renovation Budget'!$G$21-1)),-'Renovation Budget'!$C$21/'Renovation Budget'!$G$21,0)</f>
        <v/>
      </c>
      <c r="AH91" s="228">
        <f>IF(AND(AH$11&gt;=(12*(YEAR('Renovation Budget'!$F$21)-YEAR(Assumptions!$F$11))+(MONTH('Renovation Budget'!$F$21)-MONTH(Assumptions!$F$11))),AH$11&lt;=((12*(YEAR('Renovation Budget'!$F$21)-YEAR(Assumptions!$F$11))+(MONTH('Renovation Budget'!$F$21)-MONTH(Assumptions!$F$11)))+'Renovation Budget'!$G$21-1)),-'Renovation Budget'!$C$21/'Renovation Budget'!$G$21,0)</f>
        <v/>
      </c>
      <c r="AI91" s="228">
        <f>IF(AND(AI$11&gt;=(12*(YEAR('Renovation Budget'!$F$21)-YEAR(Assumptions!$F$11))+(MONTH('Renovation Budget'!$F$21)-MONTH(Assumptions!$F$11))),AI$11&lt;=((12*(YEAR('Renovation Budget'!$F$21)-YEAR(Assumptions!$F$11))+(MONTH('Renovation Budget'!$F$21)-MONTH(Assumptions!$F$11)))+'Renovation Budget'!$G$21-1)),-'Renovation Budget'!$C$21/'Renovation Budget'!$G$21,0)</f>
        <v/>
      </c>
      <c r="AJ91" s="228">
        <f>IF(AND(AJ$11&gt;=(12*(YEAR('Renovation Budget'!$F$21)-YEAR(Assumptions!$F$11))+(MONTH('Renovation Budget'!$F$21)-MONTH(Assumptions!$F$11))),AJ$11&lt;=((12*(YEAR('Renovation Budget'!$F$21)-YEAR(Assumptions!$F$11))+(MONTH('Renovation Budget'!$F$21)-MONTH(Assumptions!$F$11)))+'Renovation Budget'!$G$21-1)),-'Renovation Budget'!$C$21/'Renovation Budget'!$G$21,0)</f>
        <v/>
      </c>
      <c r="AK91" s="228">
        <f>IF(AND(AK$11&gt;=(12*(YEAR('Renovation Budget'!$F$21)-YEAR(Assumptions!$F$11))+(MONTH('Renovation Budget'!$F$21)-MONTH(Assumptions!$F$11))),AK$11&lt;=((12*(YEAR('Renovation Budget'!$F$21)-YEAR(Assumptions!$F$11))+(MONTH('Renovation Budget'!$F$21)-MONTH(Assumptions!$F$11)))+'Renovation Budget'!$G$21-1)),-'Renovation Budget'!$C$21/'Renovation Budget'!$G$21,0)</f>
        <v/>
      </c>
      <c r="AL91" s="228">
        <f>IF(AND(AL$11&gt;=(12*(YEAR('Renovation Budget'!$F$21)-YEAR(Assumptions!$F$11))+(MONTH('Renovation Budget'!$F$21)-MONTH(Assumptions!$F$11))),AL$11&lt;=((12*(YEAR('Renovation Budget'!$F$21)-YEAR(Assumptions!$F$11))+(MONTH('Renovation Budget'!$F$21)-MONTH(Assumptions!$F$11)))+'Renovation Budget'!$G$21-1)),-'Renovation Budget'!$C$21/'Renovation Budget'!$G$21,0)</f>
        <v/>
      </c>
      <c r="AM91" s="228">
        <f>IF(AND(AM$11&gt;=(12*(YEAR('Renovation Budget'!$F$21)-YEAR(Assumptions!$F$11))+(MONTH('Renovation Budget'!$F$21)-MONTH(Assumptions!$F$11))),AM$11&lt;=((12*(YEAR('Renovation Budget'!$F$21)-YEAR(Assumptions!$F$11))+(MONTH('Renovation Budget'!$F$21)-MONTH(Assumptions!$F$11)))+'Renovation Budget'!$G$21-1)),-'Renovation Budget'!$C$21/'Renovation Budget'!$G$21,0)</f>
        <v/>
      </c>
      <c r="AN91" s="228">
        <f>IF(AND(AN$11&gt;=(12*(YEAR('Renovation Budget'!$F$21)-YEAR(Assumptions!$F$11))+(MONTH('Renovation Budget'!$F$21)-MONTH(Assumptions!$F$11))),AN$11&lt;=((12*(YEAR('Renovation Budget'!$F$21)-YEAR(Assumptions!$F$11))+(MONTH('Renovation Budget'!$F$21)-MONTH(Assumptions!$F$11)))+'Renovation Budget'!$G$21-1)),-'Renovation Budget'!$C$21/'Renovation Budget'!$G$21,0)</f>
        <v/>
      </c>
      <c r="AO91" s="228">
        <f>IF(AND(AO$11&gt;=(12*(YEAR('Renovation Budget'!$F$21)-YEAR(Assumptions!$F$11))+(MONTH('Renovation Budget'!$F$21)-MONTH(Assumptions!$F$11))),AO$11&lt;=((12*(YEAR('Renovation Budget'!$F$21)-YEAR(Assumptions!$F$11))+(MONTH('Renovation Budget'!$F$21)-MONTH(Assumptions!$F$11)))+'Renovation Budget'!$G$21-1)),-'Renovation Budget'!$C$21/'Renovation Budget'!$G$21,0)</f>
        <v/>
      </c>
      <c r="AP91" s="228">
        <f>IF(AND(AP$11&gt;=(12*(YEAR('Renovation Budget'!$F$21)-YEAR(Assumptions!$F$11))+(MONTH('Renovation Budget'!$F$21)-MONTH(Assumptions!$F$11))),AP$11&lt;=((12*(YEAR('Renovation Budget'!$F$21)-YEAR(Assumptions!$F$11))+(MONTH('Renovation Budget'!$F$21)-MONTH(Assumptions!$F$11)))+'Renovation Budget'!$G$21-1)),-'Renovation Budget'!$C$21/'Renovation Budget'!$G$21,0)</f>
        <v/>
      </c>
      <c r="AQ91" s="228">
        <f>IF(AND(AQ$11&gt;=(12*(YEAR('Renovation Budget'!$F$21)-YEAR(Assumptions!$F$11))+(MONTH('Renovation Budget'!$F$21)-MONTH(Assumptions!$F$11))),AQ$11&lt;=((12*(YEAR('Renovation Budget'!$F$21)-YEAR(Assumptions!$F$11))+(MONTH('Renovation Budget'!$F$21)-MONTH(Assumptions!$F$11)))+'Renovation Budget'!$G$21-1)),-'Renovation Budget'!$C$21/'Renovation Budget'!$G$21,0)</f>
        <v/>
      </c>
      <c r="AR91" s="228">
        <f>IF(AND(AR$11&gt;=(12*(YEAR('Renovation Budget'!$F$21)-YEAR(Assumptions!$F$11))+(MONTH('Renovation Budget'!$F$21)-MONTH(Assumptions!$F$11))),AR$11&lt;=((12*(YEAR('Renovation Budget'!$F$21)-YEAR(Assumptions!$F$11))+(MONTH('Renovation Budget'!$F$21)-MONTH(Assumptions!$F$11)))+'Renovation Budget'!$G$21-1)),-'Renovation Budget'!$C$21/'Renovation Budget'!$G$21,0)</f>
        <v/>
      </c>
      <c r="AS91" s="228">
        <f>IF(AND(AS$11&gt;=(12*(YEAR('Renovation Budget'!$F$21)-YEAR(Assumptions!$F$11))+(MONTH('Renovation Budget'!$F$21)-MONTH(Assumptions!$F$11))),AS$11&lt;=((12*(YEAR('Renovation Budget'!$F$21)-YEAR(Assumptions!$F$11))+(MONTH('Renovation Budget'!$F$21)-MONTH(Assumptions!$F$11)))+'Renovation Budget'!$G$21-1)),-'Renovation Budget'!$C$21/'Renovation Budget'!$G$21,0)</f>
        <v/>
      </c>
      <c r="AT91" s="228">
        <f>IF(AND(AT$11&gt;=(12*(YEAR('Renovation Budget'!$F$21)-YEAR(Assumptions!$F$11))+(MONTH('Renovation Budget'!$F$21)-MONTH(Assumptions!$F$11))),AT$11&lt;=((12*(YEAR('Renovation Budget'!$F$21)-YEAR(Assumptions!$F$11))+(MONTH('Renovation Budget'!$F$21)-MONTH(Assumptions!$F$11)))+'Renovation Budget'!$G$21-1)),-'Renovation Budget'!$C$21/'Renovation Budget'!$G$21,0)</f>
        <v/>
      </c>
      <c r="AU91" s="228">
        <f>IF(AND(AU$11&gt;=(12*(YEAR('Renovation Budget'!$F$21)-YEAR(Assumptions!$F$11))+(MONTH('Renovation Budget'!$F$21)-MONTH(Assumptions!$F$11))),AU$11&lt;=((12*(YEAR('Renovation Budget'!$F$21)-YEAR(Assumptions!$F$11))+(MONTH('Renovation Budget'!$F$21)-MONTH(Assumptions!$F$11)))+'Renovation Budget'!$G$21-1)),-'Renovation Budget'!$C$21/'Renovation Budget'!$G$21,0)</f>
        <v/>
      </c>
      <c r="AV91" s="228">
        <f>IF(AND(AV$11&gt;=(12*(YEAR('Renovation Budget'!$F$21)-YEAR(Assumptions!$F$11))+(MONTH('Renovation Budget'!$F$21)-MONTH(Assumptions!$F$11))),AV$11&lt;=((12*(YEAR('Renovation Budget'!$F$21)-YEAR(Assumptions!$F$11))+(MONTH('Renovation Budget'!$F$21)-MONTH(Assumptions!$F$11)))+'Renovation Budget'!$G$21-1)),-'Renovation Budget'!$C$21/'Renovation Budget'!$G$21,0)</f>
        <v/>
      </c>
      <c r="AW91" s="228">
        <f>IF(AND(AW$11&gt;=(12*(YEAR('Renovation Budget'!$F$21)-YEAR(Assumptions!$F$11))+(MONTH('Renovation Budget'!$F$21)-MONTH(Assumptions!$F$11))),AW$11&lt;=((12*(YEAR('Renovation Budget'!$F$21)-YEAR(Assumptions!$F$11))+(MONTH('Renovation Budget'!$F$21)-MONTH(Assumptions!$F$11)))+'Renovation Budget'!$G$21-1)),-'Renovation Budget'!$C$21/'Renovation Budget'!$G$21,0)</f>
        <v/>
      </c>
      <c r="AX91" s="228">
        <f>IF(AND(AX$11&gt;=(12*(YEAR('Renovation Budget'!$F$21)-YEAR(Assumptions!$F$11))+(MONTH('Renovation Budget'!$F$21)-MONTH(Assumptions!$F$11))),AX$11&lt;=((12*(YEAR('Renovation Budget'!$F$21)-YEAR(Assumptions!$F$11))+(MONTH('Renovation Budget'!$F$21)-MONTH(Assumptions!$F$11)))+'Renovation Budget'!$G$21-1)),-'Renovation Budget'!$C$21/'Renovation Budget'!$G$21,0)</f>
        <v/>
      </c>
      <c r="AY91" s="228">
        <f>IF(AND(AY$11&gt;=(12*(YEAR('Renovation Budget'!$F$21)-YEAR(Assumptions!$F$11))+(MONTH('Renovation Budget'!$F$21)-MONTH(Assumptions!$F$11))),AY$11&lt;=((12*(YEAR('Renovation Budget'!$F$21)-YEAR(Assumptions!$F$11))+(MONTH('Renovation Budget'!$F$21)-MONTH(Assumptions!$F$11)))+'Renovation Budget'!$G$21-1)),-'Renovation Budget'!$C$21/'Renovation Budget'!$G$21,0)</f>
        <v/>
      </c>
      <c r="AZ91" s="228">
        <f>IF(AND(AZ$11&gt;=(12*(YEAR('Renovation Budget'!$F$21)-YEAR(Assumptions!$F$11))+(MONTH('Renovation Budget'!$F$21)-MONTH(Assumptions!$F$11))),AZ$11&lt;=((12*(YEAR('Renovation Budget'!$F$21)-YEAR(Assumptions!$F$11))+(MONTH('Renovation Budget'!$F$21)-MONTH(Assumptions!$F$11)))+'Renovation Budget'!$G$21-1)),-'Renovation Budget'!$C$21/'Renovation Budget'!$G$21,0)</f>
        <v/>
      </c>
      <c r="BA91" s="228">
        <f>IF(AND(BA$11&gt;=(12*(YEAR('Renovation Budget'!$F$21)-YEAR(Assumptions!$F$11))+(MONTH('Renovation Budget'!$F$21)-MONTH(Assumptions!$F$11))),BA$11&lt;=((12*(YEAR('Renovation Budget'!$F$21)-YEAR(Assumptions!$F$11))+(MONTH('Renovation Budget'!$F$21)-MONTH(Assumptions!$F$11)))+'Renovation Budget'!$G$21-1)),-'Renovation Budget'!$C$21/'Renovation Budget'!$G$21,0)</f>
        <v/>
      </c>
      <c r="BB91" s="228">
        <f>IF(AND(BB$11&gt;=(12*(YEAR('Renovation Budget'!$F$21)-YEAR(Assumptions!$F$11))+(MONTH('Renovation Budget'!$F$21)-MONTH(Assumptions!$F$11))),BB$11&lt;=((12*(YEAR('Renovation Budget'!$F$21)-YEAR(Assumptions!$F$11))+(MONTH('Renovation Budget'!$F$21)-MONTH(Assumptions!$F$11)))+'Renovation Budget'!$G$21-1)),-'Renovation Budget'!$C$21/'Renovation Budget'!$G$21,0)</f>
        <v/>
      </c>
      <c r="BC91" s="228">
        <f>IF(AND(BC$11&gt;=(12*(YEAR('Renovation Budget'!$F$21)-YEAR(Assumptions!$F$11))+(MONTH('Renovation Budget'!$F$21)-MONTH(Assumptions!$F$11))),BC$11&lt;=((12*(YEAR('Renovation Budget'!$F$21)-YEAR(Assumptions!$F$11))+(MONTH('Renovation Budget'!$F$21)-MONTH(Assumptions!$F$11)))+'Renovation Budget'!$G$21-1)),-'Renovation Budget'!$C$21/'Renovation Budget'!$G$21,0)</f>
        <v/>
      </c>
      <c r="BD91" s="228">
        <f>IF(AND(BD$11&gt;=(12*(YEAR('Renovation Budget'!$F$21)-YEAR(Assumptions!$F$11))+(MONTH('Renovation Budget'!$F$21)-MONTH(Assumptions!$F$11))),BD$11&lt;=((12*(YEAR('Renovation Budget'!$F$21)-YEAR(Assumptions!$F$11))+(MONTH('Renovation Budget'!$F$21)-MONTH(Assumptions!$F$11)))+'Renovation Budget'!$G$21-1)),-'Renovation Budget'!$C$21/'Renovation Budget'!$G$21,0)</f>
        <v/>
      </c>
      <c r="BE91" s="228">
        <f>IF(AND(BE$11&gt;=(12*(YEAR('Renovation Budget'!$F$21)-YEAR(Assumptions!$F$11))+(MONTH('Renovation Budget'!$F$21)-MONTH(Assumptions!$F$11))),BE$11&lt;=((12*(YEAR('Renovation Budget'!$F$21)-YEAR(Assumptions!$F$11))+(MONTH('Renovation Budget'!$F$21)-MONTH(Assumptions!$F$11)))+'Renovation Budget'!$G$21-1)),-'Renovation Budget'!$C$21/'Renovation Budget'!$G$21,0)</f>
        <v/>
      </c>
      <c r="BF91" s="228">
        <f>IF(AND(BF$11&gt;=(12*(YEAR('Renovation Budget'!$F$21)-YEAR(Assumptions!$F$11))+(MONTH('Renovation Budget'!$F$21)-MONTH(Assumptions!$F$11))),BF$11&lt;=((12*(YEAR('Renovation Budget'!$F$21)-YEAR(Assumptions!$F$11))+(MONTH('Renovation Budget'!$F$21)-MONTH(Assumptions!$F$11)))+'Renovation Budget'!$G$21-1)),-'Renovation Budget'!$C$21/'Renovation Budget'!$G$21,0)</f>
        <v/>
      </c>
      <c r="BG91" s="228">
        <f>IF(AND(BG$11&gt;=(12*(YEAR('Renovation Budget'!$F$21)-YEAR(Assumptions!$F$11))+(MONTH('Renovation Budget'!$F$21)-MONTH(Assumptions!$F$11))),BG$11&lt;=((12*(YEAR('Renovation Budget'!$F$21)-YEAR(Assumptions!$F$11))+(MONTH('Renovation Budget'!$F$21)-MONTH(Assumptions!$F$11)))+'Renovation Budget'!$G$21-1)),-'Renovation Budget'!$C$21/'Renovation Budget'!$G$21,0)</f>
        <v/>
      </c>
      <c r="BH91" s="228">
        <f>IF(AND(BH$11&gt;=(12*(YEAR('Renovation Budget'!$F$21)-YEAR(Assumptions!$F$11))+(MONTH('Renovation Budget'!$F$21)-MONTH(Assumptions!$F$11))),BH$11&lt;=((12*(YEAR('Renovation Budget'!$F$21)-YEAR(Assumptions!$F$11))+(MONTH('Renovation Budget'!$F$21)-MONTH(Assumptions!$F$11)))+'Renovation Budget'!$G$21-1)),-'Renovation Budget'!$C$21/'Renovation Budget'!$G$21,0)</f>
        <v/>
      </c>
      <c r="BI91" s="228">
        <f>IF(AND(BI$11&gt;=(12*(YEAR('Renovation Budget'!$F$21)-YEAR(Assumptions!$F$11))+(MONTH('Renovation Budget'!$F$21)-MONTH(Assumptions!$F$11))),BI$11&lt;=((12*(YEAR('Renovation Budget'!$F$21)-YEAR(Assumptions!$F$11))+(MONTH('Renovation Budget'!$F$21)-MONTH(Assumptions!$F$11)))+'Renovation Budget'!$G$21-1)),-'Renovation Budget'!$C$21/'Renovation Budget'!$G$21,0)</f>
        <v/>
      </c>
      <c r="BJ91" s="228">
        <f>IF(AND(BJ$11&gt;=(12*(YEAR('Renovation Budget'!$F$21)-YEAR(Assumptions!$F$11))+(MONTH('Renovation Budget'!$F$21)-MONTH(Assumptions!$F$11))),BJ$11&lt;=((12*(YEAR('Renovation Budget'!$F$21)-YEAR(Assumptions!$F$11))+(MONTH('Renovation Budget'!$F$21)-MONTH(Assumptions!$F$11)))+'Renovation Budget'!$G$21-1)),-'Renovation Budget'!$C$21/'Renovation Budget'!$G$21,0)</f>
        <v/>
      </c>
      <c r="BK91" s="228">
        <f>IF(AND(BK$11&gt;=(12*(YEAR('Renovation Budget'!$F$21)-YEAR(Assumptions!$F$11))+(MONTH('Renovation Budget'!$F$21)-MONTH(Assumptions!$F$11))),BK$11&lt;=((12*(YEAR('Renovation Budget'!$F$21)-YEAR(Assumptions!$F$11))+(MONTH('Renovation Budget'!$F$21)-MONTH(Assumptions!$F$11)))+'Renovation Budget'!$G$21-1)),-'Renovation Budget'!$C$21/'Renovation Budget'!$G$21,0)</f>
        <v/>
      </c>
      <c r="BL91" s="228">
        <f>IF(AND(BL$11&gt;=(12*(YEAR('Renovation Budget'!$F$21)-YEAR(Assumptions!$F$11))+(MONTH('Renovation Budget'!$F$21)-MONTH(Assumptions!$F$11))),BL$11&lt;=((12*(YEAR('Renovation Budget'!$F$21)-YEAR(Assumptions!$F$11))+(MONTH('Renovation Budget'!$F$21)-MONTH(Assumptions!$F$11)))+'Renovation Budget'!$G$21-1)),-'Renovation Budget'!$C$21/'Renovation Budget'!$G$21,0)</f>
        <v/>
      </c>
      <c r="BM91" s="228">
        <f>IF(AND(BM$11&gt;=(12*(YEAR('Renovation Budget'!$F$21)-YEAR(Assumptions!$F$11))+(MONTH('Renovation Budget'!$F$21)-MONTH(Assumptions!$F$11))),BM$11&lt;=((12*(YEAR('Renovation Budget'!$F$21)-YEAR(Assumptions!$F$11))+(MONTH('Renovation Budget'!$F$21)-MONTH(Assumptions!$F$11)))+'Renovation Budget'!$G$21-1)),-'Renovation Budget'!$C$21/'Renovation Budget'!$G$21,0)</f>
        <v/>
      </c>
      <c r="BN91" s="228">
        <f>IF(AND(BN$11&gt;=(12*(YEAR('Renovation Budget'!$F$21)-YEAR(Assumptions!$F$11))+(MONTH('Renovation Budget'!$F$21)-MONTH(Assumptions!$F$11))),BN$11&lt;=((12*(YEAR('Renovation Budget'!$F$21)-YEAR(Assumptions!$F$11))+(MONTH('Renovation Budget'!$F$21)-MONTH(Assumptions!$F$11)))+'Renovation Budget'!$G$21-1)),-'Renovation Budget'!$C$21/'Renovation Budget'!$G$21,0)</f>
        <v/>
      </c>
      <c r="BO91" s="228">
        <f>IF(AND(BO$11&gt;=(12*(YEAR('Renovation Budget'!$F$21)-YEAR(Assumptions!$F$11))+(MONTH('Renovation Budget'!$F$21)-MONTH(Assumptions!$F$11))),BO$11&lt;=((12*(YEAR('Renovation Budget'!$F$21)-YEAR(Assumptions!$F$11))+(MONTH('Renovation Budget'!$F$21)-MONTH(Assumptions!$F$11)))+'Renovation Budget'!$G$21-1)),-'Renovation Budget'!$C$21/'Renovation Budget'!$G$21,0)</f>
        <v/>
      </c>
      <c r="BP91" s="228">
        <f>IF(AND(BP$11&gt;=(12*(YEAR('Renovation Budget'!$F$21)-YEAR(Assumptions!$F$11))+(MONTH('Renovation Budget'!$F$21)-MONTH(Assumptions!$F$11))),BP$11&lt;=((12*(YEAR('Renovation Budget'!$F$21)-YEAR(Assumptions!$F$11))+(MONTH('Renovation Budget'!$F$21)-MONTH(Assumptions!$F$11)))+'Renovation Budget'!$G$21-1)),-'Renovation Budget'!$C$21/'Renovation Budget'!$G$21,0)</f>
        <v/>
      </c>
      <c r="BQ91" s="228">
        <f>IF(AND(BQ$11&gt;=(12*(YEAR('Renovation Budget'!$F$21)-YEAR(Assumptions!$F$11))+(MONTH('Renovation Budget'!$F$21)-MONTH(Assumptions!$F$11))),BQ$11&lt;=((12*(YEAR('Renovation Budget'!$F$21)-YEAR(Assumptions!$F$11))+(MONTH('Renovation Budget'!$F$21)-MONTH(Assumptions!$F$11)))+'Renovation Budget'!$G$21-1)),-'Renovation Budget'!$C$21/'Renovation Budget'!$G$21,0)</f>
        <v/>
      </c>
      <c r="BR91" s="228">
        <f>IF(AND(BR$11&gt;=(12*(YEAR('Renovation Budget'!$F$21)-YEAR(Assumptions!$F$11))+(MONTH('Renovation Budget'!$F$21)-MONTH(Assumptions!$F$11))),BR$11&lt;=((12*(YEAR('Renovation Budget'!$F$21)-YEAR(Assumptions!$F$11))+(MONTH('Renovation Budget'!$F$21)-MONTH(Assumptions!$F$11)))+'Renovation Budget'!$G$21-1)),-'Renovation Budget'!$C$21/'Renovation Budget'!$G$21,0)</f>
        <v/>
      </c>
      <c r="BS91" s="228">
        <f>IF(AND(BS$11&gt;=(12*(YEAR('Renovation Budget'!$F$21)-YEAR(Assumptions!$F$11))+(MONTH('Renovation Budget'!$F$21)-MONTH(Assumptions!$F$11))),BS$11&lt;=((12*(YEAR('Renovation Budget'!$F$21)-YEAR(Assumptions!$F$11))+(MONTH('Renovation Budget'!$F$21)-MONTH(Assumptions!$F$11)))+'Renovation Budget'!$G$21-1)),-'Renovation Budget'!$C$21/'Renovation Budget'!$G$21,0)</f>
        <v/>
      </c>
      <c r="BT91" s="228">
        <f>IF(AND(BT$11&gt;=(12*(YEAR('Renovation Budget'!$F$21)-YEAR(Assumptions!$F$11))+(MONTH('Renovation Budget'!$F$21)-MONTH(Assumptions!$F$11))),BT$11&lt;=((12*(YEAR('Renovation Budget'!$F$21)-YEAR(Assumptions!$F$11))+(MONTH('Renovation Budget'!$F$21)-MONTH(Assumptions!$F$11)))+'Renovation Budget'!$G$21-1)),-'Renovation Budget'!$C$21/'Renovation Budget'!$G$21,0)</f>
        <v/>
      </c>
      <c r="BU91" s="228">
        <f>IF(AND(BU$11&gt;=(12*(YEAR('Renovation Budget'!$F$21)-YEAR(Assumptions!$F$11))+(MONTH('Renovation Budget'!$F$21)-MONTH(Assumptions!$F$11))),BU$11&lt;=((12*(YEAR('Renovation Budget'!$F$21)-YEAR(Assumptions!$F$11))+(MONTH('Renovation Budget'!$F$21)-MONTH(Assumptions!$F$11)))+'Renovation Budget'!$G$21-1)),-'Renovation Budget'!$C$21/'Renovation Budget'!$G$21,0)</f>
        <v/>
      </c>
      <c r="BV91" s="228">
        <f>IF(AND(BV$11&gt;=(12*(YEAR('Renovation Budget'!$F$21)-YEAR(Assumptions!$F$11))+(MONTH('Renovation Budget'!$F$21)-MONTH(Assumptions!$F$11))),BV$11&lt;=((12*(YEAR('Renovation Budget'!$F$21)-YEAR(Assumptions!$F$11))+(MONTH('Renovation Budget'!$F$21)-MONTH(Assumptions!$F$11)))+'Renovation Budget'!$G$21-1)),-'Renovation Budget'!$C$21/'Renovation Budget'!$G$21,0)</f>
        <v/>
      </c>
      <c r="BW91" s="228">
        <f>IF(AND(BW$11&gt;=(12*(YEAR('Renovation Budget'!$F$21)-YEAR(Assumptions!$F$11))+(MONTH('Renovation Budget'!$F$21)-MONTH(Assumptions!$F$11))),BW$11&lt;=((12*(YEAR('Renovation Budget'!$F$21)-YEAR(Assumptions!$F$11))+(MONTH('Renovation Budget'!$F$21)-MONTH(Assumptions!$F$11)))+'Renovation Budget'!$G$21-1)),-'Renovation Budget'!$C$21/'Renovation Budget'!$G$21,0)</f>
        <v/>
      </c>
      <c r="BX91" s="228">
        <f>IF(AND(BX$11&gt;=(12*(YEAR('Renovation Budget'!$F$21)-YEAR(Assumptions!$F$11))+(MONTH('Renovation Budget'!$F$21)-MONTH(Assumptions!$F$11))),BX$11&lt;=((12*(YEAR('Renovation Budget'!$F$21)-YEAR(Assumptions!$F$11))+(MONTH('Renovation Budget'!$F$21)-MONTH(Assumptions!$F$11)))+'Renovation Budget'!$G$21-1)),-'Renovation Budget'!$C$21/'Renovation Budget'!$G$21,0)</f>
        <v/>
      </c>
      <c r="BY91" s="228">
        <f>IF(AND(BY$11&gt;=(12*(YEAR('Renovation Budget'!$F$21)-YEAR(Assumptions!$F$11))+(MONTH('Renovation Budget'!$F$21)-MONTH(Assumptions!$F$11))),BY$11&lt;=((12*(YEAR('Renovation Budget'!$F$21)-YEAR(Assumptions!$F$11))+(MONTH('Renovation Budget'!$F$21)-MONTH(Assumptions!$F$11)))+'Renovation Budget'!$G$21-1)),-'Renovation Budget'!$C$21/'Renovation Budget'!$G$21,0)</f>
        <v/>
      </c>
      <c r="BZ91" s="228">
        <f>IF(AND(BZ$11&gt;=(12*(YEAR('Renovation Budget'!$F$21)-YEAR(Assumptions!$F$11))+(MONTH('Renovation Budget'!$F$21)-MONTH(Assumptions!$F$11))),BZ$11&lt;=((12*(YEAR('Renovation Budget'!$F$21)-YEAR(Assumptions!$F$11))+(MONTH('Renovation Budget'!$F$21)-MONTH(Assumptions!$F$11)))+'Renovation Budget'!$G$21-1)),-'Renovation Budget'!$C$21/'Renovation Budget'!$G$21,0)</f>
        <v/>
      </c>
      <c r="CA91" s="228">
        <f>IF(AND(CA$11&gt;=(12*(YEAR('Renovation Budget'!$F$21)-YEAR(Assumptions!$F$11))+(MONTH('Renovation Budget'!$F$21)-MONTH(Assumptions!$F$11))),CA$11&lt;=((12*(YEAR('Renovation Budget'!$F$21)-YEAR(Assumptions!$F$11))+(MONTH('Renovation Budget'!$F$21)-MONTH(Assumptions!$F$11)))+'Renovation Budget'!$G$21-1)),-'Renovation Budget'!$C$21/'Renovation Budget'!$G$21,0)</f>
        <v/>
      </c>
      <c r="CB91" s="228">
        <f>IF(AND(CB$11&gt;=(12*(YEAR('Renovation Budget'!$F$21)-YEAR(Assumptions!$F$11))+(MONTH('Renovation Budget'!$F$21)-MONTH(Assumptions!$F$11))),CB$11&lt;=((12*(YEAR('Renovation Budget'!$F$21)-YEAR(Assumptions!$F$11))+(MONTH('Renovation Budget'!$F$21)-MONTH(Assumptions!$F$11)))+'Renovation Budget'!$G$21-1)),-'Renovation Budget'!$C$21/'Renovation Budget'!$G$21,0)</f>
        <v/>
      </c>
      <c r="CC91" s="228">
        <f>IF(AND(CC$11&gt;=(12*(YEAR('Renovation Budget'!$F$21)-YEAR(Assumptions!$F$11))+(MONTH('Renovation Budget'!$F$21)-MONTH(Assumptions!$F$11))),CC$11&lt;=((12*(YEAR('Renovation Budget'!$F$21)-YEAR(Assumptions!$F$11))+(MONTH('Renovation Budget'!$F$21)-MONTH(Assumptions!$F$11)))+'Renovation Budget'!$G$21-1)),-'Renovation Budget'!$C$21/'Renovation Budget'!$G$21,0)</f>
        <v/>
      </c>
      <c r="CD91" s="228">
        <f>IF(AND(CD$11&gt;=(12*(YEAR('Renovation Budget'!$F$21)-YEAR(Assumptions!$F$11))+(MONTH('Renovation Budget'!$F$21)-MONTH(Assumptions!$F$11))),CD$11&lt;=((12*(YEAR('Renovation Budget'!$F$21)-YEAR(Assumptions!$F$11))+(MONTH('Renovation Budget'!$F$21)-MONTH(Assumptions!$F$11)))+'Renovation Budget'!$G$21-1)),-'Renovation Budget'!$C$21/'Renovation Budget'!$G$21,0)</f>
        <v/>
      </c>
      <c r="CE91" s="228">
        <f>IF(AND(CE$11&gt;=(12*(YEAR('Renovation Budget'!$F$21)-YEAR(Assumptions!$F$11))+(MONTH('Renovation Budget'!$F$21)-MONTH(Assumptions!$F$11))),CE$11&lt;=((12*(YEAR('Renovation Budget'!$F$21)-YEAR(Assumptions!$F$11))+(MONTH('Renovation Budget'!$F$21)-MONTH(Assumptions!$F$11)))+'Renovation Budget'!$G$21-1)),-'Renovation Budget'!$C$21/'Renovation Budget'!$G$21,0)</f>
        <v/>
      </c>
      <c r="CF91" s="228">
        <f>IF(AND(CF$11&gt;=(12*(YEAR('Renovation Budget'!$F$21)-YEAR(Assumptions!$F$11))+(MONTH('Renovation Budget'!$F$21)-MONTH(Assumptions!$F$11))),CF$11&lt;=((12*(YEAR('Renovation Budget'!$F$21)-YEAR(Assumptions!$F$11))+(MONTH('Renovation Budget'!$F$21)-MONTH(Assumptions!$F$11)))+'Renovation Budget'!$G$21-1)),-'Renovation Budget'!$C$21/'Renovation Budget'!$G$21,0)</f>
        <v/>
      </c>
      <c r="CG91" s="228">
        <f>IF(AND(CG$11&gt;=(12*(YEAR('Renovation Budget'!$F$21)-YEAR(Assumptions!$F$11))+(MONTH('Renovation Budget'!$F$21)-MONTH(Assumptions!$F$11))),CG$11&lt;=((12*(YEAR('Renovation Budget'!$F$21)-YEAR(Assumptions!$F$11))+(MONTH('Renovation Budget'!$F$21)-MONTH(Assumptions!$F$11)))+'Renovation Budget'!$G$21-1)),-'Renovation Budget'!$C$21/'Renovation Budget'!$G$21,0)</f>
        <v/>
      </c>
      <c r="CH91" s="228">
        <f>IF(AND(CH$11&gt;=(12*(YEAR('Renovation Budget'!$F$21)-YEAR(Assumptions!$F$11))+(MONTH('Renovation Budget'!$F$21)-MONTH(Assumptions!$F$11))),CH$11&lt;=((12*(YEAR('Renovation Budget'!$F$21)-YEAR(Assumptions!$F$11))+(MONTH('Renovation Budget'!$F$21)-MONTH(Assumptions!$F$11)))+'Renovation Budget'!$G$21-1)),-'Renovation Budget'!$C$21/'Renovation Budget'!$G$21,0)</f>
        <v/>
      </c>
      <c r="CI91" s="228">
        <f>IF(AND(CI$11&gt;=(12*(YEAR('Renovation Budget'!$F$21)-YEAR(Assumptions!$F$11))+(MONTH('Renovation Budget'!$F$21)-MONTH(Assumptions!$F$11))),CI$11&lt;=((12*(YEAR('Renovation Budget'!$F$21)-YEAR(Assumptions!$F$11))+(MONTH('Renovation Budget'!$F$21)-MONTH(Assumptions!$F$11)))+'Renovation Budget'!$G$21-1)),-'Renovation Budget'!$C$21/'Renovation Budget'!$G$21,0)</f>
        <v/>
      </c>
      <c r="CJ91" s="228">
        <f>IF(AND(CJ$11&gt;=(12*(YEAR('Renovation Budget'!$F$21)-YEAR(Assumptions!$F$11))+(MONTH('Renovation Budget'!$F$21)-MONTH(Assumptions!$F$11))),CJ$11&lt;=((12*(YEAR('Renovation Budget'!$F$21)-YEAR(Assumptions!$F$11))+(MONTH('Renovation Budget'!$F$21)-MONTH(Assumptions!$F$11)))+'Renovation Budget'!$G$21-1)),-'Renovation Budget'!$C$21/'Renovation Budget'!$G$21,0)</f>
        <v/>
      </c>
      <c r="CK91" s="228">
        <f>IF(AND(CK$11&gt;=(12*(YEAR('Renovation Budget'!$F$21)-YEAR(Assumptions!$F$11))+(MONTH('Renovation Budget'!$F$21)-MONTH(Assumptions!$F$11))),CK$11&lt;=((12*(YEAR('Renovation Budget'!$F$21)-YEAR(Assumptions!$F$11))+(MONTH('Renovation Budget'!$F$21)-MONTH(Assumptions!$F$11)))+'Renovation Budget'!$G$21-1)),-'Renovation Budget'!$C$21/'Renovation Budget'!$G$21,0)</f>
        <v/>
      </c>
      <c r="CL91" s="228">
        <f>IF(AND(CL$11&gt;=(12*(YEAR('Renovation Budget'!$F$21)-YEAR(Assumptions!$F$11))+(MONTH('Renovation Budget'!$F$21)-MONTH(Assumptions!$F$11))),CL$11&lt;=((12*(YEAR('Renovation Budget'!$F$21)-YEAR(Assumptions!$F$11))+(MONTH('Renovation Budget'!$F$21)-MONTH(Assumptions!$F$11)))+'Renovation Budget'!$G$21-1)),-'Renovation Budget'!$C$21/'Renovation Budget'!$G$21,0)</f>
        <v/>
      </c>
      <c r="CM91" s="228">
        <f>IF(AND(CM$11&gt;=(12*(YEAR('Renovation Budget'!$F$21)-YEAR(Assumptions!$F$11))+(MONTH('Renovation Budget'!$F$21)-MONTH(Assumptions!$F$11))),CM$11&lt;=((12*(YEAR('Renovation Budget'!$F$21)-YEAR(Assumptions!$F$11))+(MONTH('Renovation Budget'!$F$21)-MONTH(Assumptions!$F$11)))+'Renovation Budget'!$G$21-1)),-'Renovation Budget'!$C$21/'Renovation Budget'!$G$21,0)</f>
        <v/>
      </c>
      <c r="CN91" s="228">
        <f>IF(AND(CN$11&gt;=(12*(YEAR('Renovation Budget'!$F$21)-YEAR(Assumptions!$F$11))+(MONTH('Renovation Budget'!$F$21)-MONTH(Assumptions!$F$11))),CN$11&lt;=((12*(YEAR('Renovation Budget'!$F$21)-YEAR(Assumptions!$F$11))+(MONTH('Renovation Budget'!$F$21)-MONTH(Assumptions!$F$11)))+'Renovation Budget'!$G$21-1)),-'Renovation Budget'!$C$21/'Renovation Budget'!$G$21,0)</f>
        <v/>
      </c>
      <c r="CO91" s="228">
        <f>IF(AND(CO$11&gt;=(12*(YEAR('Renovation Budget'!$F$21)-YEAR(Assumptions!$F$11))+(MONTH('Renovation Budget'!$F$21)-MONTH(Assumptions!$F$11))),CO$11&lt;=((12*(YEAR('Renovation Budget'!$F$21)-YEAR(Assumptions!$F$11))+(MONTH('Renovation Budget'!$F$21)-MONTH(Assumptions!$F$11)))+'Renovation Budget'!$G$21-1)),-'Renovation Budget'!$C$21/'Renovation Budget'!$G$21,0)</f>
        <v/>
      </c>
      <c r="CP91" s="228">
        <f>IF(AND(CP$11&gt;=(12*(YEAR('Renovation Budget'!$F$21)-YEAR(Assumptions!$F$11))+(MONTH('Renovation Budget'!$F$21)-MONTH(Assumptions!$F$11))),CP$11&lt;=((12*(YEAR('Renovation Budget'!$F$21)-YEAR(Assumptions!$F$11))+(MONTH('Renovation Budget'!$F$21)-MONTH(Assumptions!$F$11)))+'Renovation Budget'!$G$21-1)),-'Renovation Budget'!$C$21/'Renovation Budget'!$G$21,0)</f>
        <v/>
      </c>
      <c r="CQ91" s="228">
        <f>IF(AND(CQ$11&gt;=(12*(YEAR('Renovation Budget'!$F$21)-YEAR(Assumptions!$F$11))+(MONTH('Renovation Budget'!$F$21)-MONTH(Assumptions!$F$11))),CQ$11&lt;=((12*(YEAR('Renovation Budget'!$F$21)-YEAR(Assumptions!$F$11))+(MONTH('Renovation Budget'!$F$21)-MONTH(Assumptions!$F$11)))+'Renovation Budget'!$G$21-1)),-'Renovation Budget'!$C$21/'Renovation Budget'!$G$21,0)</f>
        <v/>
      </c>
      <c r="CR91" s="228">
        <f>IF(AND(CR$11&gt;=(12*(YEAR('Renovation Budget'!$F$21)-YEAR(Assumptions!$F$11))+(MONTH('Renovation Budget'!$F$21)-MONTH(Assumptions!$F$11))),CR$11&lt;=((12*(YEAR('Renovation Budget'!$F$21)-YEAR(Assumptions!$F$11))+(MONTH('Renovation Budget'!$F$21)-MONTH(Assumptions!$F$11)))+'Renovation Budget'!$G$21-1)),-'Renovation Budget'!$C$21/'Renovation Budget'!$G$21,0)</f>
        <v/>
      </c>
      <c r="CS91" s="228">
        <f>IF(AND(CS$11&gt;=(12*(YEAR('Renovation Budget'!$F$21)-YEAR(Assumptions!$F$11))+(MONTH('Renovation Budget'!$F$21)-MONTH(Assumptions!$F$11))),CS$11&lt;=((12*(YEAR('Renovation Budget'!$F$21)-YEAR(Assumptions!$F$11))+(MONTH('Renovation Budget'!$F$21)-MONTH(Assumptions!$F$11)))+'Renovation Budget'!$G$21-1)),-'Renovation Budget'!$C$21/'Renovation Budget'!$G$21,0)</f>
        <v/>
      </c>
      <c r="CT91" s="228">
        <f>IF(AND(CT$11&gt;=(12*(YEAR('Renovation Budget'!$F$21)-YEAR(Assumptions!$F$11))+(MONTH('Renovation Budget'!$F$21)-MONTH(Assumptions!$F$11))),CT$11&lt;=((12*(YEAR('Renovation Budget'!$F$21)-YEAR(Assumptions!$F$11))+(MONTH('Renovation Budget'!$F$21)-MONTH(Assumptions!$F$11)))+'Renovation Budget'!$G$21-1)),-'Renovation Budget'!$C$21/'Renovation Budget'!$G$21,0)</f>
        <v/>
      </c>
      <c r="CU91" s="228">
        <f>IF(AND(CU$11&gt;=(12*(YEAR('Renovation Budget'!$F$21)-YEAR(Assumptions!$F$11))+(MONTH('Renovation Budget'!$F$21)-MONTH(Assumptions!$F$11))),CU$11&lt;=((12*(YEAR('Renovation Budget'!$F$21)-YEAR(Assumptions!$F$11))+(MONTH('Renovation Budget'!$F$21)-MONTH(Assumptions!$F$11)))+'Renovation Budget'!$G$21-1)),-'Renovation Budget'!$C$21/'Renovation Budget'!$G$21,0)</f>
        <v/>
      </c>
      <c r="CV91" s="228">
        <f>IF(AND(CV$11&gt;=(12*(YEAR('Renovation Budget'!$F$21)-YEAR(Assumptions!$F$11))+(MONTH('Renovation Budget'!$F$21)-MONTH(Assumptions!$F$11))),CV$11&lt;=((12*(YEAR('Renovation Budget'!$F$21)-YEAR(Assumptions!$F$11))+(MONTH('Renovation Budget'!$F$21)-MONTH(Assumptions!$F$11)))+'Renovation Budget'!$G$21-1)),-'Renovation Budget'!$C$21/'Renovation Budget'!$G$21,0)</f>
        <v/>
      </c>
      <c r="CW91" s="228">
        <f>IF(AND(CW$11&gt;=(12*(YEAR('Renovation Budget'!$F$21)-YEAR(Assumptions!$F$11))+(MONTH('Renovation Budget'!$F$21)-MONTH(Assumptions!$F$11))),CW$11&lt;=((12*(YEAR('Renovation Budget'!$F$21)-YEAR(Assumptions!$F$11))+(MONTH('Renovation Budget'!$F$21)-MONTH(Assumptions!$F$11)))+'Renovation Budget'!$G$21-1)),-'Renovation Budget'!$C$21/'Renovation Budget'!$G$21,0)</f>
        <v/>
      </c>
      <c r="CX91" s="228">
        <f>IF(AND(CX$11&gt;=(12*(YEAR('Renovation Budget'!$F$21)-YEAR(Assumptions!$F$11))+(MONTH('Renovation Budget'!$F$21)-MONTH(Assumptions!$F$11))),CX$11&lt;=((12*(YEAR('Renovation Budget'!$F$21)-YEAR(Assumptions!$F$11))+(MONTH('Renovation Budget'!$F$21)-MONTH(Assumptions!$F$11)))+'Renovation Budget'!$G$21-1)),-'Renovation Budget'!$C$21/'Renovation Budget'!$G$21,0)</f>
        <v/>
      </c>
      <c r="CY91" s="228">
        <f>IF(AND(CY$11&gt;=(12*(YEAR('Renovation Budget'!$F$21)-YEAR(Assumptions!$F$11))+(MONTH('Renovation Budget'!$F$21)-MONTH(Assumptions!$F$11))),CY$11&lt;=((12*(YEAR('Renovation Budget'!$F$21)-YEAR(Assumptions!$F$11))+(MONTH('Renovation Budget'!$F$21)-MONTH(Assumptions!$F$11)))+'Renovation Budget'!$G$21-1)),-'Renovation Budget'!$C$21/'Renovation Budget'!$G$21,0)</f>
        <v/>
      </c>
      <c r="CZ91" s="228">
        <f>IF(AND(CZ$11&gt;=(12*(YEAR('Renovation Budget'!$F$21)-YEAR(Assumptions!$F$11))+(MONTH('Renovation Budget'!$F$21)-MONTH(Assumptions!$F$11))),CZ$11&lt;=((12*(YEAR('Renovation Budget'!$F$21)-YEAR(Assumptions!$F$11))+(MONTH('Renovation Budget'!$F$21)-MONTH(Assumptions!$F$11)))+'Renovation Budget'!$G$21-1)),-'Renovation Budget'!$C$21/'Renovation Budget'!$G$21,0)</f>
        <v/>
      </c>
      <c r="DA91" s="228">
        <f>IF(AND(DA$11&gt;=(12*(YEAR('Renovation Budget'!$F$21)-YEAR(Assumptions!$F$11))+(MONTH('Renovation Budget'!$F$21)-MONTH(Assumptions!$F$11))),DA$11&lt;=((12*(YEAR('Renovation Budget'!$F$21)-YEAR(Assumptions!$F$11))+(MONTH('Renovation Budget'!$F$21)-MONTH(Assumptions!$F$11)))+'Renovation Budget'!$G$21-1)),-'Renovation Budget'!$C$21/'Renovation Budget'!$G$21,0)</f>
        <v/>
      </c>
      <c r="DB91" s="228">
        <f>IF(AND(DB$11&gt;=(12*(YEAR('Renovation Budget'!$F$21)-YEAR(Assumptions!$F$11))+(MONTH('Renovation Budget'!$F$21)-MONTH(Assumptions!$F$11))),DB$11&lt;=((12*(YEAR('Renovation Budget'!$F$21)-YEAR(Assumptions!$F$11))+(MONTH('Renovation Budget'!$F$21)-MONTH(Assumptions!$F$11)))+'Renovation Budget'!$G$21-1)),-'Renovation Budget'!$C$21/'Renovation Budget'!$G$21,0)</f>
        <v/>
      </c>
      <c r="DC91" s="228">
        <f>IF(AND(DC$11&gt;=(12*(YEAR('Renovation Budget'!$F$21)-YEAR(Assumptions!$F$11))+(MONTH('Renovation Budget'!$F$21)-MONTH(Assumptions!$F$11))),DC$11&lt;=((12*(YEAR('Renovation Budget'!$F$21)-YEAR(Assumptions!$F$11))+(MONTH('Renovation Budget'!$F$21)-MONTH(Assumptions!$F$11)))+'Renovation Budget'!$G$21-1)),-'Renovation Budget'!$C$21/'Renovation Budget'!$G$21,0)</f>
        <v/>
      </c>
      <c r="DD91" s="228">
        <f>IF(AND(DD$11&gt;=(12*(YEAR('Renovation Budget'!$F$21)-YEAR(Assumptions!$F$11))+(MONTH('Renovation Budget'!$F$21)-MONTH(Assumptions!$F$11))),DD$11&lt;=((12*(YEAR('Renovation Budget'!$F$21)-YEAR(Assumptions!$F$11))+(MONTH('Renovation Budget'!$F$21)-MONTH(Assumptions!$F$11)))+'Renovation Budget'!$G$21-1)),-'Renovation Budget'!$C$21/'Renovation Budget'!$G$21,0)</f>
        <v/>
      </c>
      <c r="DE91" s="228">
        <f>IF(AND(DE$11&gt;=(12*(YEAR('Renovation Budget'!$F$21)-YEAR(Assumptions!$F$11))+(MONTH('Renovation Budget'!$F$21)-MONTH(Assumptions!$F$11))),DE$11&lt;=((12*(YEAR('Renovation Budget'!$F$21)-YEAR(Assumptions!$F$11))+(MONTH('Renovation Budget'!$F$21)-MONTH(Assumptions!$F$11)))+'Renovation Budget'!$G$21-1)),-'Renovation Budget'!$C$21/'Renovation Budget'!$G$21,0)</f>
        <v/>
      </c>
      <c r="DF91" s="228">
        <f>IF(AND(DF$11&gt;=(12*(YEAR('Renovation Budget'!$F$21)-YEAR(Assumptions!$F$11))+(MONTH('Renovation Budget'!$F$21)-MONTH(Assumptions!$F$11))),DF$11&lt;=((12*(YEAR('Renovation Budget'!$F$21)-YEAR(Assumptions!$F$11))+(MONTH('Renovation Budget'!$F$21)-MONTH(Assumptions!$F$11)))+'Renovation Budget'!$G$21-1)),-'Renovation Budget'!$C$21/'Renovation Budget'!$G$21,0)</f>
        <v/>
      </c>
      <c r="DG91" s="228">
        <f>IF(AND(DG$11&gt;=(12*(YEAR('Renovation Budget'!$F$21)-YEAR(Assumptions!$F$11))+(MONTH('Renovation Budget'!$F$21)-MONTH(Assumptions!$F$11))),DG$11&lt;=((12*(YEAR('Renovation Budget'!$F$21)-YEAR(Assumptions!$F$11))+(MONTH('Renovation Budget'!$F$21)-MONTH(Assumptions!$F$11)))+'Renovation Budget'!$G$21-1)),-'Renovation Budget'!$C$21/'Renovation Budget'!$G$21,0)</f>
        <v/>
      </c>
      <c r="DH91" s="228">
        <f>IF(AND(DH$11&gt;=(12*(YEAR('Renovation Budget'!$F$21)-YEAR(Assumptions!$F$11))+(MONTH('Renovation Budget'!$F$21)-MONTH(Assumptions!$F$11))),DH$11&lt;=((12*(YEAR('Renovation Budget'!$F$21)-YEAR(Assumptions!$F$11))+(MONTH('Renovation Budget'!$F$21)-MONTH(Assumptions!$F$11)))+'Renovation Budget'!$G$21-1)),-'Renovation Budget'!$C$21/'Renovation Budget'!$G$21,0)</f>
        <v/>
      </c>
      <c r="DI91" s="228">
        <f>IF(AND(DI$11&gt;=(12*(YEAR('Renovation Budget'!$F$21)-YEAR(Assumptions!$F$11))+(MONTH('Renovation Budget'!$F$21)-MONTH(Assumptions!$F$11))),DI$11&lt;=((12*(YEAR('Renovation Budget'!$F$21)-YEAR(Assumptions!$F$11))+(MONTH('Renovation Budget'!$F$21)-MONTH(Assumptions!$F$11)))+'Renovation Budget'!$G$21-1)),-'Renovation Budget'!$C$21/'Renovation Budget'!$G$21,0)</f>
        <v/>
      </c>
      <c r="DJ91" s="228">
        <f>IF(AND(DJ$11&gt;=(12*(YEAR('Renovation Budget'!$F$21)-YEAR(Assumptions!$F$11))+(MONTH('Renovation Budget'!$F$21)-MONTH(Assumptions!$F$11))),DJ$11&lt;=((12*(YEAR('Renovation Budget'!$F$21)-YEAR(Assumptions!$F$11))+(MONTH('Renovation Budget'!$F$21)-MONTH(Assumptions!$F$11)))+'Renovation Budget'!$G$21-1)),-'Renovation Budget'!$C$21/'Renovation Budget'!$G$21,0)</f>
        <v/>
      </c>
      <c r="DK91" s="228">
        <f>IF(AND(DK$11&gt;=(12*(YEAR('Renovation Budget'!$F$21)-YEAR(Assumptions!$F$11))+(MONTH('Renovation Budget'!$F$21)-MONTH(Assumptions!$F$11))),DK$11&lt;=((12*(YEAR('Renovation Budget'!$F$21)-YEAR(Assumptions!$F$11))+(MONTH('Renovation Budget'!$F$21)-MONTH(Assumptions!$F$11)))+'Renovation Budget'!$G$21-1)),-'Renovation Budget'!$C$21/'Renovation Budget'!$G$21,0)</f>
        <v/>
      </c>
      <c r="DL91" s="228">
        <f>IF(AND(DL$11&gt;=(12*(YEAR('Renovation Budget'!$F$21)-YEAR(Assumptions!$F$11))+(MONTH('Renovation Budget'!$F$21)-MONTH(Assumptions!$F$11))),DL$11&lt;=((12*(YEAR('Renovation Budget'!$F$21)-YEAR(Assumptions!$F$11))+(MONTH('Renovation Budget'!$F$21)-MONTH(Assumptions!$F$11)))+'Renovation Budget'!$G$21-1)),-'Renovation Budget'!$C$21/'Renovation Budget'!$G$21,0)</f>
        <v/>
      </c>
      <c r="DM91" s="228">
        <f>IF(AND(DM$11&gt;=(12*(YEAR('Renovation Budget'!$F$21)-YEAR(Assumptions!$F$11))+(MONTH('Renovation Budget'!$F$21)-MONTH(Assumptions!$F$11))),DM$11&lt;=((12*(YEAR('Renovation Budget'!$F$21)-YEAR(Assumptions!$F$11))+(MONTH('Renovation Budget'!$F$21)-MONTH(Assumptions!$F$11)))+'Renovation Budget'!$G$21-1)),-'Renovation Budget'!$C$21/'Renovation Budget'!$G$21,0)</f>
        <v/>
      </c>
      <c r="DN91" s="228">
        <f>IF(AND(DN$11&gt;=(12*(YEAR('Renovation Budget'!$F$21)-YEAR(Assumptions!$F$11))+(MONTH('Renovation Budget'!$F$21)-MONTH(Assumptions!$F$11))),DN$11&lt;=((12*(YEAR('Renovation Budget'!$F$21)-YEAR(Assumptions!$F$11))+(MONTH('Renovation Budget'!$F$21)-MONTH(Assumptions!$F$11)))+'Renovation Budget'!$G$21-1)),-'Renovation Budget'!$C$21/'Renovation Budget'!$G$21,0)</f>
        <v/>
      </c>
      <c r="DO91" s="228">
        <f>IF(AND(DO$11&gt;=(12*(YEAR('Renovation Budget'!$F$21)-YEAR(Assumptions!$F$11))+(MONTH('Renovation Budget'!$F$21)-MONTH(Assumptions!$F$11))),DO$11&lt;=((12*(YEAR('Renovation Budget'!$F$21)-YEAR(Assumptions!$F$11))+(MONTH('Renovation Budget'!$F$21)-MONTH(Assumptions!$F$11)))+'Renovation Budget'!$G$21-1)),-'Renovation Budget'!$C$21/'Renovation Budget'!$G$21,0)</f>
        <v/>
      </c>
      <c r="DP91" s="228">
        <f>IF(AND(DP$11&gt;=(12*(YEAR('Renovation Budget'!$F$21)-YEAR(Assumptions!$F$11))+(MONTH('Renovation Budget'!$F$21)-MONTH(Assumptions!$F$11))),DP$11&lt;=((12*(YEAR('Renovation Budget'!$F$21)-YEAR(Assumptions!$F$11))+(MONTH('Renovation Budget'!$F$21)-MONTH(Assumptions!$F$11)))+'Renovation Budget'!$G$21-1)),-'Renovation Budget'!$C$21/'Renovation Budget'!$G$21,0)</f>
        <v/>
      </c>
      <c r="DQ91" s="228">
        <f>IF(AND(DQ$11&gt;=(12*(YEAR('Renovation Budget'!$F$21)-YEAR(Assumptions!$F$11))+(MONTH('Renovation Budget'!$F$21)-MONTH(Assumptions!$F$11))),DQ$11&lt;=((12*(YEAR('Renovation Budget'!$F$21)-YEAR(Assumptions!$F$11))+(MONTH('Renovation Budget'!$F$21)-MONTH(Assumptions!$F$11)))+'Renovation Budget'!$G$21-1)),-'Renovation Budget'!$C$21/'Renovation Budget'!$G$21,0)</f>
        <v/>
      </c>
      <c r="DR91" s="228">
        <f>IF(AND(DR$11&gt;=(12*(YEAR('Renovation Budget'!$F$21)-YEAR(Assumptions!$F$11))+(MONTH('Renovation Budget'!$F$21)-MONTH(Assumptions!$F$11))),DR$11&lt;=((12*(YEAR('Renovation Budget'!$F$21)-YEAR(Assumptions!$F$11))+(MONTH('Renovation Budget'!$F$21)-MONTH(Assumptions!$F$11)))+'Renovation Budget'!$G$21-1)),-'Renovation Budget'!$C$21/'Renovation Budget'!$G$21,0)</f>
        <v/>
      </c>
      <c r="DS91" s="228">
        <f>IF(AND(DS$11&gt;=(12*(YEAR('Renovation Budget'!$F$21)-YEAR(Assumptions!$F$11))+(MONTH('Renovation Budget'!$F$21)-MONTH(Assumptions!$F$11))),DS$11&lt;=((12*(YEAR('Renovation Budget'!$F$21)-YEAR(Assumptions!$F$11))+(MONTH('Renovation Budget'!$F$21)-MONTH(Assumptions!$F$11)))+'Renovation Budget'!$G$21-1)),-'Renovation Budget'!$C$21/'Renovation Budget'!$G$21,0)</f>
        <v/>
      </c>
      <c r="DT91" s="228">
        <f>IF(AND(DT$11&gt;=(12*(YEAR('Renovation Budget'!$F$21)-YEAR(Assumptions!$F$11))+(MONTH('Renovation Budget'!$F$21)-MONTH(Assumptions!$F$11))),DT$11&lt;=((12*(YEAR('Renovation Budget'!$F$21)-YEAR(Assumptions!$F$11))+(MONTH('Renovation Budget'!$F$21)-MONTH(Assumptions!$F$11)))+'Renovation Budget'!$G$21-1)),-'Renovation Budget'!$C$21/'Renovation Budget'!$G$21,0)</f>
        <v/>
      </c>
    </row>
    <row r="92" ht="15" customHeight="1" s="148">
      <c r="A92" s="112" t="inlineStr">
        <is>
          <t>Preliminary Renovation Costs</t>
        </is>
      </c>
      <c r="C92" s="228">
        <f>SUM(D92:DT92)</f>
        <v/>
      </c>
      <c r="D92" s="228">
        <f>IF(AND(D$11&gt;=(12*(YEAR('Renovation Budget'!$F$22)-YEAR(Assumptions!$F$11))+(MONTH('Renovation Budget'!$F$22)-MONTH(Assumptions!$F$11))),D$11&lt;=((12*(YEAR('Renovation Budget'!$F$22)-YEAR(Assumptions!$F$11))+(MONTH('Renovation Budget'!$F$22)-MONTH(Assumptions!$F$11)))+'Renovation Budget'!$G$22-1)),-'Renovation Budget'!$C$22/'Renovation Budget'!$G$22,0)</f>
        <v/>
      </c>
      <c r="E92" s="228">
        <f>IF(AND(E$11&gt;=(12*(YEAR('Renovation Budget'!$F$22)-YEAR(Assumptions!$F$11))+(MONTH('Renovation Budget'!$F$22)-MONTH(Assumptions!$F$11))),E$11&lt;=((12*(YEAR('Renovation Budget'!$F$22)-YEAR(Assumptions!$F$11))+(MONTH('Renovation Budget'!$F$22)-MONTH(Assumptions!$F$11)))+'Renovation Budget'!$G$22-1)),-'Renovation Budget'!$C$22/'Renovation Budget'!$G$22,0)</f>
        <v/>
      </c>
      <c r="F92" s="228">
        <f>IF(AND(F$11&gt;=(12*(YEAR('Renovation Budget'!$F$22)-YEAR(Assumptions!$F$11))+(MONTH('Renovation Budget'!$F$22)-MONTH(Assumptions!$F$11))),F$11&lt;=((12*(YEAR('Renovation Budget'!$F$22)-YEAR(Assumptions!$F$11))+(MONTH('Renovation Budget'!$F$22)-MONTH(Assumptions!$F$11)))+'Renovation Budget'!$G$22-1)),-'Renovation Budget'!$C$22/'Renovation Budget'!$G$22,0)</f>
        <v/>
      </c>
      <c r="G92" s="228">
        <f>IF(AND(G$11&gt;=(12*(YEAR('Renovation Budget'!$F$22)-YEAR(Assumptions!$F$11))+(MONTH('Renovation Budget'!$F$22)-MONTH(Assumptions!$F$11))),G$11&lt;=((12*(YEAR('Renovation Budget'!$F$22)-YEAR(Assumptions!$F$11))+(MONTH('Renovation Budget'!$F$22)-MONTH(Assumptions!$F$11)))+'Renovation Budget'!$G$22-1)),-'Renovation Budget'!$C$22/'Renovation Budget'!$G$22,0)</f>
        <v/>
      </c>
      <c r="H92" s="228">
        <f>IF(AND(H$11&gt;=(12*(YEAR('Renovation Budget'!$F$22)-YEAR(Assumptions!$F$11))+(MONTH('Renovation Budget'!$F$22)-MONTH(Assumptions!$F$11))),H$11&lt;=((12*(YEAR('Renovation Budget'!$F$22)-YEAR(Assumptions!$F$11))+(MONTH('Renovation Budget'!$F$22)-MONTH(Assumptions!$F$11)))+'Renovation Budget'!$G$22-1)),-'Renovation Budget'!$C$22/'Renovation Budget'!$G$22,0)</f>
        <v/>
      </c>
      <c r="I92" s="228">
        <f>IF(AND(I$11&gt;=(12*(YEAR('Renovation Budget'!$F$22)-YEAR(Assumptions!$F$11))+(MONTH('Renovation Budget'!$F$22)-MONTH(Assumptions!$F$11))),I$11&lt;=((12*(YEAR('Renovation Budget'!$F$22)-YEAR(Assumptions!$F$11))+(MONTH('Renovation Budget'!$F$22)-MONTH(Assumptions!$F$11)))+'Renovation Budget'!$G$22-1)),-'Renovation Budget'!$C$22/'Renovation Budget'!$G$22,0)</f>
        <v/>
      </c>
      <c r="J92" s="228">
        <f>IF(AND(J$11&gt;=(12*(YEAR('Renovation Budget'!$F$22)-YEAR(Assumptions!$F$11))+(MONTH('Renovation Budget'!$F$22)-MONTH(Assumptions!$F$11))),J$11&lt;=((12*(YEAR('Renovation Budget'!$F$22)-YEAR(Assumptions!$F$11))+(MONTH('Renovation Budget'!$F$22)-MONTH(Assumptions!$F$11)))+'Renovation Budget'!$G$22-1)),-'Renovation Budget'!$C$22/'Renovation Budget'!$G$22,0)</f>
        <v/>
      </c>
      <c r="K92" s="228">
        <f>IF(AND(K$11&gt;=(12*(YEAR('Renovation Budget'!$F$22)-YEAR(Assumptions!$F$11))+(MONTH('Renovation Budget'!$F$22)-MONTH(Assumptions!$F$11))),K$11&lt;=((12*(YEAR('Renovation Budget'!$F$22)-YEAR(Assumptions!$F$11))+(MONTH('Renovation Budget'!$F$22)-MONTH(Assumptions!$F$11)))+'Renovation Budget'!$G$22-1)),-'Renovation Budget'!$C$22/'Renovation Budget'!$G$22,0)</f>
        <v/>
      </c>
      <c r="L92" s="228">
        <f>IF(AND(L$11&gt;=(12*(YEAR('Renovation Budget'!$F$22)-YEAR(Assumptions!$F$11))+(MONTH('Renovation Budget'!$F$22)-MONTH(Assumptions!$F$11))),L$11&lt;=((12*(YEAR('Renovation Budget'!$F$22)-YEAR(Assumptions!$F$11))+(MONTH('Renovation Budget'!$F$22)-MONTH(Assumptions!$F$11)))+'Renovation Budget'!$G$22-1)),-'Renovation Budget'!$C$22/'Renovation Budget'!$G$22,0)</f>
        <v/>
      </c>
      <c r="M92" s="228">
        <f>IF(AND(M$11&gt;=(12*(YEAR('Renovation Budget'!$F$22)-YEAR(Assumptions!$F$11))+(MONTH('Renovation Budget'!$F$22)-MONTH(Assumptions!$F$11))),M$11&lt;=((12*(YEAR('Renovation Budget'!$F$22)-YEAR(Assumptions!$F$11))+(MONTH('Renovation Budget'!$F$22)-MONTH(Assumptions!$F$11)))+'Renovation Budget'!$G$22-1)),-'Renovation Budget'!$C$22/'Renovation Budget'!$G$22,0)</f>
        <v/>
      </c>
      <c r="N92" s="228">
        <f>IF(AND(N$11&gt;=(12*(YEAR('Renovation Budget'!$F$22)-YEAR(Assumptions!$F$11))+(MONTH('Renovation Budget'!$F$22)-MONTH(Assumptions!$F$11))),N$11&lt;=((12*(YEAR('Renovation Budget'!$F$22)-YEAR(Assumptions!$F$11))+(MONTH('Renovation Budget'!$F$22)-MONTH(Assumptions!$F$11)))+'Renovation Budget'!$G$22-1)),-'Renovation Budget'!$C$22/'Renovation Budget'!$G$22,0)</f>
        <v/>
      </c>
      <c r="O92" s="228">
        <f>IF(AND(O$11&gt;=(12*(YEAR('Renovation Budget'!$F$22)-YEAR(Assumptions!$F$11))+(MONTH('Renovation Budget'!$F$22)-MONTH(Assumptions!$F$11))),O$11&lt;=((12*(YEAR('Renovation Budget'!$F$22)-YEAR(Assumptions!$F$11))+(MONTH('Renovation Budget'!$F$22)-MONTH(Assumptions!$F$11)))+'Renovation Budget'!$G$22-1)),-'Renovation Budget'!$C$22/'Renovation Budget'!$G$22,0)</f>
        <v/>
      </c>
      <c r="P92" s="228">
        <f>IF(AND(P$11&gt;=(12*(YEAR('Renovation Budget'!$F$22)-YEAR(Assumptions!$F$11))+(MONTH('Renovation Budget'!$F$22)-MONTH(Assumptions!$F$11))),P$11&lt;=((12*(YEAR('Renovation Budget'!$F$22)-YEAR(Assumptions!$F$11))+(MONTH('Renovation Budget'!$F$22)-MONTH(Assumptions!$F$11)))+'Renovation Budget'!$G$22-1)),-'Renovation Budget'!$C$22/'Renovation Budget'!$G$22,0)</f>
        <v/>
      </c>
      <c r="Q92" s="228">
        <f>IF(AND(Q$11&gt;=(12*(YEAR('Renovation Budget'!$F$22)-YEAR(Assumptions!$F$11))+(MONTH('Renovation Budget'!$F$22)-MONTH(Assumptions!$F$11))),Q$11&lt;=((12*(YEAR('Renovation Budget'!$F$22)-YEAR(Assumptions!$F$11))+(MONTH('Renovation Budget'!$F$22)-MONTH(Assumptions!$F$11)))+'Renovation Budget'!$G$22-1)),-'Renovation Budget'!$C$22/'Renovation Budget'!$G$22,0)</f>
        <v/>
      </c>
      <c r="R92" s="228">
        <f>IF(AND(R$11&gt;=(12*(YEAR('Renovation Budget'!$F$22)-YEAR(Assumptions!$F$11))+(MONTH('Renovation Budget'!$F$22)-MONTH(Assumptions!$F$11))),R$11&lt;=((12*(YEAR('Renovation Budget'!$F$22)-YEAR(Assumptions!$F$11))+(MONTH('Renovation Budget'!$F$22)-MONTH(Assumptions!$F$11)))+'Renovation Budget'!$G$22-1)),-'Renovation Budget'!$C$22/'Renovation Budget'!$G$22,0)</f>
        <v/>
      </c>
      <c r="S92" s="228">
        <f>IF(AND(S$11&gt;=(12*(YEAR('Renovation Budget'!$F$22)-YEAR(Assumptions!$F$11))+(MONTH('Renovation Budget'!$F$22)-MONTH(Assumptions!$F$11))),S$11&lt;=((12*(YEAR('Renovation Budget'!$F$22)-YEAR(Assumptions!$F$11))+(MONTH('Renovation Budget'!$F$22)-MONTH(Assumptions!$F$11)))+'Renovation Budget'!$G$22-1)),-'Renovation Budget'!$C$22/'Renovation Budget'!$G$22,0)</f>
        <v/>
      </c>
      <c r="T92" s="228">
        <f>IF(AND(T$11&gt;=(12*(YEAR('Renovation Budget'!$F$22)-YEAR(Assumptions!$F$11))+(MONTH('Renovation Budget'!$F$22)-MONTH(Assumptions!$F$11))),T$11&lt;=((12*(YEAR('Renovation Budget'!$F$22)-YEAR(Assumptions!$F$11))+(MONTH('Renovation Budget'!$F$22)-MONTH(Assumptions!$F$11)))+'Renovation Budget'!$G$22-1)),-'Renovation Budget'!$C$22/'Renovation Budget'!$G$22,0)</f>
        <v/>
      </c>
      <c r="U92" s="228">
        <f>IF(AND(U$11&gt;=(12*(YEAR('Renovation Budget'!$F$22)-YEAR(Assumptions!$F$11))+(MONTH('Renovation Budget'!$F$22)-MONTH(Assumptions!$F$11))),U$11&lt;=((12*(YEAR('Renovation Budget'!$F$22)-YEAR(Assumptions!$F$11))+(MONTH('Renovation Budget'!$F$22)-MONTH(Assumptions!$F$11)))+'Renovation Budget'!$G$22-1)),-'Renovation Budget'!$C$22/'Renovation Budget'!$G$22,0)</f>
        <v/>
      </c>
      <c r="V92" s="228">
        <f>IF(AND(V$11&gt;=(12*(YEAR('Renovation Budget'!$F$22)-YEAR(Assumptions!$F$11))+(MONTH('Renovation Budget'!$F$22)-MONTH(Assumptions!$F$11))),V$11&lt;=((12*(YEAR('Renovation Budget'!$F$22)-YEAR(Assumptions!$F$11))+(MONTH('Renovation Budget'!$F$22)-MONTH(Assumptions!$F$11)))+'Renovation Budget'!$G$22-1)),-'Renovation Budget'!$C$22/'Renovation Budget'!$G$22,0)</f>
        <v/>
      </c>
      <c r="W92" s="228">
        <f>IF(AND(W$11&gt;=(12*(YEAR('Renovation Budget'!$F$22)-YEAR(Assumptions!$F$11))+(MONTH('Renovation Budget'!$F$22)-MONTH(Assumptions!$F$11))),W$11&lt;=((12*(YEAR('Renovation Budget'!$F$22)-YEAR(Assumptions!$F$11))+(MONTH('Renovation Budget'!$F$22)-MONTH(Assumptions!$F$11)))+'Renovation Budget'!$G$22-1)),-'Renovation Budget'!$C$22/'Renovation Budget'!$G$22,0)</f>
        <v/>
      </c>
      <c r="X92" s="228">
        <f>IF(AND(X$11&gt;=(12*(YEAR('Renovation Budget'!$F$22)-YEAR(Assumptions!$F$11))+(MONTH('Renovation Budget'!$F$22)-MONTH(Assumptions!$F$11))),X$11&lt;=((12*(YEAR('Renovation Budget'!$F$22)-YEAR(Assumptions!$F$11))+(MONTH('Renovation Budget'!$F$22)-MONTH(Assumptions!$F$11)))+'Renovation Budget'!$G$22-1)),-'Renovation Budget'!$C$22/'Renovation Budget'!$G$22,0)</f>
        <v/>
      </c>
      <c r="Y92" s="228">
        <f>IF(AND(Y$11&gt;=(12*(YEAR('Renovation Budget'!$F$22)-YEAR(Assumptions!$F$11))+(MONTH('Renovation Budget'!$F$22)-MONTH(Assumptions!$F$11))),Y$11&lt;=((12*(YEAR('Renovation Budget'!$F$22)-YEAR(Assumptions!$F$11))+(MONTH('Renovation Budget'!$F$22)-MONTH(Assumptions!$F$11)))+'Renovation Budget'!$G$22-1)),-'Renovation Budget'!$C$22/'Renovation Budget'!$G$22,0)</f>
        <v/>
      </c>
      <c r="Z92" s="228">
        <f>IF(AND(Z$11&gt;=(12*(YEAR('Renovation Budget'!$F$22)-YEAR(Assumptions!$F$11))+(MONTH('Renovation Budget'!$F$22)-MONTH(Assumptions!$F$11))),Z$11&lt;=((12*(YEAR('Renovation Budget'!$F$22)-YEAR(Assumptions!$F$11))+(MONTH('Renovation Budget'!$F$22)-MONTH(Assumptions!$F$11)))+'Renovation Budget'!$G$22-1)),-'Renovation Budget'!$C$22/'Renovation Budget'!$G$22,0)</f>
        <v/>
      </c>
      <c r="AA92" s="228">
        <f>IF(AND(AA$11&gt;=(12*(YEAR('Renovation Budget'!$F$22)-YEAR(Assumptions!$F$11))+(MONTH('Renovation Budget'!$F$22)-MONTH(Assumptions!$F$11))),AA$11&lt;=((12*(YEAR('Renovation Budget'!$F$22)-YEAR(Assumptions!$F$11))+(MONTH('Renovation Budget'!$F$22)-MONTH(Assumptions!$F$11)))+'Renovation Budget'!$G$22-1)),-'Renovation Budget'!$C$22/'Renovation Budget'!$G$22,0)</f>
        <v/>
      </c>
      <c r="AB92" s="228">
        <f>IF(AND(AB$11&gt;=(12*(YEAR('Renovation Budget'!$F$22)-YEAR(Assumptions!$F$11))+(MONTH('Renovation Budget'!$F$22)-MONTH(Assumptions!$F$11))),AB$11&lt;=((12*(YEAR('Renovation Budget'!$F$22)-YEAR(Assumptions!$F$11))+(MONTH('Renovation Budget'!$F$22)-MONTH(Assumptions!$F$11)))+'Renovation Budget'!$G$22-1)),-'Renovation Budget'!$C$22/'Renovation Budget'!$G$22,0)</f>
        <v/>
      </c>
      <c r="AC92" s="228">
        <f>IF(AND(AC$11&gt;=(12*(YEAR('Renovation Budget'!$F$22)-YEAR(Assumptions!$F$11))+(MONTH('Renovation Budget'!$F$22)-MONTH(Assumptions!$F$11))),AC$11&lt;=((12*(YEAR('Renovation Budget'!$F$22)-YEAR(Assumptions!$F$11))+(MONTH('Renovation Budget'!$F$22)-MONTH(Assumptions!$F$11)))+'Renovation Budget'!$G$22-1)),-'Renovation Budget'!$C$22/'Renovation Budget'!$G$22,0)</f>
        <v/>
      </c>
      <c r="AD92" s="228">
        <f>IF(AND(AD$11&gt;=(12*(YEAR('Renovation Budget'!$F$22)-YEAR(Assumptions!$F$11))+(MONTH('Renovation Budget'!$F$22)-MONTH(Assumptions!$F$11))),AD$11&lt;=((12*(YEAR('Renovation Budget'!$F$22)-YEAR(Assumptions!$F$11))+(MONTH('Renovation Budget'!$F$22)-MONTH(Assumptions!$F$11)))+'Renovation Budget'!$G$22-1)),-'Renovation Budget'!$C$22/'Renovation Budget'!$G$22,0)</f>
        <v/>
      </c>
      <c r="AE92" s="228">
        <f>IF(AND(AE$11&gt;=(12*(YEAR('Renovation Budget'!$F$22)-YEAR(Assumptions!$F$11))+(MONTH('Renovation Budget'!$F$22)-MONTH(Assumptions!$F$11))),AE$11&lt;=((12*(YEAR('Renovation Budget'!$F$22)-YEAR(Assumptions!$F$11))+(MONTH('Renovation Budget'!$F$22)-MONTH(Assumptions!$F$11)))+'Renovation Budget'!$G$22-1)),-'Renovation Budget'!$C$22/'Renovation Budget'!$G$22,0)</f>
        <v/>
      </c>
      <c r="AF92" s="228">
        <f>IF(AND(AF$11&gt;=(12*(YEAR('Renovation Budget'!$F$22)-YEAR(Assumptions!$F$11))+(MONTH('Renovation Budget'!$F$22)-MONTH(Assumptions!$F$11))),AF$11&lt;=((12*(YEAR('Renovation Budget'!$F$22)-YEAR(Assumptions!$F$11))+(MONTH('Renovation Budget'!$F$22)-MONTH(Assumptions!$F$11)))+'Renovation Budget'!$G$22-1)),-'Renovation Budget'!$C$22/'Renovation Budget'!$G$22,0)</f>
        <v/>
      </c>
      <c r="AG92" s="228">
        <f>IF(AND(AG$11&gt;=(12*(YEAR('Renovation Budget'!$F$22)-YEAR(Assumptions!$F$11))+(MONTH('Renovation Budget'!$F$22)-MONTH(Assumptions!$F$11))),AG$11&lt;=((12*(YEAR('Renovation Budget'!$F$22)-YEAR(Assumptions!$F$11))+(MONTH('Renovation Budget'!$F$22)-MONTH(Assumptions!$F$11)))+'Renovation Budget'!$G$22-1)),-'Renovation Budget'!$C$22/'Renovation Budget'!$G$22,0)</f>
        <v/>
      </c>
      <c r="AH92" s="228">
        <f>IF(AND(AH$11&gt;=(12*(YEAR('Renovation Budget'!$F$22)-YEAR(Assumptions!$F$11))+(MONTH('Renovation Budget'!$F$22)-MONTH(Assumptions!$F$11))),AH$11&lt;=((12*(YEAR('Renovation Budget'!$F$22)-YEAR(Assumptions!$F$11))+(MONTH('Renovation Budget'!$F$22)-MONTH(Assumptions!$F$11)))+'Renovation Budget'!$G$22-1)),-'Renovation Budget'!$C$22/'Renovation Budget'!$G$22,0)</f>
        <v/>
      </c>
      <c r="AI92" s="228">
        <f>IF(AND(AI$11&gt;=(12*(YEAR('Renovation Budget'!$F$22)-YEAR(Assumptions!$F$11))+(MONTH('Renovation Budget'!$F$22)-MONTH(Assumptions!$F$11))),AI$11&lt;=((12*(YEAR('Renovation Budget'!$F$22)-YEAR(Assumptions!$F$11))+(MONTH('Renovation Budget'!$F$22)-MONTH(Assumptions!$F$11)))+'Renovation Budget'!$G$22-1)),-'Renovation Budget'!$C$22/'Renovation Budget'!$G$22,0)</f>
        <v/>
      </c>
      <c r="AJ92" s="228">
        <f>IF(AND(AJ$11&gt;=(12*(YEAR('Renovation Budget'!$F$22)-YEAR(Assumptions!$F$11))+(MONTH('Renovation Budget'!$F$22)-MONTH(Assumptions!$F$11))),AJ$11&lt;=((12*(YEAR('Renovation Budget'!$F$22)-YEAR(Assumptions!$F$11))+(MONTH('Renovation Budget'!$F$22)-MONTH(Assumptions!$F$11)))+'Renovation Budget'!$G$22-1)),-'Renovation Budget'!$C$22/'Renovation Budget'!$G$22,0)</f>
        <v/>
      </c>
      <c r="AK92" s="228">
        <f>IF(AND(AK$11&gt;=(12*(YEAR('Renovation Budget'!$F$22)-YEAR(Assumptions!$F$11))+(MONTH('Renovation Budget'!$F$22)-MONTH(Assumptions!$F$11))),AK$11&lt;=((12*(YEAR('Renovation Budget'!$F$22)-YEAR(Assumptions!$F$11))+(MONTH('Renovation Budget'!$F$22)-MONTH(Assumptions!$F$11)))+'Renovation Budget'!$G$22-1)),-'Renovation Budget'!$C$22/'Renovation Budget'!$G$22,0)</f>
        <v/>
      </c>
      <c r="AL92" s="228">
        <f>IF(AND(AL$11&gt;=(12*(YEAR('Renovation Budget'!$F$22)-YEAR(Assumptions!$F$11))+(MONTH('Renovation Budget'!$F$22)-MONTH(Assumptions!$F$11))),AL$11&lt;=((12*(YEAR('Renovation Budget'!$F$22)-YEAR(Assumptions!$F$11))+(MONTH('Renovation Budget'!$F$22)-MONTH(Assumptions!$F$11)))+'Renovation Budget'!$G$22-1)),-'Renovation Budget'!$C$22/'Renovation Budget'!$G$22,0)</f>
        <v/>
      </c>
      <c r="AM92" s="228">
        <f>IF(AND(AM$11&gt;=(12*(YEAR('Renovation Budget'!$F$22)-YEAR(Assumptions!$F$11))+(MONTH('Renovation Budget'!$F$22)-MONTH(Assumptions!$F$11))),AM$11&lt;=((12*(YEAR('Renovation Budget'!$F$22)-YEAR(Assumptions!$F$11))+(MONTH('Renovation Budget'!$F$22)-MONTH(Assumptions!$F$11)))+'Renovation Budget'!$G$22-1)),-'Renovation Budget'!$C$22/'Renovation Budget'!$G$22,0)</f>
        <v/>
      </c>
      <c r="AN92" s="228">
        <f>IF(AND(AN$11&gt;=(12*(YEAR('Renovation Budget'!$F$22)-YEAR(Assumptions!$F$11))+(MONTH('Renovation Budget'!$F$22)-MONTH(Assumptions!$F$11))),AN$11&lt;=((12*(YEAR('Renovation Budget'!$F$22)-YEAR(Assumptions!$F$11))+(MONTH('Renovation Budget'!$F$22)-MONTH(Assumptions!$F$11)))+'Renovation Budget'!$G$22-1)),-'Renovation Budget'!$C$22/'Renovation Budget'!$G$22,0)</f>
        <v/>
      </c>
      <c r="AO92" s="228">
        <f>IF(AND(AO$11&gt;=(12*(YEAR('Renovation Budget'!$F$22)-YEAR(Assumptions!$F$11))+(MONTH('Renovation Budget'!$F$22)-MONTH(Assumptions!$F$11))),AO$11&lt;=((12*(YEAR('Renovation Budget'!$F$22)-YEAR(Assumptions!$F$11))+(MONTH('Renovation Budget'!$F$22)-MONTH(Assumptions!$F$11)))+'Renovation Budget'!$G$22-1)),-'Renovation Budget'!$C$22/'Renovation Budget'!$G$22,0)</f>
        <v/>
      </c>
      <c r="AP92" s="228">
        <f>IF(AND(AP$11&gt;=(12*(YEAR('Renovation Budget'!$F$22)-YEAR(Assumptions!$F$11))+(MONTH('Renovation Budget'!$F$22)-MONTH(Assumptions!$F$11))),AP$11&lt;=((12*(YEAR('Renovation Budget'!$F$22)-YEAR(Assumptions!$F$11))+(MONTH('Renovation Budget'!$F$22)-MONTH(Assumptions!$F$11)))+'Renovation Budget'!$G$22-1)),-'Renovation Budget'!$C$22/'Renovation Budget'!$G$22,0)</f>
        <v/>
      </c>
      <c r="AQ92" s="228">
        <f>IF(AND(AQ$11&gt;=(12*(YEAR('Renovation Budget'!$F$22)-YEAR(Assumptions!$F$11))+(MONTH('Renovation Budget'!$F$22)-MONTH(Assumptions!$F$11))),AQ$11&lt;=((12*(YEAR('Renovation Budget'!$F$22)-YEAR(Assumptions!$F$11))+(MONTH('Renovation Budget'!$F$22)-MONTH(Assumptions!$F$11)))+'Renovation Budget'!$G$22-1)),-'Renovation Budget'!$C$22/'Renovation Budget'!$G$22,0)</f>
        <v/>
      </c>
      <c r="AR92" s="228">
        <f>IF(AND(AR$11&gt;=(12*(YEAR('Renovation Budget'!$F$22)-YEAR(Assumptions!$F$11))+(MONTH('Renovation Budget'!$F$22)-MONTH(Assumptions!$F$11))),AR$11&lt;=((12*(YEAR('Renovation Budget'!$F$22)-YEAR(Assumptions!$F$11))+(MONTH('Renovation Budget'!$F$22)-MONTH(Assumptions!$F$11)))+'Renovation Budget'!$G$22-1)),-'Renovation Budget'!$C$22/'Renovation Budget'!$G$22,0)</f>
        <v/>
      </c>
      <c r="AS92" s="228">
        <f>IF(AND(AS$11&gt;=(12*(YEAR('Renovation Budget'!$F$22)-YEAR(Assumptions!$F$11))+(MONTH('Renovation Budget'!$F$22)-MONTH(Assumptions!$F$11))),AS$11&lt;=((12*(YEAR('Renovation Budget'!$F$22)-YEAR(Assumptions!$F$11))+(MONTH('Renovation Budget'!$F$22)-MONTH(Assumptions!$F$11)))+'Renovation Budget'!$G$22-1)),-'Renovation Budget'!$C$22/'Renovation Budget'!$G$22,0)</f>
        <v/>
      </c>
      <c r="AT92" s="228">
        <f>IF(AND(AT$11&gt;=(12*(YEAR('Renovation Budget'!$F$22)-YEAR(Assumptions!$F$11))+(MONTH('Renovation Budget'!$F$22)-MONTH(Assumptions!$F$11))),AT$11&lt;=((12*(YEAR('Renovation Budget'!$F$22)-YEAR(Assumptions!$F$11))+(MONTH('Renovation Budget'!$F$22)-MONTH(Assumptions!$F$11)))+'Renovation Budget'!$G$22-1)),-'Renovation Budget'!$C$22/'Renovation Budget'!$G$22,0)</f>
        <v/>
      </c>
      <c r="AU92" s="228">
        <f>IF(AND(AU$11&gt;=(12*(YEAR('Renovation Budget'!$F$22)-YEAR(Assumptions!$F$11))+(MONTH('Renovation Budget'!$F$22)-MONTH(Assumptions!$F$11))),AU$11&lt;=((12*(YEAR('Renovation Budget'!$F$22)-YEAR(Assumptions!$F$11))+(MONTH('Renovation Budget'!$F$22)-MONTH(Assumptions!$F$11)))+'Renovation Budget'!$G$22-1)),-'Renovation Budget'!$C$22/'Renovation Budget'!$G$22,0)</f>
        <v/>
      </c>
      <c r="AV92" s="228">
        <f>IF(AND(AV$11&gt;=(12*(YEAR('Renovation Budget'!$F$22)-YEAR(Assumptions!$F$11))+(MONTH('Renovation Budget'!$F$22)-MONTH(Assumptions!$F$11))),AV$11&lt;=((12*(YEAR('Renovation Budget'!$F$22)-YEAR(Assumptions!$F$11))+(MONTH('Renovation Budget'!$F$22)-MONTH(Assumptions!$F$11)))+'Renovation Budget'!$G$22-1)),-'Renovation Budget'!$C$22/'Renovation Budget'!$G$22,0)</f>
        <v/>
      </c>
      <c r="AW92" s="228">
        <f>IF(AND(AW$11&gt;=(12*(YEAR('Renovation Budget'!$F$22)-YEAR(Assumptions!$F$11))+(MONTH('Renovation Budget'!$F$22)-MONTH(Assumptions!$F$11))),AW$11&lt;=((12*(YEAR('Renovation Budget'!$F$22)-YEAR(Assumptions!$F$11))+(MONTH('Renovation Budget'!$F$22)-MONTH(Assumptions!$F$11)))+'Renovation Budget'!$G$22-1)),-'Renovation Budget'!$C$22/'Renovation Budget'!$G$22,0)</f>
        <v/>
      </c>
      <c r="AX92" s="228">
        <f>IF(AND(AX$11&gt;=(12*(YEAR('Renovation Budget'!$F$22)-YEAR(Assumptions!$F$11))+(MONTH('Renovation Budget'!$F$22)-MONTH(Assumptions!$F$11))),AX$11&lt;=((12*(YEAR('Renovation Budget'!$F$22)-YEAR(Assumptions!$F$11))+(MONTH('Renovation Budget'!$F$22)-MONTH(Assumptions!$F$11)))+'Renovation Budget'!$G$22-1)),-'Renovation Budget'!$C$22/'Renovation Budget'!$G$22,0)</f>
        <v/>
      </c>
      <c r="AY92" s="228">
        <f>IF(AND(AY$11&gt;=(12*(YEAR('Renovation Budget'!$F$22)-YEAR(Assumptions!$F$11))+(MONTH('Renovation Budget'!$F$22)-MONTH(Assumptions!$F$11))),AY$11&lt;=((12*(YEAR('Renovation Budget'!$F$22)-YEAR(Assumptions!$F$11))+(MONTH('Renovation Budget'!$F$22)-MONTH(Assumptions!$F$11)))+'Renovation Budget'!$G$22-1)),-'Renovation Budget'!$C$22/'Renovation Budget'!$G$22,0)</f>
        <v/>
      </c>
      <c r="AZ92" s="228">
        <f>IF(AND(AZ$11&gt;=(12*(YEAR('Renovation Budget'!$F$22)-YEAR(Assumptions!$F$11))+(MONTH('Renovation Budget'!$F$22)-MONTH(Assumptions!$F$11))),AZ$11&lt;=((12*(YEAR('Renovation Budget'!$F$22)-YEAR(Assumptions!$F$11))+(MONTH('Renovation Budget'!$F$22)-MONTH(Assumptions!$F$11)))+'Renovation Budget'!$G$22-1)),-'Renovation Budget'!$C$22/'Renovation Budget'!$G$22,0)</f>
        <v/>
      </c>
      <c r="BA92" s="228">
        <f>IF(AND(BA$11&gt;=(12*(YEAR('Renovation Budget'!$F$22)-YEAR(Assumptions!$F$11))+(MONTH('Renovation Budget'!$F$22)-MONTH(Assumptions!$F$11))),BA$11&lt;=((12*(YEAR('Renovation Budget'!$F$22)-YEAR(Assumptions!$F$11))+(MONTH('Renovation Budget'!$F$22)-MONTH(Assumptions!$F$11)))+'Renovation Budget'!$G$22-1)),-'Renovation Budget'!$C$22/'Renovation Budget'!$G$22,0)</f>
        <v/>
      </c>
      <c r="BB92" s="228">
        <f>IF(AND(BB$11&gt;=(12*(YEAR('Renovation Budget'!$F$22)-YEAR(Assumptions!$F$11))+(MONTH('Renovation Budget'!$F$22)-MONTH(Assumptions!$F$11))),BB$11&lt;=((12*(YEAR('Renovation Budget'!$F$22)-YEAR(Assumptions!$F$11))+(MONTH('Renovation Budget'!$F$22)-MONTH(Assumptions!$F$11)))+'Renovation Budget'!$G$22-1)),-'Renovation Budget'!$C$22/'Renovation Budget'!$G$22,0)</f>
        <v/>
      </c>
      <c r="BC92" s="228">
        <f>IF(AND(BC$11&gt;=(12*(YEAR('Renovation Budget'!$F$22)-YEAR(Assumptions!$F$11))+(MONTH('Renovation Budget'!$F$22)-MONTH(Assumptions!$F$11))),BC$11&lt;=((12*(YEAR('Renovation Budget'!$F$22)-YEAR(Assumptions!$F$11))+(MONTH('Renovation Budget'!$F$22)-MONTH(Assumptions!$F$11)))+'Renovation Budget'!$G$22-1)),-'Renovation Budget'!$C$22/'Renovation Budget'!$G$22,0)</f>
        <v/>
      </c>
      <c r="BD92" s="228">
        <f>IF(AND(BD$11&gt;=(12*(YEAR('Renovation Budget'!$F$22)-YEAR(Assumptions!$F$11))+(MONTH('Renovation Budget'!$F$22)-MONTH(Assumptions!$F$11))),BD$11&lt;=((12*(YEAR('Renovation Budget'!$F$22)-YEAR(Assumptions!$F$11))+(MONTH('Renovation Budget'!$F$22)-MONTH(Assumptions!$F$11)))+'Renovation Budget'!$G$22-1)),-'Renovation Budget'!$C$22/'Renovation Budget'!$G$22,0)</f>
        <v/>
      </c>
      <c r="BE92" s="228">
        <f>IF(AND(BE$11&gt;=(12*(YEAR('Renovation Budget'!$F$22)-YEAR(Assumptions!$F$11))+(MONTH('Renovation Budget'!$F$22)-MONTH(Assumptions!$F$11))),BE$11&lt;=((12*(YEAR('Renovation Budget'!$F$22)-YEAR(Assumptions!$F$11))+(MONTH('Renovation Budget'!$F$22)-MONTH(Assumptions!$F$11)))+'Renovation Budget'!$G$22-1)),-'Renovation Budget'!$C$22/'Renovation Budget'!$G$22,0)</f>
        <v/>
      </c>
      <c r="BF92" s="228">
        <f>IF(AND(BF$11&gt;=(12*(YEAR('Renovation Budget'!$F$22)-YEAR(Assumptions!$F$11))+(MONTH('Renovation Budget'!$F$22)-MONTH(Assumptions!$F$11))),BF$11&lt;=((12*(YEAR('Renovation Budget'!$F$22)-YEAR(Assumptions!$F$11))+(MONTH('Renovation Budget'!$F$22)-MONTH(Assumptions!$F$11)))+'Renovation Budget'!$G$22-1)),-'Renovation Budget'!$C$22/'Renovation Budget'!$G$22,0)</f>
        <v/>
      </c>
      <c r="BG92" s="228">
        <f>IF(AND(BG$11&gt;=(12*(YEAR('Renovation Budget'!$F$22)-YEAR(Assumptions!$F$11))+(MONTH('Renovation Budget'!$F$22)-MONTH(Assumptions!$F$11))),BG$11&lt;=((12*(YEAR('Renovation Budget'!$F$22)-YEAR(Assumptions!$F$11))+(MONTH('Renovation Budget'!$F$22)-MONTH(Assumptions!$F$11)))+'Renovation Budget'!$G$22-1)),-'Renovation Budget'!$C$22/'Renovation Budget'!$G$22,0)</f>
        <v/>
      </c>
      <c r="BH92" s="228">
        <f>IF(AND(BH$11&gt;=(12*(YEAR('Renovation Budget'!$F$22)-YEAR(Assumptions!$F$11))+(MONTH('Renovation Budget'!$F$22)-MONTH(Assumptions!$F$11))),BH$11&lt;=((12*(YEAR('Renovation Budget'!$F$22)-YEAR(Assumptions!$F$11))+(MONTH('Renovation Budget'!$F$22)-MONTH(Assumptions!$F$11)))+'Renovation Budget'!$G$22-1)),-'Renovation Budget'!$C$22/'Renovation Budget'!$G$22,0)</f>
        <v/>
      </c>
      <c r="BI92" s="228">
        <f>IF(AND(BI$11&gt;=(12*(YEAR('Renovation Budget'!$F$22)-YEAR(Assumptions!$F$11))+(MONTH('Renovation Budget'!$F$22)-MONTH(Assumptions!$F$11))),BI$11&lt;=((12*(YEAR('Renovation Budget'!$F$22)-YEAR(Assumptions!$F$11))+(MONTH('Renovation Budget'!$F$22)-MONTH(Assumptions!$F$11)))+'Renovation Budget'!$G$22-1)),-'Renovation Budget'!$C$22/'Renovation Budget'!$G$22,0)</f>
        <v/>
      </c>
      <c r="BJ92" s="228">
        <f>IF(AND(BJ$11&gt;=(12*(YEAR('Renovation Budget'!$F$22)-YEAR(Assumptions!$F$11))+(MONTH('Renovation Budget'!$F$22)-MONTH(Assumptions!$F$11))),BJ$11&lt;=((12*(YEAR('Renovation Budget'!$F$22)-YEAR(Assumptions!$F$11))+(MONTH('Renovation Budget'!$F$22)-MONTH(Assumptions!$F$11)))+'Renovation Budget'!$G$22-1)),-'Renovation Budget'!$C$22/'Renovation Budget'!$G$22,0)</f>
        <v/>
      </c>
      <c r="BK92" s="228">
        <f>IF(AND(BK$11&gt;=(12*(YEAR('Renovation Budget'!$F$22)-YEAR(Assumptions!$F$11))+(MONTH('Renovation Budget'!$F$22)-MONTH(Assumptions!$F$11))),BK$11&lt;=((12*(YEAR('Renovation Budget'!$F$22)-YEAR(Assumptions!$F$11))+(MONTH('Renovation Budget'!$F$22)-MONTH(Assumptions!$F$11)))+'Renovation Budget'!$G$22-1)),-'Renovation Budget'!$C$22/'Renovation Budget'!$G$22,0)</f>
        <v/>
      </c>
      <c r="BL92" s="228">
        <f>IF(AND(BL$11&gt;=(12*(YEAR('Renovation Budget'!$F$22)-YEAR(Assumptions!$F$11))+(MONTH('Renovation Budget'!$F$22)-MONTH(Assumptions!$F$11))),BL$11&lt;=((12*(YEAR('Renovation Budget'!$F$22)-YEAR(Assumptions!$F$11))+(MONTH('Renovation Budget'!$F$22)-MONTH(Assumptions!$F$11)))+'Renovation Budget'!$G$22-1)),-'Renovation Budget'!$C$22/'Renovation Budget'!$G$22,0)</f>
        <v/>
      </c>
      <c r="BM92" s="228">
        <f>IF(AND(BM$11&gt;=(12*(YEAR('Renovation Budget'!$F$22)-YEAR(Assumptions!$F$11))+(MONTH('Renovation Budget'!$F$22)-MONTH(Assumptions!$F$11))),BM$11&lt;=((12*(YEAR('Renovation Budget'!$F$22)-YEAR(Assumptions!$F$11))+(MONTH('Renovation Budget'!$F$22)-MONTH(Assumptions!$F$11)))+'Renovation Budget'!$G$22-1)),-'Renovation Budget'!$C$22/'Renovation Budget'!$G$22,0)</f>
        <v/>
      </c>
      <c r="BN92" s="228">
        <f>IF(AND(BN$11&gt;=(12*(YEAR('Renovation Budget'!$F$22)-YEAR(Assumptions!$F$11))+(MONTH('Renovation Budget'!$F$22)-MONTH(Assumptions!$F$11))),BN$11&lt;=((12*(YEAR('Renovation Budget'!$F$22)-YEAR(Assumptions!$F$11))+(MONTH('Renovation Budget'!$F$22)-MONTH(Assumptions!$F$11)))+'Renovation Budget'!$G$22-1)),-'Renovation Budget'!$C$22/'Renovation Budget'!$G$22,0)</f>
        <v/>
      </c>
      <c r="BO92" s="228">
        <f>IF(AND(BO$11&gt;=(12*(YEAR('Renovation Budget'!$F$22)-YEAR(Assumptions!$F$11))+(MONTH('Renovation Budget'!$F$22)-MONTH(Assumptions!$F$11))),BO$11&lt;=((12*(YEAR('Renovation Budget'!$F$22)-YEAR(Assumptions!$F$11))+(MONTH('Renovation Budget'!$F$22)-MONTH(Assumptions!$F$11)))+'Renovation Budget'!$G$22-1)),-'Renovation Budget'!$C$22/'Renovation Budget'!$G$22,0)</f>
        <v/>
      </c>
      <c r="BP92" s="228">
        <f>IF(AND(BP$11&gt;=(12*(YEAR('Renovation Budget'!$F$22)-YEAR(Assumptions!$F$11))+(MONTH('Renovation Budget'!$F$22)-MONTH(Assumptions!$F$11))),BP$11&lt;=((12*(YEAR('Renovation Budget'!$F$22)-YEAR(Assumptions!$F$11))+(MONTH('Renovation Budget'!$F$22)-MONTH(Assumptions!$F$11)))+'Renovation Budget'!$G$22-1)),-'Renovation Budget'!$C$22/'Renovation Budget'!$G$22,0)</f>
        <v/>
      </c>
      <c r="BQ92" s="228">
        <f>IF(AND(BQ$11&gt;=(12*(YEAR('Renovation Budget'!$F$22)-YEAR(Assumptions!$F$11))+(MONTH('Renovation Budget'!$F$22)-MONTH(Assumptions!$F$11))),BQ$11&lt;=((12*(YEAR('Renovation Budget'!$F$22)-YEAR(Assumptions!$F$11))+(MONTH('Renovation Budget'!$F$22)-MONTH(Assumptions!$F$11)))+'Renovation Budget'!$G$22-1)),-'Renovation Budget'!$C$22/'Renovation Budget'!$G$22,0)</f>
        <v/>
      </c>
      <c r="BR92" s="228">
        <f>IF(AND(BR$11&gt;=(12*(YEAR('Renovation Budget'!$F$22)-YEAR(Assumptions!$F$11))+(MONTH('Renovation Budget'!$F$22)-MONTH(Assumptions!$F$11))),BR$11&lt;=((12*(YEAR('Renovation Budget'!$F$22)-YEAR(Assumptions!$F$11))+(MONTH('Renovation Budget'!$F$22)-MONTH(Assumptions!$F$11)))+'Renovation Budget'!$G$22-1)),-'Renovation Budget'!$C$22/'Renovation Budget'!$G$22,0)</f>
        <v/>
      </c>
      <c r="BS92" s="228">
        <f>IF(AND(BS$11&gt;=(12*(YEAR('Renovation Budget'!$F$22)-YEAR(Assumptions!$F$11))+(MONTH('Renovation Budget'!$F$22)-MONTH(Assumptions!$F$11))),BS$11&lt;=((12*(YEAR('Renovation Budget'!$F$22)-YEAR(Assumptions!$F$11))+(MONTH('Renovation Budget'!$F$22)-MONTH(Assumptions!$F$11)))+'Renovation Budget'!$G$22-1)),-'Renovation Budget'!$C$22/'Renovation Budget'!$G$22,0)</f>
        <v/>
      </c>
      <c r="BT92" s="228">
        <f>IF(AND(BT$11&gt;=(12*(YEAR('Renovation Budget'!$F$22)-YEAR(Assumptions!$F$11))+(MONTH('Renovation Budget'!$F$22)-MONTH(Assumptions!$F$11))),BT$11&lt;=((12*(YEAR('Renovation Budget'!$F$22)-YEAR(Assumptions!$F$11))+(MONTH('Renovation Budget'!$F$22)-MONTH(Assumptions!$F$11)))+'Renovation Budget'!$G$22-1)),-'Renovation Budget'!$C$22/'Renovation Budget'!$G$22,0)</f>
        <v/>
      </c>
      <c r="BU92" s="228">
        <f>IF(AND(BU$11&gt;=(12*(YEAR('Renovation Budget'!$F$22)-YEAR(Assumptions!$F$11))+(MONTH('Renovation Budget'!$F$22)-MONTH(Assumptions!$F$11))),BU$11&lt;=((12*(YEAR('Renovation Budget'!$F$22)-YEAR(Assumptions!$F$11))+(MONTH('Renovation Budget'!$F$22)-MONTH(Assumptions!$F$11)))+'Renovation Budget'!$G$22-1)),-'Renovation Budget'!$C$22/'Renovation Budget'!$G$22,0)</f>
        <v/>
      </c>
      <c r="BV92" s="228">
        <f>IF(AND(BV$11&gt;=(12*(YEAR('Renovation Budget'!$F$22)-YEAR(Assumptions!$F$11))+(MONTH('Renovation Budget'!$F$22)-MONTH(Assumptions!$F$11))),BV$11&lt;=((12*(YEAR('Renovation Budget'!$F$22)-YEAR(Assumptions!$F$11))+(MONTH('Renovation Budget'!$F$22)-MONTH(Assumptions!$F$11)))+'Renovation Budget'!$G$22-1)),-'Renovation Budget'!$C$22/'Renovation Budget'!$G$22,0)</f>
        <v/>
      </c>
      <c r="BW92" s="228">
        <f>IF(AND(BW$11&gt;=(12*(YEAR('Renovation Budget'!$F$22)-YEAR(Assumptions!$F$11))+(MONTH('Renovation Budget'!$F$22)-MONTH(Assumptions!$F$11))),BW$11&lt;=((12*(YEAR('Renovation Budget'!$F$22)-YEAR(Assumptions!$F$11))+(MONTH('Renovation Budget'!$F$22)-MONTH(Assumptions!$F$11)))+'Renovation Budget'!$G$22-1)),-'Renovation Budget'!$C$22/'Renovation Budget'!$G$22,0)</f>
        <v/>
      </c>
      <c r="BX92" s="228">
        <f>IF(AND(BX$11&gt;=(12*(YEAR('Renovation Budget'!$F$22)-YEAR(Assumptions!$F$11))+(MONTH('Renovation Budget'!$F$22)-MONTH(Assumptions!$F$11))),BX$11&lt;=((12*(YEAR('Renovation Budget'!$F$22)-YEAR(Assumptions!$F$11))+(MONTH('Renovation Budget'!$F$22)-MONTH(Assumptions!$F$11)))+'Renovation Budget'!$G$22-1)),-'Renovation Budget'!$C$22/'Renovation Budget'!$G$22,0)</f>
        <v/>
      </c>
      <c r="BY92" s="228">
        <f>IF(AND(BY$11&gt;=(12*(YEAR('Renovation Budget'!$F$22)-YEAR(Assumptions!$F$11))+(MONTH('Renovation Budget'!$F$22)-MONTH(Assumptions!$F$11))),BY$11&lt;=((12*(YEAR('Renovation Budget'!$F$22)-YEAR(Assumptions!$F$11))+(MONTH('Renovation Budget'!$F$22)-MONTH(Assumptions!$F$11)))+'Renovation Budget'!$G$22-1)),-'Renovation Budget'!$C$22/'Renovation Budget'!$G$22,0)</f>
        <v/>
      </c>
      <c r="BZ92" s="228">
        <f>IF(AND(BZ$11&gt;=(12*(YEAR('Renovation Budget'!$F$22)-YEAR(Assumptions!$F$11))+(MONTH('Renovation Budget'!$F$22)-MONTH(Assumptions!$F$11))),BZ$11&lt;=((12*(YEAR('Renovation Budget'!$F$22)-YEAR(Assumptions!$F$11))+(MONTH('Renovation Budget'!$F$22)-MONTH(Assumptions!$F$11)))+'Renovation Budget'!$G$22-1)),-'Renovation Budget'!$C$22/'Renovation Budget'!$G$22,0)</f>
        <v/>
      </c>
      <c r="CA92" s="228">
        <f>IF(AND(CA$11&gt;=(12*(YEAR('Renovation Budget'!$F$22)-YEAR(Assumptions!$F$11))+(MONTH('Renovation Budget'!$F$22)-MONTH(Assumptions!$F$11))),CA$11&lt;=((12*(YEAR('Renovation Budget'!$F$22)-YEAR(Assumptions!$F$11))+(MONTH('Renovation Budget'!$F$22)-MONTH(Assumptions!$F$11)))+'Renovation Budget'!$G$22-1)),-'Renovation Budget'!$C$22/'Renovation Budget'!$G$22,0)</f>
        <v/>
      </c>
      <c r="CB92" s="228">
        <f>IF(AND(CB$11&gt;=(12*(YEAR('Renovation Budget'!$F$22)-YEAR(Assumptions!$F$11))+(MONTH('Renovation Budget'!$F$22)-MONTH(Assumptions!$F$11))),CB$11&lt;=((12*(YEAR('Renovation Budget'!$F$22)-YEAR(Assumptions!$F$11))+(MONTH('Renovation Budget'!$F$22)-MONTH(Assumptions!$F$11)))+'Renovation Budget'!$G$22-1)),-'Renovation Budget'!$C$22/'Renovation Budget'!$G$22,0)</f>
        <v/>
      </c>
      <c r="CC92" s="228">
        <f>IF(AND(CC$11&gt;=(12*(YEAR('Renovation Budget'!$F$22)-YEAR(Assumptions!$F$11))+(MONTH('Renovation Budget'!$F$22)-MONTH(Assumptions!$F$11))),CC$11&lt;=((12*(YEAR('Renovation Budget'!$F$22)-YEAR(Assumptions!$F$11))+(MONTH('Renovation Budget'!$F$22)-MONTH(Assumptions!$F$11)))+'Renovation Budget'!$G$22-1)),-'Renovation Budget'!$C$22/'Renovation Budget'!$G$22,0)</f>
        <v/>
      </c>
      <c r="CD92" s="228">
        <f>IF(AND(CD$11&gt;=(12*(YEAR('Renovation Budget'!$F$22)-YEAR(Assumptions!$F$11))+(MONTH('Renovation Budget'!$F$22)-MONTH(Assumptions!$F$11))),CD$11&lt;=((12*(YEAR('Renovation Budget'!$F$22)-YEAR(Assumptions!$F$11))+(MONTH('Renovation Budget'!$F$22)-MONTH(Assumptions!$F$11)))+'Renovation Budget'!$G$22-1)),-'Renovation Budget'!$C$22/'Renovation Budget'!$G$22,0)</f>
        <v/>
      </c>
      <c r="CE92" s="228">
        <f>IF(AND(CE$11&gt;=(12*(YEAR('Renovation Budget'!$F$22)-YEAR(Assumptions!$F$11))+(MONTH('Renovation Budget'!$F$22)-MONTH(Assumptions!$F$11))),CE$11&lt;=((12*(YEAR('Renovation Budget'!$F$22)-YEAR(Assumptions!$F$11))+(MONTH('Renovation Budget'!$F$22)-MONTH(Assumptions!$F$11)))+'Renovation Budget'!$G$22-1)),-'Renovation Budget'!$C$22/'Renovation Budget'!$G$22,0)</f>
        <v/>
      </c>
      <c r="CF92" s="228">
        <f>IF(AND(CF$11&gt;=(12*(YEAR('Renovation Budget'!$F$22)-YEAR(Assumptions!$F$11))+(MONTH('Renovation Budget'!$F$22)-MONTH(Assumptions!$F$11))),CF$11&lt;=((12*(YEAR('Renovation Budget'!$F$22)-YEAR(Assumptions!$F$11))+(MONTH('Renovation Budget'!$F$22)-MONTH(Assumptions!$F$11)))+'Renovation Budget'!$G$22-1)),-'Renovation Budget'!$C$22/'Renovation Budget'!$G$22,0)</f>
        <v/>
      </c>
      <c r="CG92" s="228">
        <f>IF(AND(CG$11&gt;=(12*(YEAR('Renovation Budget'!$F$22)-YEAR(Assumptions!$F$11))+(MONTH('Renovation Budget'!$F$22)-MONTH(Assumptions!$F$11))),CG$11&lt;=((12*(YEAR('Renovation Budget'!$F$22)-YEAR(Assumptions!$F$11))+(MONTH('Renovation Budget'!$F$22)-MONTH(Assumptions!$F$11)))+'Renovation Budget'!$G$22-1)),-'Renovation Budget'!$C$22/'Renovation Budget'!$G$22,0)</f>
        <v/>
      </c>
      <c r="CH92" s="228">
        <f>IF(AND(CH$11&gt;=(12*(YEAR('Renovation Budget'!$F$22)-YEAR(Assumptions!$F$11))+(MONTH('Renovation Budget'!$F$22)-MONTH(Assumptions!$F$11))),CH$11&lt;=((12*(YEAR('Renovation Budget'!$F$22)-YEAR(Assumptions!$F$11))+(MONTH('Renovation Budget'!$F$22)-MONTH(Assumptions!$F$11)))+'Renovation Budget'!$G$22-1)),-'Renovation Budget'!$C$22/'Renovation Budget'!$G$22,0)</f>
        <v/>
      </c>
      <c r="CI92" s="228">
        <f>IF(AND(CI$11&gt;=(12*(YEAR('Renovation Budget'!$F$22)-YEAR(Assumptions!$F$11))+(MONTH('Renovation Budget'!$F$22)-MONTH(Assumptions!$F$11))),CI$11&lt;=((12*(YEAR('Renovation Budget'!$F$22)-YEAR(Assumptions!$F$11))+(MONTH('Renovation Budget'!$F$22)-MONTH(Assumptions!$F$11)))+'Renovation Budget'!$G$22-1)),-'Renovation Budget'!$C$22/'Renovation Budget'!$G$22,0)</f>
        <v/>
      </c>
      <c r="CJ92" s="228">
        <f>IF(AND(CJ$11&gt;=(12*(YEAR('Renovation Budget'!$F$22)-YEAR(Assumptions!$F$11))+(MONTH('Renovation Budget'!$F$22)-MONTH(Assumptions!$F$11))),CJ$11&lt;=((12*(YEAR('Renovation Budget'!$F$22)-YEAR(Assumptions!$F$11))+(MONTH('Renovation Budget'!$F$22)-MONTH(Assumptions!$F$11)))+'Renovation Budget'!$G$22-1)),-'Renovation Budget'!$C$22/'Renovation Budget'!$G$22,0)</f>
        <v/>
      </c>
      <c r="CK92" s="228">
        <f>IF(AND(CK$11&gt;=(12*(YEAR('Renovation Budget'!$F$22)-YEAR(Assumptions!$F$11))+(MONTH('Renovation Budget'!$F$22)-MONTH(Assumptions!$F$11))),CK$11&lt;=((12*(YEAR('Renovation Budget'!$F$22)-YEAR(Assumptions!$F$11))+(MONTH('Renovation Budget'!$F$22)-MONTH(Assumptions!$F$11)))+'Renovation Budget'!$G$22-1)),-'Renovation Budget'!$C$22/'Renovation Budget'!$G$22,0)</f>
        <v/>
      </c>
      <c r="CL92" s="228">
        <f>IF(AND(CL$11&gt;=(12*(YEAR('Renovation Budget'!$F$22)-YEAR(Assumptions!$F$11))+(MONTH('Renovation Budget'!$F$22)-MONTH(Assumptions!$F$11))),CL$11&lt;=((12*(YEAR('Renovation Budget'!$F$22)-YEAR(Assumptions!$F$11))+(MONTH('Renovation Budget'!$F$22)-MONTH(Assumptions!$F$11)))+'Renovation Budget'!$G$22-1)),-'Renovation Budget'!$C$22/'Renovation Budget'!$G$22,0)</f>
        <v/>
      </c>
      <c r="CM92" s="228">
        <f>IF(AND(CM$11&gt;=(12*(YEAR('Renovation Budget'!$F$22)-YEAR(Assumptions!$F$11))+(MONTH('Renovation Budget'!$F$22)-MONTH(Assumptions!$F$11))),CM$11&lt;=((12*(YEAR('Renovation Budget'!$F$22)-YEAR(Assumptions!$F$11))+(MONTH('Renovation Budget'!$F$22)-MONTH(Assumptions!$F$11)))+'Renovation Budget'!$G$22-1)),-'Renovation Budget'!$C$22/'Renovation Budget'!$G$22,0)</f>
        <v/>
      </c>
      <c r="CN92" s="228">
        <f>IF(AND(CN$11&gt;=(12*(YEAR('Renovation Budget'!$F$22)-YEAR(Assumptions!$F$11))+(MONTH('Renovation Budget'!$F$22)-MONTH(Assumptions!$F$11))),CN$11&lt;=((12*(YEAR('Renovation Budget'!$F$22)-YEAR(Assumptions!$F$11))+(MONTH('Renovation Budget'!$F$22)-MONTH(Assumptions!$F$11)))+'Renovation Budget'!$G$22-1)),-'Renovation Budget'!$C$22/'Renovation Budget'!$G$22,0)</f>
        <v/>
      </c>
      <c r="CO92" s="228">
        <f>IF(AND(CO$11&gt;=(12*(YEAR('Renovation Budget'!$F$22)-YEAR(Assumptions!$F$11))+(MONTH('Renovation Budget'!$F$22)-MONTH(Assumptions!$F$11))),CO$11&lt;=((12*(YEAR('Renovation Budget'!$F$22)-YEAR(Assumptions!$F$11))+(MONTH('Renovation Budget'!$F$22)-MONTH(Assumptions!$F$11)))+'Renovation Budget'!$G$22-1)),-'Renovation Budget'!$C$22/'Renovation Budget'!$G$22,0)</f>
        <v/>
      </c>
      <c r="CP92" s="228">
        <f>IF(AND(CP$11&gt;=(12*(YEAR('Renovation Budget'!$F$22)-YEAR(Assumptions!$F$11))+(MONTH('Renovation Budget'!$F$22)-MONTH(Assumptions!$F$11))),CP$11&lt;=((12*(YEAR('Renovation Budget'!$F$22)-YEAR(Assumptions!$F$11))+(MONTH('Renovation Budget'!$F$22)-MONTH(Assumptions!$F$11)))+'Renovation Budget'!$G$22-1)),-'Renovation Budget'!$C$22/'Renovation Budget'!$G$22,0)</f>
        <v/>
      </c>
      <c r="CQ92" s="228">
        <f>IF(AND(CQ$11&gt;=(12*(YEAR('Renovation Budget'!$F$22)-YEAR(Assumptions!$F$11))+(MONTH('Renovation Budget'!$F$22)-MONTH(Assumptions!$F$11))),CQ$11&lt;=((12*(YEAR('Renovation Budget'!$F$22)-YEAR(Assumptions!$F$11))+(MONTH('Renovation Budget'!$F$22)-MONTH(Assumptions!$F$11)))+'Renovation Budget'!$G$22-1)),-'Renovation Budget'!$C$22/'Renovation Budget'!$G$22,0)</f>
        <v/>
      </c>
      <c r="CR92" s="228">
        <f>IF(AND(CR$11&gt;=(12*(YEAR('Renovation Budget'!$F$22)-YEAR(Assumptions!$F$11))+(MONTH('Renovation Budget'!$F$22)-MONTH(Assumptions!$F$11))),CR$11&lt;=((12*(YEAR('Renovation Budget'!$F$22)-YEAR(Assumptions!$F$11))+(MONTH('Renovation Budget'!$F$22)-MONTH(Assumptions!$F$11)))+'Renovation Budget'!$G$22-1)),-'Renovation Budget'!$C$22/'Renovation Budget'!$G$22,0)</f>
        <v/>
      </c>
      <c r="CS92" s="228">
        <f>IF(AND(CS$11&gt;=(12*(YEAR('Renovation Budget'!$F$22)-YEAR(Assumptions!$F$11))+(MONTH('Renovation Budget'!$F$22)-MONTH(Assumptions!$F$11))),CS$11&lt;=((12*(YEAR('Renovation Budget'!$F$22)-YEAR(Assumptions!$F$11))+(MONTH('Renovation Budget'!$F$22)-MONTH(Assumptions!$F$11)))+'Renovation Budget'!$G$22-1)),-'Renovation Budget'!$C$22/'Renovation Budget'!$G$22,0)</f>
        <v/>
      </c>
      <c r="CT92" s="228">
        <f>IF(AND(CT$11&gt;=(12*(YEAR('Renovation Budget'!$F$22)-YEAR(Assumptions!$F$11))+(MONTH('Renovation Budget'!$F$22)-MONTH(Assumptions!$F$11))),CT$11&lt;=((12*(YEAR('Renovation Budget'!$F$22)-YEAR(Assumptions!$F$11))+(MONTH('Renovation Budget'!$F$22)-MONTH(Assumptions!$F$11)))+'Renovation Budget'!$G$22-1)),-'Renovation Budget'!$C$22/'Renovation Budget'!$G$22,0)</f>
        <v/>
      </c>
      <c r="CU92" s="228">
        <f>IF(AND(CU$11&gt;=(12*(YEAR('Renovation Budget'!$F$22)-YEAR(Assumptions!$F$11))+(MONTH('Renovation Budget'!$F$22)-MONTH(Assumptions!$F$11))),CU$11&lt;=((12*(YEAR('Renovation Budget'!$F$22)-YEAR(Assumptions!$F$11))+(MONTH('Renovation Budget'!$F$22)-MONTH(Assumptions!$F$11)))+'Renovation Budget'!$G$22-1)),-'Renovation Budget'!$C$22/'Renovation Budget'!$G$22,0)</f>
        <v/>
      </c>
      <c r="CV92" s="228">
        <f>IF(AND(CV$11&gt;=(12*(YEAR('Renovation Budget'!$F$22)-YEAR(Assumptions!$F$11))+(MONTH('Renovation Budget'!$F$22)-MONTH(Assumptions!$F$11))),CV$11&lt;=((12*(YEAR('Renovation Budget'!$F$22)-YEAR(Assumptions!$F$11))+(MONTH('Renovation Budget'!$F$22)-MONTH(Assumptions!$F$11)))+'Renovation Budget'!$G$22-1)),-'Renovation Budget'!$C$22/'Renovation Budget'!$G$22,0)</f>
        <v/>
      </c>
      <c r="CW92" s="228">
        <f>IF(AND(CW$11&gt;=(12*(YEAR('Renovation Budget'!$F$22)-YEAR(Assumptions!$F$11))+(MONTH('Renovation Budget'!$F$22)-MONTH(Assumptions!$F$11))),CW$11&lt;=((12*(YEAR('Renovation Budget'!$F$22)-YEAR(Assumptions!$F$11))+(MONTH('Renovation Budget'!$F$22)-MONTH(Assumptions!$F$11)))+'Renovation Budget'!$G$22-1)),-'Renovation Budget'!$C$22/'Renovation Budget'!$G$22,0)</f>
        <v/>
      </c>
      <c r="CX92" s="228">
        <f>IF(AND(CX$11&gt;=(12*(YEAR('Renovation Budget'!$F$22)-YEAR(Assumptions!$F$11))+(MONTH('Renovation Budget'!$F$22)-MONTH(Assumptions!$F$11))),CX$11&lt;=((12*(YEAR('Renovation Budget'!$F$22)-YEAR(Assumptions!$F$11))+(MONTH('Renovation Budget'!$F$22)-MONTH(Assumptions!$F$11)))+'Renovation Budget'!$G$22-1)),-'Renovation Budget'!$C$22/'Renovation Budget'!$G$22,0)</f>
        <v/>
      </c>
      <c r="CY92" s="228">
        <f>IF(AND(CY$11&gt;=(12*(YEAR('Renovation Budget'!$F$22)-YEAR(Assumptions!$F$11))+(MONTH('Renovation Budget'!$F$22)-MONTH(Assumptions!$F$11))),CY$11&lt;=((12*(YEAR('Renovation Budget'!$F$22)-YEAR(Assumptions!$F$11))+(MONTH('Renovation Budget'!$F$22)-MONTH(Assumptions!$F$11)))+'Renovation Budget'!$G$22-1)),-'Renovation Budget'!$C$22/'Renovation Budget'!$G$22,0)</f>
        <v/>
      </c>
      <c r="CZ92" s="228">
        <f>IF(AND(CZ$11&gt;=(12*(YEAR('Renovation Budget'!$F$22)-YEAR(Assumptions!$F$11))+(MONTH('Renovation Budget'!$F$22)-MONTH(Assumptions!$F$11))),CZ$11&lt;=((12*(YEAR('Renovation Budget'!$F$22)-YEAR(Assumptions!$F$11))+(MONTH('Renovation Budget'!$F$22)-MONTH(Assumptions!$F$11)))+'Renovation Budget'!$G$22-1)),-'Renovation Budget'!$C$22/'Renovation Budget'!$G$22,0)</f>
        <v/>
      </c>
      <c r="DA92" s="228">
        <f>IF(AND(DA$11&gt;=(12*(YEAR('Renovation Budget'!$F$22)-YEAR(Assumptions!$F$11))+(MONTH('Renovation Budget'!$F$22)-MONTH(Assumptions!$F$11))),DA$11&lt;=((12*(YEAR('Renovation Budget'!$F$22)-YEAR(Assumptions!$F$11))+(MONTH('Renovation Budget'!$F$22)-MONTH(Assumptions!$F$11)))+'Renovation Budget'!$G$22-1)),-'Renovation Budget'!$C$22/'Renovation Budget'!$G$22,0)</f>
        <v/>
      </c>
      <c r="DB92" s="228">
        <f>IF(AND(DB$11&gt;=(12*(YEAR('Renovation Budget'!$F$22)-YEAR(Assumptions!$F$11))+(MONTH('Renovation Budget'!$F$22)-MONTH(Assumptions!$F$11))),DB$11&lt;=((12*(YEAR('Renovation Budget'!$F$22)-YEAR(Assumptions!$F$11))+(MONTH('Renovation Budget'!$F$22)-MONTH(Assumptions!$F$11)))+'Renovation Budget'!$G$22-1)),-'Renovation Budget'!$C$22/'Renovation Budget'!$G$22,0)</f>
        <v/>
      </c>
      <c r="DC92" s="228">
        <f>IF(AND(DC$11&gt;=(12*(YEAR('Renovation Budget'!$F$22)-YEAR(Assumptions!$F$11))+(MONTH('Renovation Budget'!$F$22)-MONTH(Assumptions!$F$11))),DC$11&lt;=((12*(YEAR('Renovation Budget'!$F$22)-YEAR(Assumptions!$F$11))+(MONTH('Renovation Budget'!$F$22)-MONTH(Assumptions!$F$11)))+'Renovation Budget'!$G$22-1)),-'Renovation Budget'!$C$22/'Renovation Budget'!$G$22,0)</f>
        <v/>
      </c>
      <c r="DD92" s="228">
        <f>IF(AND(DD$11&gt;=(12*(YEAR('Renovation Budget'!$F$22)-YEAR(Assumptions!$F$11))+(MONTH('Renovation Budget'!$F$22)-MONTH(Assumptions!$F$11))),DD$11&lt;=((12*(YEAR('Renovation Budget'!$F$22)-YEAR(Assumptions!$F$11))+(MONTH('Renovation Budget'!$F$22)-MONTH(Assumptions!$F$11)))+'Renovation Budget'!$G$22-1)),-'Renovation Budget'!$C$22/'Renovation Budget'!$G$22,0)</f>
        <v/>
      </c>
      <c r="DE92" s="228">
        <f>IF(AND(DE$11&gt;=(12*(YEAR('Renovation Budget'!$F$22)-YEAR(Assumptions!$F$11))+(MONTH('Renovation Budget'!$F$22)-MONTH(Assumptions!$F$11))),DE$11&lt;=((12*(YEAR('Renovation Budget'!$F$22)-YEAR(Assumptions!$F$11))+(MONTH('Renovation Budget'!$F$22)-MONTH(Assumptions!$F$11)))+'Renovation Budget'!$G$22-1)),-'Renovation Budget'!$C$22/'Renovation Budget'!$G$22,0)</f>
        <v/>
      </c>
      <c r="DF92" s="228">
        <f>IF(AND(DF$11&gt;=(12*(YEAR('Renovation Budget'!$F$22)-YEAR(Assumptions!$F$11))+(MONTH('Renovation Budget'!$F$22)-MONTH(Assumptions!$F$11))),DF$11&lt;=((12*(YEAR('Renovation Budget'!$F$22)-YEAR(Assumptions!$F$11))+(MONTH('Renovation Budget'!$F$22)-MONTH(Assumptions!$F$11)))+'Renovation Budget'!$G$22-1)),-'Renovation Budget'!$C$22/'Renovation Budget'!$G$22,0)</f>
        <v/>
      </c>
      <c r="DG92" s="228">
        <f>IF(AND(DG$11&gt;=(12*(YEAR('Renovation Budget'!$F$22)-YEAR(Assumptions!$F$11))+(MONTH('Renovation Budget'!$F$22)-MONTH(Assumptions!$F$11))),DG$11&lt;=((12*(YEAR('Renovation Budget'!$F$22)-YEAR(Assumptions!$F$11))+(MONTH('Renovation Budget'!$F$22)-MONTH(Assumptions!$F$11)))+'Renovation Budget'!$G$22-1)),-'Renovation Budget'!$C$22/'Renovation Budget'!$G$22,0)</f>
        <v/>
      </c>
      <c r="DH92" s="228">
        <f>IF(AND(DH$11&gt;=(12*(YEAR('Renovation Budget'!$F$22)-YEAR(Assumptions!$F$11))+(MONTH('Renovation Budget'!$F$22)-MONTH(Assumptions!$F$11))),DH$11&lt;=((12*(YEAR('Renovation Budget'!$F$22)-YEAR(Assumptions!$F$11))+(MONTH('Renovation Budget'!$F$22)-MONTH(Assumptions!$F$11)))+'Renovation Budget'!$G$22-1)),-'Renovation Budget'!$C$22/'Renovation Budget'!$G$22,0)</f>
        <v/>
      </c>
      <c r="DI92" s="228">
        <f>IF(AND(DI$11&gt;=(12*(YEAR('Renovation Budget'!$F$22)-YEAR(Assumptions!$F$11))+(MONTH('Renovation Budget'!$F$22)-MONTH(Assumptions!$F$11))),DI$11&lt;=((12*(YEAR('Renovation Budget'!$F$22)-YEAR(Assumptions!$F$11))+(MONTH('Renovation Budget'!$F$22)-MONTH(Assumptions!$F$11)))+'Renovation Budget'!$G$22-1)),-'Renovation Budget'!$C$22/'Renovation Budget'!$G$22,0)</f>
        <v/>
      </c>
      <c r="DJ92" s="228">
        <f>IF(AND(DJ$11&gt;=(12*(YEAR('Renovation Budget'!$F$22)-YEAR(Assumptions!$F$11))+(MONTH('Renovation Budget'!$F$22)-MONTH(Assumptions!$F$11))),DJ$11&lt;=((12*(YEAR('Renovation Budget'!$F$22)-YEAR(Assumptions!$F$11))+(MONTH('Renovation Budget'!$F$22)-MONTH(Assumptions!$F$11)))+'Renovation Budget'!$G$22-1)),-'Renovation Budget'!$C$22/'Renovation Budget'!$G$22,0)</f>
        <v/>
      </c>
      <c r="DK92" s="228">
        <f>IF(AND(DK$11&gt;=(12*(YEAR('Renovation Budget'!$F$22)-YEAR(Assumptions!$F$11))+(MONTH('Renovation Budget'!$F$22)-MONTH(Assumptions!$F$11))),DK$11&lt;=((12*(YEAR('Renovation Budget'!$F$22)-YEAR(Assumptions!$F$11))+(MONTH('Renovation Budget'!$F$22)-MONTH(Assumptions!$F$11)))+'Renovation Budget'!$G$22-1)),-'Renovation Budget'!$C$22/'Renovation Budget'!$G$22,0)</f>
        <v/>
      </c>
      <c r="DL92" s="228">
        <f>IF(AND(DL$11&gt;=(12*(YEAR('Renovation Budget'!$F$22)-YEAR(Assumptions!$F$11))+(MONTH('Renovation Budget'!$F$22)-MONTH(Assumptions!$F$11))),DL$11&lt;=((12*(YEAR('Renovation Budget'!$F$22)-YEAR(Assumptions!$F$11))+(MONTH('Renovation Budget'!$F$22)-MONTH(Assumptions!$F$11)))+'Renovation Budget'!$G$22-1)),-'Renovation Budget'!$C$22/'Renovation Budget'!$G$22,0)</f>
        <v/>
      </c>
      <c r="DM92" s="228">
        <f>IF(AND(DM$11&gt;=(12*(YEAR('Renovation Budget'!$F$22)-YEAR(Assumptions!$F$11))+(MONTH('Renovation Budget'!$F$22)-MONTH(Assumptions!$F$11))),DM$11&lt;=((12*(YEAR('Renovation Budget'!$F$22)-YEAR(Assumptions!$F$11))+(MONTH('Renovation Budget'!$F$22)-MONTH(Assumptions!$F$11)))+'Renovation Budget'!$G$22-1)),-'Renovation Budget'!$C$22/'Renovation Budget'!$G$22,0)</f>
        <v/>
      </c>
      <c r="DN92" s="228">
        <f>IF(AND(DN$11&gt;=(12*(YEAR('Renovation Budget'!$F$22)-YEAR(Assumptions!$F$11))+(MONTH('Renovation Budget'!$F$22)-MONTH(Assumptions!$F$11))),DN$11&lt;=((12*(YEAR('Renovation Budget'!$F$22)-YEAR(Assumptions!$F$11))+(MONTH('Renovation Budget'!$F$22)-MONTH(Assumptions!$F$11)))+'Renovation Budget'!$G$22-1)),-'Renovation Budget'!$C$22/'Renovation Budget'!$G$22,0)</f>
        <v/>
      </c>
      <c r="DO92" s="228">
        <f>IF(AND(DO$11&gt;=(12*(YEAR('Renovation Budget'!$F$22)-YEAR(Assumptions!$F$11))+(MONTH('Renovation Budget'!$F$22)-MONTH(Assumptions!$F$11))),DO$11&lt;=((12*(YEAR('Renovation Budget'!$F$22)-YEAR(Assumptions!$F$11))+(MONTH('Renovation Budget'!$F$22)-MONTH(Assumptions!$F$11)))+'Renovation Budget'!$G$22-1)),-'Renovation Budget'!$C$22/'Renovation Budget'!$G$22,0)</f>
        <v/>
      </c>
      <c r="DP92" s="228">
        <f>IF(AND(DP$11&gt;=(12*(YEAR('Renovation Budget'!$F$22)-YEAR(Assumptions!$F$11))+(MONTH('Renovation Budget'!$F$22)-MONTH(Assumptions!$F$11))),DP$11&lt;=((12*(YEAR('Renovation Budget'!$F$22)-YEAR(Assumptions!$F$11))+(MONTH('Renovation Budget'!$F$22)-MONTH(Assumptions!$F$11)))+'Renovation Budget'!$G$22-1)),-'Renovation Budget'!$C$22/'Renovation Budget'!$G$22,0)</f>
        <v/>
      </c>
      <c r="DQ92" s="228">
        <f>IF(AND(DQ$11&gt;=(12*(YEAR('Renovation Budget'!$F$22)-YEAR(Assumptions!$F$11))+(MONTH('Renovation Budget'!$F$22)-MONTH(Assumptions!$F$11))),DQ$11&lt;=((12*(YEAR('Renovation Budget'!$F$22)-YEAR(Assumptions!$F$11))+(MONTH('Renovation Budget'!$F$22)-MONTH(Assumptions!$F$11)))+'Renovation Budget'!$G$22-1)),-'Renovation Budget'!$C$22/'Renovation Budget'!$G$22,0)</f>
        <v/>
      </c>
      <c r="DR92" s="228">
        <f>IF(AND(DR$11&gt;=(12*(YEAR('Renovation Budget'!$F$22)-YEAR(Assumptions!$F$11))+(MONTH('Renovation Budget'!$F$22)-MONTH(Assumptions!$F$11))),DR$11&lt;=((12*(YEAR('Renovation Budget'!$F$22)-YEAR(Assumptions!$F$11))+(MONTH('Renovation Budget'!$F$22)-MONTH(Assumptions!$F$11)))+'Renovation Budget'!$G$22-1)),-'Renovation Budget'!$C$22/'Renovation Budget'!$G$22,0)</f>
        <v/>
      </c>
      <c r="DS92" s="228">
        <f>IF(AND(DS$11&gt;=(12*(YEAR('Renovation Budget'!$F$22)-YEAR(Assumptions!$F$11))+(MONTH('Renovation Budget'!$F$22)-MONTH(Assumptions!$F$11))),DS$11&lt;=((12*(YEAR('Renovation Budget'!$F$22)-YEAR(Assumptions!$F$11))+(MONTH('Renovation Budget'!$F$22)-MONTH(Assumptions!$F$11)))+'Renovation Budget'!$G$22-1)),-'Renovation Budget'!$C$22/'Renovation Budget'!$G$22,0)</f>
        <v/>
      </c>
      <c r="DT92" s="228">
        <f>IF(AND(DT$11&gt;=(12*(YEAR('Renovation Budget'!$F$22)-YEAR(Assumptions!$F$11))+(MONTH('Renovation Budget'!$F$22)-MONTH(Assumptions!$F$11))),DT$11&lt;=((12*(YEAR('Renovation Budget'!$F$22)-YEAR(Assumptions!$F$11))+(MONTH('Renovation Budget'!$F$22)-MONTH(Assumptions!$F$11)))+'Renovation Budget'!$G$22-1)),-'Renovation Budget'!$C$22/'Renovation Budget'!$G$22,0)</f>
        <v/>
      </c>
    </row>
    <row r="93" ht="15" customHeight="1" s="148">
      <c r="A93" s="110" t="inlineStr">
        <is>
          <t>Subtotal: Hard Costs</t>
        </is>
      </c>
      <c r="C93" s="228">
        <f>SUM(D93:DT93)</f>
        <v/>
      </c>
      <c r="D93" s="228">
        <f>SUM(D$79:D$92)</f>
        <v/>
      </c>
      <c r="E93" s="228">
        <f>SUM(E$79:E$92)</f>
        <v/>
      </c>
      <c r="F93" s="228">
        <f>SUM(F$79:F$92)</f>
        <v/>
      </c>
      <c r="G93" s="228">
        <f>SUM(G$79:G$92)</f>
        <v/>
      </c>
      <c r="H93" s="228">
        <f>SUM(H$79:H$92)</f>
        <v/>
      </c>
      <c r="I93" s="228">
        <f>SUM(I$79:I$92)</f>
        <v/>
      </c>
      <c r="J93" s="228">
        <f>SUM(J$79:J$92)</f>
        <v/>
      </c>
      <c r="K93" s="228">
        <f>SUM(K$79:K$92)</f>
        <v/>
      </c>
      <c r="L93" s="228">
        <f>SUM(L$79:L$92)</f>
        <v/>
      </c>
      <c r="M93" s="228">
        <f>SUM(M$79:M$92)</f>
        <v/>
      </c>
      <c r="N93" s="228">
        <f>SUM(N$79:N$92)</f>
        <v/>
      </c>
      <c r="O93" s="228">
        <f>SUM(O$79:O$92)</f>
        <v/>
      </c>
      <c r="P93" s="228">
        <f>SUM(P$79:P$92)</f>
        <v/>
      </c>
      <c r="Q93" s="228">
        <f>SUM(Q$79:Q$92)</f>
        <v/>
      </c>
      <c r="R93" s="228">
        <f>SUM(R$79:R$92)</f>
        <v/>
      </c>
      <c r="S93" s="228">
        <f>SUM(S$79:S$92)</f>
        <v/>
      </c>
      <c r="T93" s="228">
        <f>SUM(T$79:T$92)</f>
        <v/>
      </c>
      <c r="U93" s="228">
        <f>SUM(U$79:U$92)</f>
        <v/>
      </c>
      <c r="V93" s="228">
        <f>SUM(V$79:V$92)</f>
        <v/>
      </c>
      <c r="W93" s="228">
        <f>SUM(W$79:W$92)</f>
        <v/>
      </c>
      <c r="X93" s="228">
        <f>SUM(X$79:X$92)</f>
        <v/>
      </c>
      <c r="Y93" s="228">
        <f>SUM(Y$79:Y$92)</f>
        <v/>
      </c>
      <c r="Z93" s="228">
        <f>SUM(Z$79:Z$92)</f>
        <v/>
      </c>
      <c r="AA93" s="228">
        <f>SUM(AA$79:AA$92)</f>
        <v/>
      </c>
      <c r="AB93" s="228">
        <f>SUM(AB$79:AB$92)</f>
        <v/>
      </c>
      <c r="AC93" s="228">
        <f>SUM(AC$79:AC$92)</f>
        <v/>
      </c>
      <c r="AD93" s="228">
        <f>SUM(AD$79:AD$92)</f>
        <v/>
      </c>
      <c r="AE93" s="228">
        <f>SUM(AE$79:AE$92)</f>
        <v/>
      </c>
      <c r="AF93" s="228">
        <f>SUM(AF$79:AF$92)</f>
        <v/>
      </c>
      <c r="AG93" s="228">
        <f>SUM(AG$79:AG$92)</f>
        <v/>
      </c>
      <c r="AH93" s="228">
        <f>SUM(AH$79:AH$92)</f>
        <v/>
      </c>
      <c r="AI93" s="228">
        <f>SUM(AI$79:AI$92)</f>
        <v/>
      </c>
      <c r="AJ93" s="228">
        <f>SUM(AJ$79:AJ$92)</f>
        <v/>
      </c>
      <c r="AK93" s="228">
        <f>SUM(AK$79:AK$92)</f>
        <v/>
      </c>
      <c r="AL93" s="228">
        <f>SUM(AL$79:AL$92)</f>
        <v/>
      </c>
      <c r="AM93" s="228">
        <f>SUM(AM$79:AM$92)</f>
        <v/>
      </c>
      <c r="AN93" s="228">
        <f>SUM(AN$79:AN$92)</f>
        <v/>
      </c>
      <c r="AO93" s="228">
        <f>SUM(AO$79:AO$92)</f>
        <v/>
      </c>
      <c r="AP93" s="228">
        <f>SUM(AP$79:AP$92)</f>
        <v/>
      </c>
      <c r="AQ93" s="228">
        <f>SUM(AQ$79:AQ$92)</f>
        <v/>
      </c>
      <c r="AR93" s="228">
        <f>SUM(AR$79:AR$92)</f>
        <v/>
      </c>
      <c r="AS93" s="228">
        <f>SUM(AS$79:AS$92)</f>
        <v/>
      </c>
      <c r="AT93" s="228">
        <f>SUM(AT$79:AT$92)</f>
        <v/>
      </c>
      <c r="AU93" s="228">
        <f>SUM(AU$79:AU$92)</f>
        <v/>
      </c>
      <c r="AV93" s="228">
        <f>SUM(AV$79:AV$92)</f>
        <v/>
      </c>
      <c r="AW93" s="228">
        <f>SUM(AW$79:AW$92)</f>
        <v/>
      </c>
      <c r="AX93" s="228">
        <f>SUM(AX$79:AX$92)</f>
        <v/>
      </c>
      <c r="AY93" s="228">
        <f>SUM(AY$79:AY$92)</f>
        <v/>
      </c>
      <c r="AZ93" s="228">
        <f>SUM(AZ$79:AZ$92)</f>
        <v/>
      </c>
      <c r="BA93" s="228">
        <f>SUM(BA$79:BA$92)</f>
        <v/>
      </c>
      <c r="BB93" s="228">
        <f>SUM(BB$79:BB$92)</f>
        <v/>
      </c>
      <c r="BC93" s="228">
        <f>SUM(BC$79:BC$92)</f>
        <v/>
      </c>
      <c r="BD93" s="228">
        <f>SUM(BD$79:BD$92)</f>
        <v/>
      </c>
      <c r="BE93" s="228">
        <f>SUM(BE$79:BE$92)</f>
        <v/>
      </c>
      <c r="BF93" s="228">
        <f>SUM(BF$79:BF$92)</f>
        <v/>
      </c>
      <c r="BG93" s="228">
        <f>SUM(BG$79:BG$92)</f>
        <v/>
      </c>
      <c r="BH93" s="228">
        <f>SUM(BH$79:BH$92)</f>
        <v/>
      </c>
      <c r="BI93" s="228">
        <f>SUM(BI$79:BI$92)</f>
        <v/>
      </c>
      <c r="BJ93" s="228">
        <f>SUM(BJ$79:BJ$92)</f>
        <v/>
      </c>
      <c r="BK93" s="228">
        <f>SUM(BK$79:BK$92)</f>
        <v/>
      </c>
      <c r="BL93" s="228">
        <f>SUM(BL$79:BL$92)</f>
        <v/>
      </c>
      <c r="BM93" s="228">
        <f>SUM(BM$79:BM$92)</f>
        <v/>
      </c>
      <c r="BN93" s="228">
        <f>SUM(BN$79:BN$92)</f>
        <v/>
      </c>
      <c r="BO93" s="228">
        <f>SUM(BO$79:BO$92)</f>
        <v/>
      </c>
      <c r="BP93" s="228">
        <f>SUM(BP$79:BP$92)</f>
        <v/>
      </c>
      <c r="BQ93" s="228">
        <f>SUM(BQ$79:BQ$92)</f>
        <v/>
      </c>
      <c r="BR93" s="228">
        <f>SUM(BR$79:BR$92)</f>
        <v/>
      </c>
      <c r="BS93" s="228">
        <f>SUM(BS$79:BS$92)</f>
        <v/>
      </c>
      <c r="BT93" s="228">
        <f>SUM(BT$79:BT$92)</f>
        <v/>
      </c>
      <c r="BU93" s="228">
        <f>SUM(BU$79:BU$92)</f>
        <v/>
      </c>
      <c r="BV93" s="228">
        <f>SUM(BV$79:BV$92)</f>
        <v/>
      </c>
      <c r="BW93" s="228">
        <f>SUM(BW$79:BW$92)</f>
        <v/>
      </c>
      <c r="BX93" s="228">
        <f>SUM(BX$79:BX$92)</f>
        <v/>
      </c>
      <c r="BY93" s="228">
        <f>SUM(BY$79:BY$92)</f>
        <v/>
      </c>
      <c r="BZ93" s="228">
        <f>SUM(BZ$79:BZ$92)</f>
        <v/>
      </c>
      <c r="CA93" s="228">
        <f>SUM(CA$79:CA$92)</f>
        <v/>
      </c>
      <c r="CB93" s="228">
        <f>SUM(CB$79:CB$92)</f>
        <v/>
      </c>
      <c r="CC93" s="228">
        <f>SUM(CC$79:CC$92)</f>
        <v/>
      </c>
      <c r="CD93" s="228">
        <f>SUM(CD$79:CD$92)</f>
        <v/>
      </c>
      <c r="CE93" s="228">
        <f>SUM(CE$79:CE$92)</f>
        <v/>
      </c>
      <c r="CF93" s="228">
        <f>SUM(CF$79:CF$92)</f>
        <v/>
      </c>
      <c r="CG93" s="228">
        <f>SUM(CG$79:CG$92)</f>
        <v/>
      </c>
      <c r="CH93" s="228">
        <f>SUM(CH$79:CH$92)</f>
        <v/>
      </c>
      <c r="CI93" s="228">
        <f>SUM(CI$79:CI$92)</f>
        <v/>
      </c>
      <c r="CJ93" s="228">
        <f>SUM(CJ$79:CJ$92)</f>
        <v/>
      </c>
      <c r="CK93" s="228">
        <f>SUM(CK$79:CK$92)</f>
        <v/>
      </c>
      <c r="CL93" s="228">
        <f>SUM(CL$79:CL$92)</f>
        <v/>
      </c>
      <c r="CM93" s="228">
        <f>SUM(CM$79:CM$92)</f>
        <v/>
      </c>
      <c r="CN93" s="228">
        <f>SUM(CN$79:CN$92)</f>
        <v/>
      </c>
      <c r="CO93" s="228">
        <f>SUM(CO$79:CO$92)</f>
        <v/>
      </c>
      <c r="CP93" s="228">
        <f>SUM(CP$79:CP$92)</f>
        <v/>
      </c>
      <c r="CQ93" s="228">
        <f>SUM(CQ$79:CQ$92)</f>
        <v/>
      </c>
      <c r="CR93" s="228">
        <f>SUM(CR$79:CR$92)</f>
        <v/>
      </c>
      <c r="CS93" s="228">
        <f>SUM(CS$79:CS$92)</f>
        <v/>
      </c>
      <c r="CT93" s="228">
        <f>SUM(CT$79:CT$92)</f>
        <v/>
      </c>
      <c r="CU93" s="228">
        <f>SUM(CU$79:CU$92)</f>
        <v/>
      </c>
      <c r="CV93" s="228">
        <f>SUM(CV$79:CV$92)</f>
        <v/>
      </c>
      <c r="CW93" s="228">
        <f>SUM(CW$79:CW$92)</f>
        <v/>
      </c>
      <c r="CX93" s="228">
        <f>SUM(CX$79:CX$92)</f>
        <v/>
      </c>
      <c r="CY93" s="228">
        <f>SUM(CY$79:CY$92)</f>
        <v/>
      </c>
      <c r="CZ93" s="228">
        <f>SUM(CZ$79:CZ$92)</f>
        <v/>
      </c>
      <c r="DA93" s="228">
        <f>SUM(DA$79:DA$92)</f>
        <v/>
      </c>
      <c r="DB93" s="228">
        <f>SUM(DB$79:DB$92)</f>
        <v/>
      </c>
      <c r="DC93" s="228">
        <f>SUM(DC$79:DC$92)</f>
        <v/>
      </c>
      <c r="DD93" s="228">
        <f>SUM(DD$79:DD$92)</f>
        <v/>
      </c>
      <c r="DE93" s="228">
        <f>SUM(DE$79:DE$92)</f>
        <v/>
      </c>
      <c r="DF93" s="228">
        <f>SUM(DF$79:DF$92)</f>
        <v/>
      </c>
      <c r="DG93" s="228">
        <f>SUM(DG$79:DG$92)</f>
        <v/>
      </c>
      <c r="DH93" s="228">
        <f>SUM(DH$79:DH$92)</f>
        <v/>
      </c>
      <c r="DI93" s="228">
        <f>SUM(DI$79:DI$92)</f>
        <v/>
      </c>
      <c r="DJ93" s="228">
        <f>SUM(DJ$79:DJ$92)</f>
        <v/>
      </c>
      <c r="DK93" s="228">
        <f>SUM(DK$79:DK$92)</f>
        <v/>
      </c>
      <c r="DL93" s="228">
        <f>SUM(DL$79:DL$92)</f>
        <v/>
      </c>
      <c r="DM93" s="228">
        <f>SUM(DM$79:DM$92)</f>
        <v/>
      </c>
      <c r="DN93" s="228">
        <f>SUM(DN$79:DN$92)</f>
        <v/>
      </c>
      <c r="DO93" s="228">
        <f>SUM(DO$79:DO$92)</f>
        <v/>
      </c>
      <c r="DP93" s="228">
        <f>SUM(DP$79:DP$92)</f>
        <v/>
      </c>
      <c r="DQ93" s="228">
        <f>SUM(DQ$79:DQ$92)</f>
        <v/>
      </c>
      <c r="DR93" s="228">
        <f>SUM(DR$79:DR$92)</f>
        <v/>
      </c>
      <c r="DS93" s="228">
        <f>SUM(DS$79:DS$92)</f>
        <v/>
      </c>
      <c r="DT93" s="228">
        <f>SUM(DT$79:DT$92)</f>
        <v/>
      </c>
    </row>
    <row r="95" ht="15" customHeight="1" s="148">
      <c r="A95" s="110" t="inlineStr">
        <is>
          <t>Soft Costs</t>
        </is>
      </c>
      <c r="C95" s="228">
        <f>SUM(D95:DT95)</f>
        <v/>
      </c>
      <c r="D95" s="228" t="n"/>
      <c r="E95" s="228" t="n"/>
      <c r="F95" s="228" t="n"/>
      <c r="G95" s="228" t="n"/>
      <c r="H95" s="228" t="n"/>
      <c r="I95" s="228" t="n"/>
      <c r="J95" s="228" t="n"/>
      <c r="K95" s="228" t="n"/>
      <c r="L95" s="228" t="n"/>
      <c r="M95" s="228" t="n"/>
      <c r="N95" s="228" t="n"/>
      <c r="O95" s="228" t="n"/>
      <c r="P95" s="228" t="n"/>
      <c r="Q95" s="228" t="n"/>
      <c r="R95" s="228" t="n"/>
      <c r="S95" s="228" t="n"/>
      <c r="T95" s="228" t="n"/>
      <c r="U95" s="228" t="n"/>
      <c r="V95" s="228" t="n"/>
      <c r="W95" s="228" t="n"/>
      <c r="X95" s="228" t="n"/>
      <c r="Y95" s="228" t="n"/>
      <c r="Z95" s="228" t="n"/>
      <c r="AA95" s="228" t="n"/>
      <c r="AB95" s="228" t="n"/>
      <c r="AC95" s="228" t="n"/>
      <c r="AD95" s="228" t="n"/>
      <c r="AE95" s="228" t="n"/>
      <c r="AF95" s="228" t="n"/>
      <c r="AG95" s="228" t="n"/>
      <c r="AH95" s="228" t="n"/>
      <c r="AI95" s="228" t="n"/>
      <c r="AJ95" s="228" t="n"/>
      <c r="AK95" s="228" t="n"/>
      <c r="AL95" s="228" t="n"/>
      <c r="AM95" s="228" t="n"/>
      <c r="AN95" s="228" t="n"/>
      <c r="AO95" s="228" t="n"/>
      <c r="AP95" s="228" t="n"/>
      <c r="AQ95" s="228" t="n"/>
      <c r="AR95" s="228" t="n"/>
      <c r="AS95" s="228" t="n"/>
      <c r="AT95" s="228" t="n"/>
      <c r="AU95" s="228" t="n"/>
      <c r="AV95" s="228" t="n"/>
      <c r="AW95" s="228" t="n"/>
      <c r="AX95" s="228" t="n"/>
      <c r="AY95" s="228" t="n"/>
      <c r="AZ95" s="228" t="n"/>
      <c r="BA95" s="228" t="n"/>
      <c r="BB95" s="228" t="n"/>
      <c r="BC95" s="228" t="n"/>
      <c r="BD95" s="228" t="n"/>
      <c r="BE95" s="228" t="n"/>
      <c r="BF95" s="228" t="n"/>
      <c r="BG95" s="228" t="n"/>
      <c r="BH95" s="228" t="n"/>
      <c r="BI95" s="228" t="n"/>
      <c r="BJ95" s="228" t="n"/>
      <c r="BK95" s="228" t="n"/>
      <c r="BL95" s="228" t="n"/>
      <c r="BM95" s="228" t="n"/>
      <c r="BN95" s="228" t="n"/>
      <c r="BO95" s="228" t="n"/>
      <c r="BP95" s="228" t="n"/>
      <c r="BQ95" s="228" t="n"/>
      <c r="BR95" s="228" t="n"/>
      <c r="BS95" s="228" t="n"/>
      <c r="BT95" s="228" t="n"/>
      <c r="BU95" s="228" t="n"/>
      <c r="BV95" s="228" t="n"/>
      <c r="BW95" s="228" t="n"/>
      <c r="BX95" s="228" t="n"/>
      <c r="BY95" s="228" t="n"/>
      <c r="BZ95" s="228" t="n"/>
      <c r="CA95" s="228" t="n"/>
      <c r="CB95" s="228" t="n"/>
      <c r="CC95" s="228" t="n"/>
      <c r="CD95" s="228" t="n"/>
      <c r="CE95" s="228" t="n"/>
      <c r="CF95" s="228" t="n"/>
      <c r="CG95" s="228" t="n"/>
      <c r="CH95" s="228" t="n"/>
      <c r="CI95" s="228" t="n"/>
      <c r="CJ95" s="228" t="n"/>
      <c r="CK95" s="228" t="n"/>
      <c r="CL95" s="228" t="n"/>
      <c r="CM95" s="228" t="n"/>
      <c r="CN95" s="228" t="n"/>
      <c r="CO95" s="228" t="n"/>
      <c r="CP95" s="228" t="n"/>
      <c r="CQ95" s="228" t="n"/>
      <c r="CR95" s="228" t="n"/>
      <c r="CS95" s="228" t="n"/>
      <c r="CT95" s="228" t="n"/>
      <c r="CU95" s="228" t="n"/>
      <c r="CV95" s="228" t="n"/>
      <c r="CW95" s="228" t="n"/>
      <c r="CX95" s="228" t="n"/>
      <c r="CY95" s="228" t="n"/>
      <c r="CZ95" s="228" t="n"/>
      <c r="DA95" s="228" t="n"/>
      <c r="DB95" s="228" t="n"/>
      <c r="DC95" s="228" t="n"/>
      <c r="DD95" s="228" t="n"/>
      <c r="DE95" s="228" t="n"/>
      <c r="DF95" s="228" t="n"/>
      <c r="DG95" s="228" t="n"/>
      <c r="DH95" s="228" t="n"/>
      <c r="DI95" s="228" t="n"/>
      <c r="DJ95" s="228" t="n"/>
      <c r="DK95" s="228" t="n"/>
      <c r="DL95" s="228" t="n"/>
      <c r="DM95" s="228" t="n"/>
      <c r="DN95" s="228" t="n"/>
      <c r="DO95" s="228" t="n"/>
      <c r="DP95" s="228" t="n"/>
      <c r="DQ95" s="228" t="n"/>
      <c r="DR95" s="228" t="n"/>
      <c r="DS95" s="228" t="n"/>
      <c r="DT95" s="228" t="n"/>
    </row>
    <row r="96" ht="15" customHeight="1" s="148">
      <c r="A96" s="112" t="inlineStr">
        <is>
          <t>Acquisition Management Fee</t>
        </is>
      </c>
      <c r="C96" s="228">
        <f>SUM(D96:DT96)</f>
        <v/>
      </c>
      <c r="D96" s="228">
        <f>IF(AND(D$11&gt;=(12*(YEAR('Renovation Budget'!$F$27)-YEAR(Assumptions!$F$11))+(MONTH('Renovation Budget'!$F$27)-MONTH(Assumptions!$F$11))),D$11&lt;=((12*(YEAR('Renovation Budget'!$F$27)-YEAR(Assumptions!$F$11))+(MONTH('Renovation Budget'!$F$27)-MONTH(Assumptions!$F$11)))+'Renovation Budget'!$G$27-1)),-'Renovation Budget'!$C$27/'Renovation Budget'!$G$27,0)</f>
        <v/>
      </c>
      <c r="E96" s="228">
        <f>IF(AND(E$11&gt;=(12*(YEAR('Renovation Budget'!$F$27)-YEAR(Assumptions!$F$11))+(MONTH('Renovation Budget'!$F$27)-MONTH(Assumptions!$F$11))),E$11&lt;=((12*(YEAR('Renovation Budget'!$F$27)-YEAR(Assumptions!$F$11))+(MONTH('Renovation Budget'!$F$27)-MONTH(Assumptions!$F$11)))+'Renovation Budget'!$G$27-1)),-'Renovation Budget'!$C$27/'Renovation Budget'!$G$27,0)</f>
        <v/>
      </c>
      <c r="F96" s="228">
        <f>IF(AND(F$11&gt;=(12*(YEAR('Renovation Budget'!$F$27)-YEAR(Assumptions!$F$11))+(MONTH('Renovation Budget'!$F$27)-MONTH(Assumptions!$F$11))),F$11&lt;=((12*(YEAR('Renovation Budget'!$F$27)-YEAR(Assumptions!$F$11))+(MONTH('Renovation Budget'!$F$27)-MONTH(Assumptions!$F$11)))+'Renovation Budget'!$G$27-1)),-'Renovation Budget'!$C$27/'Renovation Budget'!$G$27,0)</f>
        <v/>
      </c>
      <c r="G96" s="228">
        <f>IF(AND(G$11&gt;=(12*(YEAR('Renovation Budget'!$F$27)-YEAR(Assumptions!$F$11))+(MONTH('Renovation Budget'!$F$27)-MONTH(Assumptions!$F$11))),G$11&lt;=((12*(YEAR('Renovation Budget'!$F$27)-YEAR(Assumptions!$F$11))+(MONTH('Renovation Budget'!$F$27)-MONTH(Assumptions!$F$11)))+'Renovation Budget'!$G$27-1)),-'Renovation Budget'!$C$27/'Renovation Budget'!$G$27,0)</f>
        <v/>
      </c>
      <c r="H96" s="228">
        <f>IF(AND(H$11&gt;=(12*(YEAR('Renovation Budget'!$F$27)-YEAR(Assumptions!$F$11))+(MONTH('Renovation Budget'!$F$27)-MONTH(Assumptions!$F$11))),H$11&lt;=((12*(YEAR('Renovation Budget'!$F$27)-YEAR(Assumptions!$F$11))+(MONTH('Renovation Budget'!$F$27)-MONTH(Assumptions!$F$11)))+'Renovation Budget'!$G$27-1)),-'Renovation Budget'!$C$27/'Renovation Budget'!$G$27,0)</f>
        <v/>
      </c>
      <c r="I96" s="228">
        <f>IF(AND(I$11&gt;=(12*(YEAR('Renovation Budget'!$F$27)-YEAR(Assumptions!$F$11))+(MONTH('Renovation Budget'!$F$27)-MONTH(Assumptions!$F$11))),I$11&lt;=((12*(YEAR('Renovation Budget'!$F$27)-YEAR(Assumptions!$F$11))+(MONTH('Renovation Budget'!$F$27)-MONTH(Assumptions!$F$11)))+'Renovation Budget'!$G$27-1)),-'Renovation Budget'!$C$27/'Renovation Budget'!$G$27,0)</f>
        <v/>
      </c>
      <c r="J96" s="228">
        <f>IF(AND(J$11&gt;=(12*(YEAR('Renovation Budget'!$F$27)-YEAR(Assumptions!$F$11))+(MONTH('Renovation Budget'!$F$27)-MONTH(Assumptions!$F$11))),J$11&lt;=((12*(YEAR('Renovation Budget'!$F$27)-YEAR(Assumptions!$F$11))+(MONTH('Renovation Budget'!$F$27)-MONTH(Assumptions!$F$11)))+'Renovation Budget'!$G$27-1)),-'Renovation Budget'!$C$27/'Renovation Budget'!$G$27,0)</f>
        <v/>
      </c>
      <c r="K96" s="228">
        <f>IF(AND(K$11&gt;=(12*(YEAR('Renovation Budget'!$F$27)-YEAR(Assumptions!$F$11))+(MONTH('Renovation Budget'!$F$27)-MONTH(Assumptions!$F$11))),K$11&lt;=((12*(YEAR('Renovation Budget'!$F$27)-YEAR(Assumptions!$F$11))+(MONTH('Renovation Budget'!$F$27)-MONTH(Assumptions!$F$11)))+'Renovation Budget'!$G$27-1)),-'Renovation Budget'!$C$27/'Renovation Budget'!$G$27,0)</f>
        <v/>
      </c>
      <c r="L96" s="228">
        <f>IF(AND(L$11&gt;=(12*(YEAR('Renovation Budget'!$F$27)-YEAR(Assumptions!$F$11))+(MONTH('Renovation Budget'!$F$27)-MONTH(Assumptions!$F$11))),L$11&lt;=((12*(YEAR('Renovation Budget'!$F$27)-YEAR(Assumptions!$F$11))+(MONTH('Renovation Budget'!$F$27)-MONTH(Assumptions!$F$11)))+'Renovation Budget'!$G$27-1)),-'Renovation Budget'!$C$27/'Renovation Budget'!$G$27,0)</f>
        <v/>
      </c>
      <c r="M96" s="228">
        <f>IF(AND(M$11&gt;=(12*(YEAR('Renovation Budget'!$F$27)-YEAR(Assumptions!$F$11))+(MONTH('Renovation Budget'!$F$27)-MONTH(Assumptions!$F$11))),M$11&lt;=((12*(YEAR('Renovation Budget'!$F$27)-YEAR(Assumptions!$F$11))+(MONTH('Renovation Budget'!$F$27)-MONTH(Assumptions!$F$11)))+'Renovation Budget'!$G$27-1)),-'Renovation Budget'!$C$27/'Renovation Budget'!$G$27,0)</f>
        <v/>
      </c>
      <c r="N96" s="228">
        <f>IF(AND(N$11&gt;=(12*(YEAR('Renovation Budget'!$F$27)-YEAR(Assumptions!$F$11))+(MONTH('Renovation Budget'!$F$27)-MONTH(Assumptions!$F$11))),N$11&lt;=((12*(YEAR('Renovation Budget'!$F$27)-YEAR(Assumptions!$F$11))+(MONTH('Renovation Budget'!$F$27)-MONTH(Assumptions!$F$11)))+'Renovation Budget'!$G$27-1)),-'Renovation Budget'!$C$27/'Renovation Budget'!$G$27,0)</f>
        <v/>
      </c>
      <c r="O96" s="228">
        <f>IF(AND(O$11&gt;=(12*(YEAR('Renovation Budget'!$F$27)-YEAR(Assumptions!$F$11))+(MONTH('Renovation Budget'!$F$27)-MONTH(Assumptions!$F$11))),O$11&lt;=((12*(YEAR('Renovation Budget'!$F$27)-YEAR(Assumptions!$F$11))+(MONTH('Renovation Budget'!$F$27)-MONTH(Assumptions!$F$11)))+'Renovation Budget'!$G$27-1)),-'Renovation Budget'!$C$27/'Renovation Budget'!$G$27,0)</f>
        <v/>
      </c>
      <c r="P96" s="228">
        <f>IF(AND(P$11&gt;=(12*(YEAR('Renovation Budget'!$F$27)-YEAR(Assumptions!$F$11))+(MONTH('Renovation Budget'!$F$27)-MONTH(Assumptions!$F$11))),P$11&lt;=((12*(YEAR('Renovation Budget'!$F$27)-YEAR(Assumptions!$F$11))+(MONTH('Renovation Budget'!$F$27)-MONTH(Assumptions!$F$11)))+'Renovation Budget'!$G$27-1)),-'Renovation Budget'!$C$27/'Renovation Budget'!$G$27,0)</f>
        <v/>
      </c>
      <c r="Q96" s="228">
        <f>IF(AND(Q$11&gt;=(12*(YEAR('Renovation Budget'!$F$27)-YEAR(Assumptions!$F$11))+(MONTH('Renovation Budget'!$F$27)-MONTH(Assumptions!$F$11))),Q$11&lt;=((12*(YEAR('Renovation Budget'!$F$27)-YEAR(Assumptions!$F$11))+(MONTH('Renovation Budget'!$F$27)-MONTH(Assumptions!$F$11)))+'Renovation Budget'!$G$27-1)),-'Renovation Budget'!$C$27/'Renovation Budget'!$G$27,0)</f>
        <v/>
      </c>
      <c r="R96" s="228">
        <f>IF(AND(R$11&gt;=(12*(YEAR('Renovation Budget'!$F$27)-YEAR(Assumptions!$F$11))+(MONTH('Renovation Budget'!$F$27)-MONTH(Assumptions!$F$11))),R$11&lt;=((12*(YEAR('Renovation Budget'!$F$27)-YEAR(Assumptions!$F$11))+(MONTH('Renovation Budget'!$F$27)-MONTH(Assumptions!$F$11)))+'Renovation Budget'!$G$27-1)),-'Renovation Budget'!$C$27/'Renovation Budget'!$G$27,0)</f>
        <v/>
      </c>
      <c r="S96" s="228">
        <f>IF(AND(S$11&gt;=(12*(YEAR('Renovation Budget'!$F$27)-YEAR(Assumptions!$F$11))+(MONTH('Renovation Budget'!$F$27)-MONTH(Assumptions!$F$11))),S$11&lt;=((12*(YEAR('Renovation Budget'!$F$27)-YEAR(Assumptions!$F$11))+(MONTH('Renovation Budget'!$F$27)-MONTH(Assumptions!$F$11)))+'Renovation Budget'!$G$27-1)),-'Renovation Budget'!$C$27/'Renovation Budget'!$G$27,0)</f>
        <v/>
      </c>
      <c r="T96" s="228">
        <f>IF(AND(T$11&gt;=(12*(YEAR('Renovation Budget'!$F$27)-YEAR(Assumptions!$F$11))+(MONTH('Renovation Budget'!$F$27)-MONTH(Assumptions!$F$11))),T$11&lt;=((12*(YEAR('Renovation Budget'!$F$27)-YEAR(Assumptions!$F$11))+(MONTH('Renovation Budget'!$F$27)-MONTH(Assumptions!$F$11)))+'Renovation Budget'!$G$27-1)),-'Renovation Budget'!$C$27/'Renovation Budget'!$G$27,0)</f>
        <v/>
      </c>
      <c r="U96" s="228">
        <f>IF(AND(U$11&gt;=(12*(YEAR('Renovation Budget'!$F$27)-YEAR(Assumptions!$F$11))+(MONTH('Renovation Budget'!$F$27)-MONTH(Assumptions!$F$11))),U$11&lt;=((12*(YEAR('Renovation Budget'!$F$27)-YEAR(Assumptions!$F$11))+(MONTH('Renovation Budget'!$F$27)-MONTH(Assumptions!$F$11)))+'Renovation Budget'!$G$27-1)),-'Renovation Budget'!$C$27/'Renovation Budget'!$G$27,0)</f>
        <v/>
      </c>
      <c r="V96" s="228">
        <f>IF(AND(V$11&gt;=(12*(YEAR('Renovation Budget'!$F$27)-YEAR(Assumptions!$F$11))+(MONTH('Renovation Budget'!$F$27)-MONTH(Assumptions!$F$11))),V$11&lt;=((12*(YEAR('Renovation Budget'!$F$27)-YEAR(Assumptions!$F$11))+(MONTH('Renovation Budget'!$F$27)-MONTH(Assumptions!$F$11)))+'Renovation Budget'!$G$27-1)),-'Renovation Budget'!$C$27/'Renovation Budget'!$G$27,0)</f>
        <v/>
      </c>
      <c r="W96" s="228">
        <f>IF(AND(W$11&gt;=(12*(YEAR('Renovation Budget'!$F$27)-YEAR(Assumptions!$F$11))+(MONTH('Renovation Budget'!$F$27)-MONTH(Assumptions!$F$11))),W$11&lt;=((12*(YEAR('Renovation Budget'!$F$27)-YEAR(Assumptions!$F$11))+(MONTH('Renovation Budget'!$F$27)-MONTH(Assumptions!$F$11)))+'Renovation Budget'!$G$27-1)),-'Renovation Budget'!$C$27/'Renovation Budget'!$G$27,0)</f>
        <v/>
      </c>
      <c r="X96" s="228">
        <f>IF(AND(X$11&gt;=(12*(YEAR('Renovation Budget'!$F$27)-YEAR(Assumptions!$F$11))+(MONTH('Renovation Budget'!$F$27)-MONTH(Assumptions!$F$11))),X$11&lt;=((12*(YEAR('Renovation Budget'!$F$27)-YEAR(Assumptions!$F$11))+(MONTH('Renovation Budget'!$F$27)-MONTH(Assumptions!$F$11)))+'Renovation Budget'!$G$27-1)),-'Renovation Budget'!$C$27/'Renovation Budget'!$G$27,0)</f>
        <v/>
      </c>
      <c r="Y96" s="228">
        <f>IF(AND(Y$11&gt;=(12*(YEAR('Renovation Budget'!$F$27)-YEAR(Assumptions!$F$11))+(MONTH('Renovation Budget'!$F$27)-MONTH(Assumptions!$F$11))),Y$11&lt;=((12*(YEAR('Renovation Budget'!$F$27)-YEAR(Assumptions!$F$11))+(MONTH('Renovation Budget'!$F$27)-MONTH(Assumptions!$F$11)))+'Renovation Budget'!$G$27-1)),-'Renovation Budget'!$C$27/'Renovation Budget'!$G$27,0)</f>
        <v/>
      </c>
      <c r="Z96" s="228">
        <f>IF(AND(Z$11&gt;=(12*(YEAR('Renovation Budget'!$F$27)-YEAR(Assumptions!$F$11))+(MONTH('Renovation Budget'!$F$27)-MONTH(Assumptions!$F$11))),Z$11&lt;=((12*(YEAR('Renovation Budget'!$F$27)-YEAR(Assumptions!$F$11))+(MONTH('Renovation Budget'!$F$27)-MONTH(Assumptions!$F$11)))+'Renovation Budget'!$G$27-1)),-'Renovation Budget'!$C$27/'Renovation Budget'!$G$27,0)</f>
        <v/>
      </c>
      <c r="AA96" s="228">
        <f>IF(AND(AA$11&gt;=(12*(YEAR('Renovation Budget'!$F$27)-YEAR(Assumptions!$F$11))+(MONTH('Renovation Budget'!$F$27)-MONTH(Assumptions!$F$11))),AA$11&lt;=((12*(YEAR('Renovation Budget'!$F$27)-YEAR(Assumptions!$F$11))+(MONTH('Renovation Budget'!$F$27)-MONTH(Assumptions!$F$11)))+'Renovation Budget'!$G$27-1)),-'Renovation Budget'!$C$27/'Renovation Budget'!$G$27,0)</f>
        <v/>
      </c>
      <c r="AB96" s="228">
        <f>IF(AND(AB$11&gt;=(12*(YEAR('Renovation Budget'!$F$27)-YEAR(Assumptions!$F$11))+(MONTH('Renovation Budget'!$F$27)-MONTH(Assumptions!$F$11))),AB$11&lt;=((12*(YEAR('Renovation Budget'!$F$27)-YEAR(Assumptions!$F$11))+(MONTH('Renovation Budget'!$F$27)-MONTH(Assumptions!$F$11)))+'Renovation Budget'!$G$27-1)),-'Renovation Budget'!$C$27/'Renovation Budget'!$G$27,0)</f>
        <v/>
      </c>
      <c r="AC96" s="228">
        <f>IF(AND(AC$11&gt;=(12*(YEAR('Renovation Budget'!$F$27)-YEAR(Assumptions!$F$11))+(MONTH('Renovation Budget'!$F$27)-MONTH(Assumptions!$F$11))),AC$11&lt;=((12*(YEAR('Renovation Budget'!$F$27)-YEAR(Assumptions!$F$11))+(MONTH('Renovation Budget'!$F$27)-MONTH(Assumptions!$F$11)))+'Renovation Budget'!$G$27-1)),-'Renovation Budget'!$C$27/'Renovation Budget'!$G$27,0)</f>
        <v/>
      </c>
      <c r="AD96" s="228">
        <f>IF(AND(AD$11&gt;=(12*(YEAR('Renovation Budget'!$F$27)-YEAR(Assumptions!$F$11))+(MONTH('Renovation Budget'!$F$27)-MONTH(Assumptions!$F$11))),AD$11&lt;=((12*(YEAR('Renovation Budget'!$F$27)-YEAR(Assumptions!$F$11))+(MONTH('Renovation Budget'!$F$27)-MONTH(Assumptions!$F$11)))+'Renovation Budget'!$G$27-1)),-'Renovation Budget'!$C$27/'Renovation Budget'!$G$27,0)</f>
        <v/>
      </c>
      <c r="AE96" s="228">
        <f>IF(AND(AE$11&gt;=(12*(YEAR('Renovation Budget'!$F$27)-YEAR(Assumptions!$F$11))+(MONTH('Renovation Budget'!$F$27)-MONTH(Assumptions!$F$11))),AE$11&lt;=((12*(YEAR('Renovation Budget'!$F$27)-YEAR(Assumptions!$F$11))+(MONTH('Renovation Budget'!$F$27)-MONTH(Assumptions!$F$11)))+'Renovation Budget'!$G$27-1)),-'Renovation Budget'!$C$27/'Renovation Budget'!$G$27,0)</f>
        <v/>
      </c>
      <c r="AF96" s="228">
        <f>IF(AND(AF$11&gt;=(12*(YEAR('Renovation Budget'!$F$27)-YEAR(Assumptions!$F$11))+(MONTH('Renovation Budget'!$F$27)-MONTH(Assumptions!$F$11))),AF$11&lt;=((12*(YEAR('Renovation Budget'!$F$27)-YEAR(Assumptions!$F$11))+(MONTH('Renovation Budget'!$F$27)-MONTH(Assumptions!$F$11)))+'Renovation Budget'!$G$27-1)),-'Renovation Budget'!$C$27/'Renovation Budget'!$G$27,0)</f>
        <v/>
      </c>
      <c r="AG96" s="228">
        <f>IF(AND(AG$11&gt;=(12*(YEAR('Renovation Budget'!$F$27)-YEAR(Assumptions!$F$11))+(MONTH('Renovation Budget'!$F$27)-MONTH(Assumptions!$F$11))),AG$11&lt;=((12*(YEAR('Renovation Budget'!$F$27)-YEAR(Assumptions!$F$11))+(MONTH('Renovation Budget'!$F$27)-MONTH(Assumptions!$F$11)))+'Renovation Budget'!$G$27-1)),-'Renovation Budget'!$C$27/'Renovation Budget'!$G$27,0)</f>
        <v/>
      </c>
      <c r="AH96" s="228">
        <f>IF(AND(AH$11&gt;=(12*(YEAR('Renovation Budget'!$F$27)-YEAR(Assumptions!$F$11))+(MONTH('Renovation Budget'!$F$27)-MONTH(Assumptions!$F$11))),AH$11&lt;=((12*(YEAR('Renovation Budget'!$F$27)-YEAR(Assumptions!$F$11))+(MONTH('Renovation Budget'!$F$27)-MONTH(Assumptions!$F$11)))+'Renovation Budget'!$G$27-1)),-'Renovation Budget'!$C$27/'Renovation Budget'!$G$27,0)</f>
        <v/>
      </c>
      <c r="AI96" s="228">
        <f>IF(AND(AI$11&gt;=(12*(YEAR('Renovation Budget'!$F$27)-YEAR(Assumptions!$F$11))+(MONTH('Renovation Budget'!$F$27)-MONTH(Assumptions!$F$11))),AI$11&lt;=((12*(YEAR('Renovation Budget'!$F$27)-YEAR(Assumptions!$F$11))+(MONTH('Renovation Budget'!$F$27)-MONTH(Assumptions!$F$11)))+'Renovation Budget'!$G$27-1)),-'Renovation Budget'!$C$27/'Renovation Budget'!$G$27,0)</f>
        <v/>
      </c>
      <c r="AJ96" s="228">
        <f>IF(AND(AJ$11&gt;=(12*(YEAR('Renovation Budget'!$F$27)-YEAR(Assumptions!$F$11))+(MONTH('Renovation Budget'!$F$27)-MONTH(Assumptions!$F$11))),AJ$11&lt;=((12*(YEAR('Renovation Budget'!$F$27)-YEAR(Assumptions!$F$11))+(MONTH('Renovation Budget'!$F$27)-MONTH(Assumptions!$F$11)))+'Renovation Budget'!$G$27-1)),-'Renovation Budget'!$C$27/'Renovation Budget'!$G$27,0)</f>
        <v/>
      </c>
      <c r="AK96" s="228">
        <f>IF(AND(AK$11&gt;=(12*(YEAR('Renovation Budget'!$F$27)-YEAR(Assumptions!$F$11))+(MONTH('Renovation Budget'!$F$27)-MONTH(Assumptions!$F$11))),AK$11&lt;=((12*(YEAR('Renovation Budget'!$F$27)-YEAR(Assumptions!$F$11))+(MONTH('Renovation Budget'!$F$27)-MONTH(Assumptions!$F$11)))+'Renovation Budget'!$G$27-1)),-'Renovation Budget'!$C$27/'Renovation Budget'!$G$27,0)</f>
        <v/>
      </c>
      <c r="AL96" s="228">
        <f>IF(AND(AL$11&gt;=(12*(YEAR('Renovation Budget'!$F$27)-YEAR(Assumptions!$F$11))+(MONTH('Renovation Budget'!$F$27)-MONTH(Assumptions!$F$11))),AL$11&lt;=((12*(YEAR('Renovation Budget'!$F$27)-YEAR(Assumptions!$F$11))+(MONTH('Renovation Budget'!$F$27)-MONTH(Assumptions!$F$11)))+'Renovation Budget'!$G$27-1)),-'Renovation Budget'!$C$27/'Renovation Budget'!$G$27,0)</f>
        <v/>
      </c>
      <c r="AM96" s="228">
        <f>IF(AND(AM$11&gt;=(12*(YEAR('Renovation Budget'!$F$27)-YEAR(Assumptions!$F$11))+(MONTH('Renovation Budget'!$F$27)-MONTH(Assumptions!$F$11))),AM$11&lt;=((12*(YEAR('Renovation Budget'!$F$27)-YEAR(Assumptions!$F$11))+(MONTH('Renovation Budget'!$F$27)-MONTH(Assumptions!$F$11)))+'Renovation Budget'!$G$27-1)),-'Renovation Budget'!$C$27/'Renovation Budget'!$G$27,0)</f>
        <v/>
      </c>
      <c r="AN96" s="228">
        <f>IF(AND(AN$11&gt;=(12*(YEAR('Renovation Budget'!$F$27)-YEAR(Assumptions!$F$11))+(MONTH('Renovation Budget'!$F$27)-MONTH(Assumptions!$F$11))),AN$11&lt;=((12*(YEAR('Renovation Budget'!$F$27)-YEAR(Assumptions!$F$11))+(MONTH('Renovation Budget'!$F$27)-MONTH(Assumptions!$F$11)))+'Renovation Budget'!$G$27-1)),-'Renovation Budget'!$C$27/'Renovation Budget'!$G$27,0)</f>
        <v/>
      </c>
      <c r="AO96" s="228">
        <f>IF(AND(AO$11&gt;=(12*(YEAR('Renovation Budget'!$F$27)-YEAR(Assumptions!$F$11))+(MONTH('Renovation Budget'!$F$27)-MONTH(Assumptions!$F$11))),AO$11&lt;=((12*(YEAR('Renovation Budget'!$F$27)-YEAR(Assumptions!$F$11))+(MONTH('Renovation Budget'!$F$27)-MONTH(Assumptions!$F$11)))+'Renovation Budget'!$G$27-1)),-'Renovation Budget'!$C$27/'Renovation Budget'!$G$27,0)</f>
        <v/>
      </c>
      <c r="AP96" s="228">
        <f>IF(AND(AP$11&gt;=(12*(YEAR('Renovation Budget'!$F$27)-YEAR(Assumptions!$F$11))+(MONTH('Renovation Budget'!$F$27)-MONTH(Assumptions!$F$11))),AP$11&lt;=((12*(YEAR('Renovation Budget'!$F$27)-YEAR(Assumptions!$F$11))+(MONTH('Renovation Budget'!$F$27)-MONTH(Assumptions!$F$11)))+'Renovation Budget'!$G$27-1)),-'Renovation Budget'!$C$27/'Renovation Budget'!$G$27,0)</f>
        <v/>
      </c>
      <c r="AQ96" s="228">
        <f>IF(AND(AQ$11&gt;=(12*(YEAR('Renovation Budget'!$F$27)-YEAR(Assumptions!$F$11))+(MONTH('Renovation Budget'!$F$27)-MONTH(Assumptions!$F$11))),AQ$11&lt;=((12*(YEAR('Renovation Budget'!$F$27)-YEAR(Assumptions!$F$11))+(MONTH('Renovation Budget'!$F$27)-MONTH(Assumptions!$F$11)))+'Renovation Budget'!$G$27-1)),-'Renovation Budget'!$C$27/'Renovation Budget'!$G$27,0)</f>
        <v/>
      </c>
      <c r="AR96" s="228">
        <f>IF(AND(AR$11&gt;=(12*(YEAR('Renovation Budget'!$F$27)-YEAR(Assumptions!$F$11))+(MONTH('Renovation Budget'!$F$27)-MONTH(Assumptions!$F$11))),AR$11&lt;=((12*(YEAR('Renovation Budget'!$F$27)-YEAR(Assumptions!$F$11))+(MONTH('Renovation Budget'!$F$27)-MONTH(Assumptions!$F$11)))+'Renovation Budget'!$G$27-1)),-'Renovation Budget'!$C$27/'Renovation Budget'!$G$27,0)</f>
        <v/>
      </c>
      <c r="AS96" s="228">
        <f>IF(AND(AS$11&gt;=(12*(YEAR('Renovation Budget'!$F$27)-YEAR(Assumptions!$F$11))+(MONTH('Renovation Budget'!$F$27)-MONTH(Assumptions!$F$11))),AS$11&lt;=((12*(YEAR('Renovation Budget'!$F$27)-YEAR(Assumptions!$F$11))+(MONTH('Renovation Budget'!$F$27)-MONTH(Assumptions!$F$11)))+'Renovation Budget'!$G$27-1)),-'Renovation Budget'!$C$27/'Renovation Budget'!$G$27,0)</f>
        <v/>
      </c>
      <c r="AT96" s="228">
        <f>IF(AND(AT$11&gt;=(12*(YEAR('Renovation Budget'!$F$27)-YEAR(Assumptions!$F$11))+(MONTH('Renovation Budget'!$F$27)-MONTH(Assumptions!$F$11))),AT$11&lt;=((12*(YEAR('Renovation Budget'!$F$27)-YEAR(Assumptions!$F$11))+(MONTH('Renovation Budget'!$F$27)-MONTH(Assumptions!$F$11)))+'Renovation Budget'!$G$27-1)),-'Renovation Budget'!$C$27/'Renovation Budget'!$G$27,0)</f>
        <v/>
      </c>
      <c r="AU96" s="228">
        <f>IF(AND(AU$11&gt;=(12*(YEAR('Renovation Budget'!$F$27)-YEAR(Assumptions!$F$11))+(MONTH('Renovation Budget'!$F$27)-MONTH(Assumptions!$F$11))),AU$11&lt;=((12*(YEAR('Renovation Budget'!$F$27)-YEAR(Assumptions!$F$11))+(MONTH('Renovation Budget'!$F$27)-MONTH(Assumptions!$F$11)))+'Renovation Budget'!$G$27-1)),-'Renovation Budget'!$C$27/'Renovation Budget'!$G$27,0)</f>
        <v/>
      </c>
      <c r="AV96" s="228">
        <f>IF(AND(AV$11&gt;=(12*(YEAR('Renovation Budget'!$F$27)-YEAR(Assumptions!$F$11))+(MONTH('Renovation Budget'!$F$27)-MONTH(Assumptions!$F$11))),AV$11&lt;=((12*(YEAR('Renovation Budget'!$F$27)-YEAR(Assumptions!$F$11))+(MONTH('Renovation Budget'!$F$27)-MONTH(Assumptions!$F$11)))+'Renovation Budget'!$G$27-1)),-'Renovation Budget'!$C$27/'Renovation Budget'!$G$27,0)</f>
        <v/>
      </c>
      <c r="AW96" s="228">
        <f>IF(AND(AW$11&gt;=(12*(YEAR('Renovation Budget'!$F$27)-YEAR(Assumptions!$F$11))+(MONTH('Renovation Budget'!$F$27)-MONTH(Assumptions!$F$11))),AW$11&lt;=((12*(YEAR('Renovation Budget'!$F$27)-YEAR(Assumptions!$F$11))+(MONTH('Renovation Budget'!$F$27)-MONTH(Assumptions!$F$11)))+'Renovation Budget'!$G$27-1)),-'Renovation Budget'!$C$27/'Renovation Budget'!$G$27,0)</f>
        <v/>
      </c>
      <c r="AX96" s="228">
        <f>IF(AND(AX$11&gt;=(12*(YEAR('Renovation Budget'!$F$27)-YEAR(Assumptions!$F$11))+(MONTH('Renovation Budget'!$F$27)-MONTH(Assumptions!$F$11))),AX$11&lt;=((12*(YEAR('Renovation Budget'!$F$27)-YEAR(Assumptions!$F$11))+(MONTH('Renovation Budget'!$F$27)-MONTH(Assumptions!$F$11)))+'Renovation Budget'!$G$27-1)),-'Renovation Budget'!$C$27/'Renovation Budget'!$G$27,0)</f>
        <v/>
      </c>
      <c r="AY96" s="228">
        <f>IF(AND(AY$11&gt;=(12*(YEAR('Renovation Budget'!$F$27)-YEAR(Assumptions!$F$11))+(MONTH('Renovation Budget'!$F$27)-MONTH(Assumptions!$F$11))),AY$11&lt;=((12*(YEAR('Renovation Budget'!$F$27)-YEAR(Assumptions!$F$11))+(MONTH('Renovation Budget'!$F$27)-MONTH(Assumptions!$F$11)))+'Renovation Budget'!$G$27-1)),-'Renovation Budget'!$C$27/'Renovation Budget'!$G$27,0)</f>
        <v/>
      </c>
      <c r="AZ96" s="228">
        <f>IF(AND(AZ$11&gt;=(12*(YEAR('Renovation Budget'!$F$27)-YEAR(Assumptions!$F$11))+(MONTH('Renovation Budget'!$F$27)-MONTH(Assumptions!$F$11))),AZ$11&lt;=((12*(YEAR('Renovation Budget'!$F$27)-YEAR(Assumptions!$F$11))+(MONTH('Renovation Budget'!$F$27)-MONTH(Assumptions!$F$11)))+'Renovation Budget'!$G$27-1)),-'Renovation Budget'!$C$27/'Renovation Budget'!$G$27,0)</f>
        <v/>
      </c>
      <c r="BA96" s="228">
        <f>IF(AND(BA$11&gt;=(12*(YEAR('Renovation Budget'!$F$27)-YEAR(Assumptions!$F$11))+(MONTH('Renovation Budget'!$F$27)-MONTH(Assumptions!$F$11))),BA$11&lt;=((12*(YEAR('Renovation Budget'!$F$27)-YEAR(Assumptions!$F$11))+(MONTH('Renovation Budget'!$F$27)-MONTH(Assumptions!$F$11)))+'Renovation Budget'!$G$27-1)),-'Renovation Budget'!$C$27/'Renovation Budget'!$G$27,0)</f>
        <v/>
      </c>
      <c r="BB96" s="228">
        <f>IF(AND(BB$11&gt;=(12*(YEAR('Renovation Budget'!$F$27)-YEAR(Assumptions!$F$11))+(MONTH('Renovation Budget'!$F$27)-MONTH(Assumptions!$F$11))),BB$11&lt;=((12*(YEAR('Renovation Budget'!$F$27)-YEAR(Assumptions!$F$11))+(MONTH('Renovation Budget'!$F$27)-MONTH(Assumptions!$F$11)))+'Renovation Budget'!$G$27-1)),-'Renovation Budget'!$C$27/'Renovation Budget'!$G$27,0)</f>
        <v/>
      </c>
      <c r="BC96" s="228">
        <f>IF(AND(BC$11&gt;=(12*(YEAR('Renovation Budget'!$F$27)-YEAR(Assumptions!$F$11))+(MONTH('Renovation Budget'!$F$27)-MONTH(Assumptions!$F$11))),BC$11&lt;=((12*(YEAR('Renovation Budget'!$F$27)-YEAR(Assumptions!$F$11))+(MONTH('Renovation Budget'!$F$27)-MONTH(Assumptions!$F$11)))+'Renovation Budget'!$G$27-1)),-'Renovation Budget'!$C$27/'Renovation Budget'!$G$27,0)</f>
        <v/>
      </c>
      <c r="BD96" s="228">
        <f>IF(AND(BD$11&gt;=(12*(YEAR('Renovation Budget'!$F$27)-YEAR(Assumptions!$F$11))+(MONTH('Renovation Budget'!$F$27)-MONTH(Assumptions!$F$11))),BD$11&lt;=((12*(YEAR('Renovation Budget'!$F$27)-YEAR(Assumptions!$F$11))+(MONTH('Renovation Budget'!$F$27)-MONTH(Assumptions!$F$11)))+'Renovation Budget'!$G$27-1)),-'Renovation Budget'!$C$27/'Renovation Budget'!$G$27,0)</f>
        <v/>
      </c>
      <c r="BE96" s="228">
        <f>IF(AND(BE$11&gt;=(12*(YEAR('Renovation Budget'!$F$27)-YEAR(Assumptions!$F$11))+(MONTH('Renovation Budget'!$F$27)-MONTH(Assumptions!$F$11))),BE$11&lt;=((12*(YEAR('Renovation Budget'!$F$27)-YEAR(Assumptions!$F$11))+(MONTH('Renovation Budget'!$F$27)-MONTH(Assumptions!$F$11)))+'Renovation Budget'!$G$27-1)),-'Renovation Budget'!$C$27/'Renovation Budget'!$G$27,0)</f>
        <v/>
      </c>
      <c r="BF96" s="228">
        <f>IF(AND(BF$11&gt;=(12*(YEAR('Renovation Budget'!$F$27)-YEAR(Assumptions!$F$11))+(MONTH('Renovation Budget'!$F$27)-MONTH(Assumptions!$F$11))),BF$11&lt;=((12*(YEAR('Renovation Budget'!$F$27)-YEAR(Assumptions!$F$11))+(MONTH('Renovation Budget'!$F$27)-MONTH(Assumptions!$F$11)))+'Renovation Budget'!$G$27-1)),-'Renovation Budget'!$C$27/'Renovation Budget'!$G$27,0)</f>
        <v/>
      </c>
      <c r="BG96" s="228">
        <f>IF(AND(BG$11&gt;=(12*(YEAR('Renovation Budget'!$F$27)-YEAR(Assumptions!$F$11))+(MONTH('Renovation Budget'!$F$27)-MONTH(Assumptions!$F$11))),BG$11&lt;=((12*(YEAR('Renovation Budget'!$F$27)-YEAR(Assumptions!$F$11))+(MONTH('Renovation Budget'!$F$27)-MONTH(Assumptions!$F$11)))+'Renovation Budget'!$G$27-1)),-'Renovation Budget'!$C$27/'Renovation Budget'!$G$27,0)</f>
        <v/>
      </c>
      <c r="BH96" s="228">
        <f>IF(AND(BH$11&gt;=(12*(YEAR('Renovation Budget'!$F$27)-YEAR(Assumptions!$F$11))+(MONTH('Renovation Budget'!$F$27)-MONTH(Assumptions!$F$11))),BH$11&lt;=((12*(YEAR('Renovation Budget'!$F$27)-YEAR(Assumptions!$F$11))+(MONTH('Renovation Budget'!$F$27)-MONTH(Assumptions!$F$11)))+'Renovation Budget'!$G$27-1)),-'Renovation Budget'!$C$27/'Renovation Budget'!$G$27,0)</f>
        <v/>
      </c>
      <c r="BI96" s="228">
        <f>IF(AND(BI$11&gt;=(12*(YEAR('Renovation Budget'!$F$27)-YEAR(Assumptions!$F$11))+(MONTH('Renovation Budget'!$F$27)-MONTH(Assumptions!$F$11))),BI$11&lt;=((12*(YEAR('Renovation Budget'!$F$27)-YEAR(Assumptions!$F$11))+(MONTH('Renovation Budget'!$F$27)-MONTH(Assumptions!$F$11)))+'Renovation Budget'!$G$27-1)),-'Renovation Budget'!$C$27/'Renovation Budget'!$G$27,0)</f>
        <v/>
      </c>
      <c r="BJ96" s="228">
        <f>IF(AND(BJ$11&gt;=(12*(YEAR('Renovation Budget'!$F$27)-YEAR(Assumptions!$F$11))+(MONTH('Renovation Budget'!$F$27)-MONTH(Assumptions!$F$11))),BJ$11&lt;=((12*(YEAR('Renovation Budget'!$F$27)-YEAR(Assumptions!$F$11))+(MONTH('Renovation Budget'!$F$27)-MONTH(Assumptions!$F$11)))+'Renovation Budget'!$G$27-1)),-'Renovation Budget'!$C$27/'Renovation Budget'!$G$27,0)</f>
        <v/>
      </c>
      <c r="BK96" s="228">
        <f>IF(AND(BK$11&gt;=(12*(YEAR('Renovation Budget'!$F$27)-YEAR(Assumptions!$F$11))+(MONTH('Renovation Budget'!$F$27)-MONTH(Assumptions!$F$11))),BK$11&lt;=((12*(YEAR('Renovation Budget'!$F$27)-YEAR(Assumptions!$F$11))+(MONTH('Renovation Budget'!$F$27)-MONTH(Assumptions!$F$11)))+'Renovation Budget'!$G$27-1)),-'Renovation Budget'!$C$27/'Renovation Budget'!$G$27,0)</f>
        <v/>
      </c>
      <c r="BL96" s="228">
        <f>IF(AND(BL$11&gt;=(12*(YEAR('Renovation Budget'!$F$27)-YEAR(Assumptions!$F$11))+(MONTH('Renovation Budget'!$F$27)-MONTH(Assumptions!$F$11))),BL$11&lt;=((12*(YEAR('Renovation Budget'!$F$27)-YEAR(Assumptions!$F$11))+(MONTH('Renovation Budget'!$F$27)-MONTH(Assumptions!$F$11)))+'Renovation Budget'!$G$27-1)),-'Renovation Budget'!$C$27/'Renovation Budget'!$G$27,0)</f>
        <v/>
      </c>
      <c r="BM96" s="228">
        <f>IF(AND(BM$11&gt;=(12*(YEAR('Renovation Budget'!$F$27)-YEAR(Assumptions!$F$11))+(MONTH('Renovation Budget'!$F$27)-MONTH(Assumptions!$F$11))),BM$11&lt;=((12*(YEAR('Renovation Budget'!$F$27)-YEAR(Assumptions!$F$11))+(MONTH('Renovation Budget'!$F$27)-MONTH(Assumptions!$F$11)))+'Renovation Budget'!$G$27-1)),-'Renovation Budget'!$C$27/'Renovation Budget'!$G$27,0)</f>
        <v/>
      </c>
      <c r="BN96" s="228">
        <f>IF(AND(BN$11&gt;=(12*(YEAR('Renovation Budget'!$F$27)-YEAR(Assumptions!$F$11))+(MONTH('Renovation Budget'!$F$27)-MONTH(Assumptions!$F$11))),BN$11&lt;=((12*(YEAR('Renovation Budget'!$F$27)-YEAR(Assumptions!$F$11))+(MONTH('Renovation Budget'!$F$27)-MONTH(Assumptions!$F$11)))+'Renovation Budget'!$G$27-1)),-'Renovation Budget'!$C$27/'Renovation Budget'!$G$27,0)</f>
        <v/>
      </c>
      <c r="BO96" s="228">
        <f>IF(AND(BO$11&gt;=(12*(YEAR('Renovation Budget'!$F$27)-YEAR(Assumptions!$F$11))+(MONTH('Renovation Budget'!$F$27)-MONTH(Assumptions!$F$11))),BO$11&lt;=((12*(YEAR('Renovation Budget'!$F$27)-YEAR(Assumptions!$F$11))+(MONTH('Renovation Budget'!$F$27)-MONTH(Assumptions!$F$11)))+'Renovation Budget'!$G$27-1)),-'Renovation Budget'!$C$27/'Renovation Budget'!$G$27,0)</f>
        <v/>
      </c>
      <c r="BP96" s="228">
        <f>IF(AND(BP$11&gt;=(12*(YEAR('Renovation Budget'!$F$27)-YEAR(Assumptions!$F$11))+(MONTH('Renovation Budget'!$F$27)-MONTH(Assumptions!$F$11))),BP$11&lt;=((12*(YEAR('Renovation Budget'!$F$27)-YEAR(Assumptions!$F$11))+(MONTH('Renovation Budget'!$F$27)-MONTH(Assumptions!$F$11)))+'Renovation Budget'!$G$27-1)),-'Renovation Budget'!$C$27/'Renovation Budget'!$G$27,0)</f>
        <v/>
      </c>
      <c r="BQ96" s="228">
        <f>IF(AND(BQ$11&gt;=(12*(YEAR('Renovation Budget'!$F$27)-YEAR(Assumptions!$F$11))+(MONTH('Renovation Budget'!$F$27)-MONTH(Assumptions!$F$11))),BQ$11&lt;=((12*(YEAR('Renovation Budget'!$F$27)-YEAR(Assumptions!$F$11))+(MONTH('Renovation Budget'!$F$27)-MONTH(Assumptions!$F$11)))+'Renovation Budget'!$G$27-1)),-'Renovation Budget'!$C$27/'Renovation Budget'!$G$27,0)</f>
        <v/>
      </c>
      <c r="BR96" s="228">
        <f>IF(AND(BR$11&gt;=(12*(YEAR('Renovation Budget'!$F$27)-YEAR(Assumptions!$F$11))+(MONTH('Renovation Budget'!$F$27)-MONTH(Assumptions!$F$11))),BR$11&lt;=((12*(YEAR('Renovation Budget'!$F$27)-YEAR(Assumptions!$F$11))+(MONTH('Renovation Budget'!$F$27)-MONTH(Assumptions!$F$11)))+'Renovation Budget'!$G$27-1)),-'Renovation Budget'!$C$27/'Renovation Budget'!$G$27,0)</f>
        <v/>
      </c>
      <c r="BS96" s="228">
        <f>IF(AND(BS$11&gt;=(12*(YEAR('Renovation Budget'!$F$27)-YEAR(Assumptions!$F$11))+(MONTH('Renovation Budget'!$F$27)-MONTH(Assumptions!$F$11))),BS$11&lt;=((12*(YEAR('Renovation Budget'!$F$27)-YEAR(Assumptions!$F$11))+(MONTH('Renovation Budget'!$F$27)-MONTH(Assumptions!$F$11)))+'Renovation Budget'!$G$27-1)),-'Renovation Budget'!$C$27/'Renovation Budget'!$G$27,0)</f>
        <v/>
      </c>
      <c r="BT96" s="228">
        <f>IF(AND(BT$11&gt;=(12*(YEAR('Renovation Budget'!$F$27)-YEAR(Assumptions!$F$11))+(MONTH('Renovation Budget'!$F$27)-MONTH(Assumptions!$F$11))),BT$11&lt;=((12*(YEAR('Renovation Budget'!$F$27)-YEAR(Assumptions!$F$11))+(MONTH('Renovation Budget'!$F$27)-MONTH(Assumptions!$F$11)))+'Renovation Budget'!$G$27-1)),-'Renovation Budget'!$C$27/'Renovation Budget'!$G$27,0)</f>
        <v/>
      </c>
      <c r="BU96" s="228">
        <f>IF(AND(BU$11&gt;=(12*(YEAR('Renovation Budget'!$F$27)-YEAR(Assumptions!$F$11))+(MONTH('Renovation Budget'!$F$27)-MONTH(Assumptions!$F$11))),BU$11&lt;=((12*(YEAR('Renovation Budget'!$F$27)-YEAR(Assumptions!$F$11))+(MONTH('Renovation Budget'!$F$27)-MONTH(Assumptions!$F$11)))+'Renovation Budget'!$G$27-1)),-'Renovation Budget'!$C$27/'Renovation Budget'!$G$27,0)</f>
        <v/>
      </c>
      <c r="BV96" s="228">
        <f>IF(AND(BV$11&gt;=(12*(YEAR('Renovation Budget'!$F$27)-YEAR(Assumptions!$F$11))+(MONTH('Renovation Budget'!$F$27)-MONTH(Assumptions!$F$11))),BV$11&lt;=((12*(YEAR('Renovation Budget'!$F$27)-YEAR(Assumptions!$F$11))+(MONTH('Renovation Budget'!$F$27)-MONTH(Assumptions!$F$11)))+'Renovation Budget'!$G$27-1)),-'Renovation Budget'!$C$27/'Renovation Budget'!$G$27,0)</f>
        <v/>
      </c>
      <c r="BW96" s="228">
        <f>IF(AND(BW$11&gt;=(12*(YEAR('Renovation Budget'!$F$27)-YEAR(Assumptions!$F$11))+(MONTH('Renovation Budget'!$F$27)-MONTH(Assumptions!$F$11))),BW$11&lt;=((12*(YEAR('Renovation Budget'!$F$27)-YEAR(Assumptions!$F$11))+(MONTH('Renovation Budget'!$F$27)-MONTH(Assumptions!$F$11)))+'Renovation Budget'!$G$27-1)),-'Renovation Budget'!$C$27/'Renovation Budget'!$G$27,0)</f>
        <v/>
      </c>
      <c r="BX96" s="228">
        <f>IF(AND(BX$11&gt;=(12*(YEAR('Renovation Budget'!$F$27)-YEAR(Assumptions!$F$11))+(MONTH('Renovation Budget'!$F$27)-MONTH(Assumptions!$F$11))),BX$11&lt;=((12*(YEAR('Renovation Budget'!$F$27)-YEAR(Assumptions!$F$11))+(MONTH('Renovation Budget'!$F$27)-MONTH(Assumptions!$F$11)))+'Renovation Budget'!$G$27-1)),-'Renovation Budget'!$C$27/'Renovation Budget'!$G$27,0)</f>
        <v/>
      </c>
      <c r="BY96" s="228">
        <f>IF(AND(BY$11&gt;=(12*(YEAR('Renovation Budget'!$F$27)-YEAR(Assumptions!$F$11))+(MONTH('Renovation Budget'!$F$27)-MONTH(Assumptions!$F$11))),BY$11&lt;=((12*(YEAR('Renovation Budget'!$F$27)-YEAR(Assumptions!$F$11))+(MONTH('Renovation Budget'!$F$27)-MONTH(Assumptions!$F$11)))+'Renovation Budget'!$G$27-1)),-'Renovation Budget'!$C$27/'Renovation Budget'!$G$27,0)</f>
        <v/>
      </c>
      <c r="BZ96" s="228">
        <f>IF(AND(BZ$11&gt;=(12*(YEAR('Renovation Budget'!$F$27)-YEAR(Assumptions!$F$11))+(MONTH('Renovation Budget'!$F$27)-MONTH(Assumptions!$F$11))),BZ$11&lt;=((12*(YEAR('Renovation Budget'!$F$27)-YEAR(Assumptions!$F$11))+(MONTH('Renovation Budget'!$F$27)-MONTH(Assumptions!$F$11)))+'Renovation Budget'!$G$27-1)),-'Renovation Budget'!$C$27/'Renovation Budget'!$G$27,0)</f>
        <v/>
      </c>
      <c r="CA96" s="228">
        <f>IF(AND(CA$11&gt;=(12*(YEAR('Renovation Budget'!$F$27)-YEAR(Assumptions!$F$11))+(MONTH('Renovation Budget'!$F$27)-MONTH(Assumptions!$F$11))),CA$11&lt;=((12*(YEAR('Renovation Budget'!$F$27)-YEAR(Assumptions!$F$11))+(MONTH('Renovation Budget'!$F$27)-MONTH(Assumptions!$F$11)))+'Renovation Budget'!$G$27-1)),-'Renovation Budget'!$C$27/'Renovation Budget'!$G$27,0)</f>
        <v/>
      </c>
      <c r="CB96" s="228">
        <f>IF(AND(CB$11&gt;=(12*(YEAR('Renovation Budget'!$F$27)-YEAR(Assumptions!$F$11))+(MONTH('Renovation Budget'!$F$27)-MONTH(Assumptions!$F$11))),CB$11&lt;=((12*(YEAR('Renovation Budget'!$F$27)-YEAR(Assumptions!$F$11))+(MONTH('Renovation Budget'!$F$27)-MONTH(Assumptions!$F$11)))+'Renovation Budget'!$G$27-1)),-'Renovation Budget'!$C$27/'Renovation Budget'!$G$27,0)</f>
        <v/>
      </c>
      <c r="CC96" s="228">
        <f>IF(AND(CC$11&gt;=(12*(YEAR('Renovation Budget'!$F$27)-YEAR(Assumptions!$F$11))+(MONTH('Renovation Budget'!$F$27)-MONTH(Assumptions!$F$11))),CC$11&lt;=((12*(YEAR('Renovation Budget'!$F$27)-YEAR(Assumptions!$F$11))+(MONTH('Renovation Budget'!$F$27)-MONTH(Assumptions!$F$11)))+'Renovation Budget'!$G$27-1)),-'Renovation Budget'!$C$27/'Renovation Budget'!$G$27,0)</f>
        <v/>
      </c>
      <c r="CD96" s="228">
        <f>IF(AND(CD$11&gt;=(12*(YEAR('Renovation Budget'!$F$27)-YEAR(Assumptions!$F$11))+(MONTH('Renovation Budget'!$F$27)-MONTH(Assumptions!$F$11))),CD$11&lt;=((12*(YEAR('Renovation Budget'!$F$27)-YEAR(Assumptions!$F$11))+(MONTH('Renovation Budget'!$F$27)-MONTH(Assumptions!$F$11)))+'Renovation Budget'!$G$27-1)),-'Renovation Budget'!$C$27/'Renovation Budget'!$G$27,0)</f>
        <v/>
      </c>
      <c r="CE96" s="228">
        <f>IF(AND(CE$11&gt;=(12*(YEAR('Renovation Budget'!$F$27)-YEAR(Assumptions!$F$11))+(MONTH('Renovation Budget'!$F$27)-MONTH(Assumptions!$F$11))),CE$11&lt;=((12*(YEAR('Renovation Budget'!$F$27)-YEAR(Assumptions!$F$11))+(MONTH('Renovation Budget'!$F$27)-MONTH(Assumptions!$F$11)))+'Renovation Budget'!$G$27-1)),-'Renovation Budget'!$C$27/'Renovation Budget'!$G$27,0)</f>
        <v/>
      </c>
      <c r="CF96" s="228">
        <f>IF(AND(CF$11&gt;=(12*(YEAR('Renovation Budget'!$F$27)-YEAR(Assumptions!$F$11))+(MONTH('Renovation Budget'!$F$27)-MONTH(Assumptions!$F$11))),CF$11&lt;=((12*(YEAR('Renovation Budget'!$F$27)-YEAR(Assumptions!$F$11))+(MONTH('Renovation Budget'!$F$27)-MONTH(Assumptions!$F$11)))+'Renovation Budget'!$G$27-1)),-'Renovation Budget'!$C$27/'Renovation Budget'!$G$27,0)</f>
        <v/>
      </c>
      <c r="CG96" s="228">
        <f>IF(AND(CG$11&gt;=(12*(YEAR('Renovation Budget'!$F$27)-YEAR(Assumptions!$F$11))+(MONTH('Renovation Budget'!$F$27)-MONTH(Assumptions!$F$11))),CG$11&lt;=((12*(YEAR('Renovation Budget'!$F$27)-YEAR(Assumptions!$F$11))+(MONTH('Renovation Budget'!$F$27)-MONTH(Assumptions!$F$11)))+'Renovation Budget'!$G$27-1)),-'Renovation Budget'!$C$27/'Renovation Budget'!$G$27,0)</f>
        <v/>
      </c>
      <c r="CH96" s="228">
        <f>IF(AND(CH$11&gt;=(12*(YEAR('Renovation Budget'!$F$27)-YEAR(Assumptions!$F$11))+(MONTH('Renovation Budget'!$F$27)-MONTH(Assumptions!$F$11))),CH$11&lt;=((12*(YEAR('Renovation Budget'!$F$27)-YEAR(Assumptions!$F$11))+(MONTH('Renovation Budget'!$F$27)-MONTH(Assumptions!$F$11)))+'Renovation Budget'!$G$27-1)),-'Renovation Budget'!$C$27/'Renovation Budget'!$G$27,0)</f>
        <v/>
      </c>
      <c r="CI96" s="228">
        <f>IF(AND(CI$11&gt;=(12*(YEAR('Renovation Budget'!$F$27)-YEAR(Assumptions!$F$11))+(MONTH('Renovation Budget'!$F$27)-MONTH(Assumptions!$F$11))),CI$11&lt;=((12*(YEAR('Renovation Budget'!$F$27)-YEAR(Assumptions!$F$11))+(MONTH('Renovation Budget'!$F$27)-MONTH(Assumptions!$F$11)))+'Renovation Budget'!$G$27-1)),-'Renovation Budget'!$C$27/'Renovation Budget'!$G$27,0)</f>
        <v/>
      </c>
      <c r="CJ96" s="228">
        <f>IF(AND(CJ$11&gt;=(12*(YEAR('Renovation Budget'!$F$27)-YEAR(Assumptions!$F$11))+(MONTH('Renovation Budget'!$F$27)-MONTH(Assumptions!$F$11))),CJ$11&lt;=((12*(YEAR('Renovation Budget'!$F$27)-YEAR(Assumptions!$F$11))+(MONTH('Renovation Budget'!$F$27)-MONTH(Assumptions!$F$11)))+'Renovation Budget'!$G$27-1)),-'Renovation Budget'!$C$27/'Renovation Budget'!$G$27,0)</f>
        <v/>
      </c>
      <c r="CK96" s="228">
        <f>IF(AND(CK$11&gt;=(12*(YEAR('Renovation Budget'!$F$27)-YEAR(Assumptions!$F$11))+(MONTH('Renovation Budget'!$F$27)-MONTH(Assumptions!$F$11))),CK$11&lt;=((12*(YEAR('Renovation Budget'!$F$27)-YEAR(Assumptions!$F$11))+(MONTH('Renovation Budget'!$F$27)-MONTH(Assumptions!$F$11)))+'Renovation Budget'!$G$27-1)),-'Renovation Budget'!$C$27/'Renovation Budget'!$G$27,0)</f>
        <v/>
      </c>
      <c r="CL96" s="228">
        <f>IF(AND(CL$11&gt;=(12*(YEAR('Renovation Budget'!$F$27)-YEAR(Assumptions!$F$11))+(MONTH('Renovation Budget'!$F$27)-MONTH(Assumptions!$F$11))),CL$11&lt;=((12*(YEAR('Renovation Budget'!$F$27)-YEAR(Assumptions!$F$11))+(MONTH('Renovation Budget'!$F$27)-MONTH(Assumptions!$F$11)))+'Renovation Budget'!$G$27-1)),-'Renovation Budget'!$C$27/'Renovation Budget'!$G$27,0)</f>
        <v/>
      </c>
      <c r="CM96" s="228">
        <f>IF(AND(CM$11&gt;=(12*(YEAR('Renovation Budget'!$F$27)-YEAR(Assumptions!$F$11))+(MONTH('Renovation Budget'!$F$27)-MONTH(Assumptions!$F$11))),CM$11&lt;=((12*(YEAR('Renovation Budget'!$F$27)-YEAR(Assumptions!$F$11))+(MONTH('Renovation Budget'!$F$27)-MONTH(Assumptions!$F$11)))+'Renovation Budget'!$G$27-1)),-'Renovation Budget'!$C$27/'Renovation Budget'!$G$27,0)</f>
        <v/>
      </c>
      <c r="CN96" s="228">
        <f>IF(AND(CN$11&gt;=(12*(YEAR('Renovation Budget'!$F$27)-YEAR(Assumptions!$F$11))+(MONTH('Renovation Budget'!$F$27)-MONTH(Assumptions!$F$11))),CN$11&lt;=((12*(YEAR('Renovation Budget'!$F$27)-YEAR(Assumptions!$F$11))+(MONTH('Renovation Budget'!$F$27)-MONTH(Assumptions!$F$11)))+'Renovation Budget'!$G$27-1)),-'Renovation Budget'!$C$27/'Renovation Budget'!$G$27,0)</f>
        <v/>
      </c>
      <c r="CO96" s="228">
        <f>IF(AND(CO$11&gt;=(12*(YEAR('Renovation Budget'!$F$27)-YEAR(Assumptions!$F$11))+(MONTH('Renovation Budget'!$F$27)-MONTH(Assumptions!$F$11))),CO$11&lt;=((12*(YEAR('Renovation Budget'!$F$27)-YEAR(Assumptions!$F$11))+(MONTH('Renovation Budget'!$F$27)-MONTH(Assumptions!$F$11)))+'Renovation Budget'!$G$27-1)),-'Renovation Budget'!$C$27/'Renovation Budget'!$G$27,0)</f>
        <v/>
      </c>
      <c r="CP96" s="228">
        <f>IF(AND(CP$11&gt;=(12*(YEAR('Renovation Budget'!$F$27)-YEAR(Assumptions!$F$11))+(MONTH('Renovation Budget'!$F$27)-MONTH(Assumptions!$F$11))),CP$11&lt;=((12*(YEAR('Renovation Budget'!$F$27)-YEAR(Assumptions!$F$11))+(MONTH('Renovation Budget'!$F$27)-MONTH(Assumptions!$F$11)))+'Renovation Budget'!$G$27-1)),-'Renovation Budget'!$C$27/'Renovation Budget'!$G$27,0)</f>
        <v/>
      </c>
      <c r="CQ96" s="228">
        <f>IF(AND(CQ$11&gt;=(12*(YEAR('Renovation Budget'!$F$27)-YEAR(Assumptions!$F$11))+(MONTH('Renovation Budget'!$F$27)-MONTH(Assumptions!$F$11))),CQ$11&lt;=((12*(YEAR('Renovation Budget'!$F$27)-YEAR(Assumptions!$F$11))+(MONTH('Renovation Budget'!$F$27)-MONTH(Assumptions!$F$11)))+'Renovation Budget'!$G$27-1)),-'Renovation Budget'!$C$27/'Renovation Budget'!$G$27,0)</f>
        <v/>
      </c>
      <c r="CR96" s="228">
        <f>IF(AND(CR$11&gt;=(12*(YEAR('Renovation Budget'!$F$27)-YEAR(Assumptions!$F$11))+(MONTH('Renovation Budget'!$F$27)-MONTH(Assumptions!$F$11))),CR$11&lt;=((12*(YEAR('Renovation Budget'!$F$27)-YEAR(Assumptions!$F$11))+(MONTH('Renovation Budget'!$F$27)-MONTH(Assumptions!$F$11)))+'Renovation Budget'!$G$27-1)),-'Renovation Budget'!$C$27/'Renovation Budget'!$G$27,0)</f>
        <v/>
      </c>
      <c r="CS96" s="228">
        <f>IF(AND(CS$11&gt;=(12*(YEAR('Renovation Budget'!$F$27)-YEAR(Assumptions!$F$11))+(MONTH('Renovation Budget'!$F$27)-MONTH(Assumptions!$F$11))),CS$11&lt;=((12*(YEAR('Renovation Budget'!$F$27)-YEAR(Assumptions!$F$11))+(MONTH('Renovation Budget'!$F$27)-MONTH(Assumptions!$F$11)))+'Renovation Budget'!$G$27-1)),-'Renovation Budget'!$C$27/'Renovation Budget'!$G$27,0)</f>
        <v/>
      </c>
      <c r="CT96" s="228">
        <f>IF(AND(CT$11&gt;=(12*(YEAR('Renovation Budget'!$F$27)-YEAR(Assumptions!$F$11))+(MONTH('Renovation Budget'!$F$27)-MONTH(Assumptions!$F$11))),CT$11&lt;=((12*(YEAR('Renovation Budget'!$F$27)-YEAR(Assumptions!$F$11))+(MONTH('Renovation Budget'!$F$27)-MONTH(Assumptions!$F$11)))+'Renovation Budget'!$G$27-1)),-'Renovation Budget'!$C$27/'Renovation Budget'!$G$27,0)</f>
        <v/>
      </c>
      <c r="CU96" s="228">
        <f>IF(AND(CU$11&gt;=(12*(YEAR('Renovation Budget'!$F$27)-YEAR(Assumptions!$F$11))+(MONTH('Renovation Budget'!$F$27)-MONTH(Assumptions!$F$11))),CU$11&lt;=((12*(YEAR('Renovation Budget'!$F$27)-YEAR(Assumptions!$F$11))+(MONTH('Renovation Budget'!$F$27)-MONTH(Assumptions!$F$11)))+'Renovation Budget'!$G$27-1)),-'Renovation Budget'!$C$27/'Renovation Budget'!$G$27,0)</f>
        <v/>
      </c>
      <c r="CV96" s="228">
        <f>IF(AND(CV$11&gt;=(12*(YEAR('Renovation Budget'!$F$27)-YEAR(Assumptions!$F$11))+(MONTH('Renovation Budget'!$F$27)-MONTH(Assumptions!$F$11))),CV$11&lt;=((12*(YEAR('Renovation Budget'!$F$27)-YEAR(Assumptions!$F$11))+(MONTH('Renovation Budget'!$F$27)-MONTH(Assumptions!$F$11)))+'Renovation Budget'!$G$27-1)),-'Renovation Budget'!$C$27/'Renovation Budget'!$G$27,0)</f>
        <v/>
      </c>
      <c r="CW96" s="228">
        <f>IF(AND(CW$11&gt;=(12*(YEAR('Renovation Budget'!$F$27)-YEAR(Assumptions!$F$11))+(MONTH('Renovation Budget'!$F$27)-MONTH(Assumptions!$F$11))),CW$11&lt;=((12*(YEAR('Renovation Budget'!$F$27)-YEAR(Assumptions!$F$11))+(MONTH('Renovation Budget'!$F$27)-MONTH(Assumptions!$F$11)))+'Renovation Budget'!$G$27-1)),-'Renovation Budget'!$C$27/'Renovation Budget'!$G$27,0)</f>
        <v/>
      </c>
      <c r="CX96" s="228">
        <f>IF(AND(CX$11&gt;=(12*(YEAR('Renovation Budget'!$F$27)-YEAR(Assumptions!$F$11))+(MONTH('Renovation Budget'!$F$27)-MONTH(Assumptions!$F$11))),CX$11&lt;=((12*(YEAR('Renovation Budget'!$F$27)-YEAR(Assumptions!$F$11))+(MONTH('Renovation Budget'!$F$27)-MONTH(Assumptions!$F$11)))+'Renovation Budget'!$G$27-1)),-'Renovation Budget'!$C$27/'Renovation Budget'!$G$27,0)</f>
        <v/>
      </c>
      <c r="CY96" s="228">
        <f>IF(AND(CY$11&gt;=(12*(YEAR('Renovation Budget'!$F$27)-YEAR(Assumptions!$F$11))+(MONTH('Renovation Budget'!$F$27)-MONTH(Assumptions!$F$11))),CY$11&lt;=((12*(YEAR('Renovation Budget'!$F$27)-YEAR(Assumptions!$F$11))+(MONTH('Renovation Budget'!$F$27)-MONTH(Assumptions!$F$11)))+'Renovation Budget'!$G$27-1)),-'Renovation Budget'!$C$27/'Renovation Budget'!$G$27,0)</f>
        <v/>
      </c>
      <c r="CZ96" s="228">
        <f>IF(AND(CZ$11&gt;=(12*(YEAR('Renovation Budget'!$F$27)-YEAR(Assumptions!$F$11))+(MONTH('Renovation Budget'!$F$27)-MONTH(Assumptions!$F$11))),CZ$11&lt;=((12*(YEAR('Renovation Budget'!$F$27)-YEAR(Assumptions!$F$11))+(MONTH('Renovation Budget'!$F$27)-MONTH(Assumptions!$F$11)))+'Renovation Budget'!$G$27-1)),-'Renovation Budget'!$C$27/'Renovation Budget'!$G$27,0)</f>
        <v/>
      </c>
      <c r="DA96" s="228">
        <f>IF(AND(DA$11&gt;=(12*(YEAR('Renovation Budget'!$F$27)-YEAR(Assumptions!$F$11))+(MONTH('Renovation Budget'!$F$27)-MONTH(Assumptions!$F$11))),DA$11&lt;=((12*(YEAR('Renovation Budget'!$F$27)-YEAR(Assumptions!$F$11))+(MONTH('Renovation Budget'!$F$27)-MONTH(Assumptions!$F$11)))+'Renovation Budget'!$G$27-1)),-'Renovation Budget'!$C$27/'Renovation Budget'!$G$27,0)</f>
        <v/>
      </c>
      <c r="DB96" s="228">
        <f>IF(AND(DB$11&gt;=(12*(YEAR('Renovation Budget'!$F$27)-YEAR(Assumptions!$F$11))+(MONTH('Renovation Budget'!$F$27)-MONTH(Assumptions!$F$11))),DB$11&lt;=((12*(YEAR('Renovation Budget'!$F$27)-YEAR(Assumptions!$F$11))+(MONTH('Renovation Budget'!$F$27)-MONTH(Assumptions!$F$11)))+'Renovation Budget'!$G$27-1)),-'Renovation Budget'!$C$27/'Renovation Budget'!$G$27,0)</f>
        <v/>
      </c>
      <c r="DC96" s="228">
        <f>IF(AND(DC$11&gt;=(12*(YEAR('Renovation Budget'!$F$27)-YEAR(Assumptions!$F$11))+(MONTH('Renovation Budget'!$F$27)-MONTH(Assumptions!$F$11))),DC$11&lt;=((12*(YEAR('Renovation Budget'!$F$27)-YEAR(Assumptions!$F$11))+(MONTH('Renovation Budget'!$F$27)-MONTH(Assumptions!$F$11)))+'Renovation Budget'!$G$27-1)),-'Renovation Budget'!$C$27/'Renovation Budget'!$G$27,0)</f>
        <v/>
      </c>
      <c r="DD96" s="228">
        <f>IF(AND(DD$11&gt;=(12*(YEAR('Renovation Budget'!$F$27)-YEAR(Assumptions!$F$11))+(MONTH('Renovation Budget'!$F$27)-MONTH(Assumptions!$F$11))),DD$11&lt;=((12*(YEAR('Renovation Budget'!$F$27)-YEAR(Assumptions!$F$11))+(MONTH('Renovation Budget'!$F$27)-MONTH(Assumptions!$F$11)))+'Renovation Budget'!$G$27-1)),-'Renovation Budget'!$C$27/'Renovation Budget'!$G$27,0)</f>
        <v/>
      </c>
      <c r="DE96" s="228">
        <f>IF(AND(DE$11&gt;=(12*(YEAR('Renovation Budget'!$F$27)-YEAR(Assumptions!$F$11))+(MONTH('Renovation Budget'!$F$27)-MONTH(Assumptions!$F$11))),DE$11&lt;=((12*(YEAR('Renovation Budget'!$F$27)-YEAR(Assumptions!$F$11))+(MONTH('Renovation Budget'!$F$27)-MONTH(Assumptions!$F$11)))+'Renovation Budget'!$G$27-1)),-'Renovation Budget'!$C$27/'Renovation Budget'!$G$27,0)</f>
        <v/>
      </c>
      <c r="DF96" s="228">
        <f>IF(AND(DF$11&gt;=(12*(YEAR('Renovation Budget'!$F$27)-YEAR(Assumptions!$F$11))+(MONTH('Renovation Budget'!$F$27)-MONTH(Assumptions!$F$11))),DF$11&lt;=((12*(YEAR('Renovation Budget'!$F$27)-YEAR(Assumptions!$F$11))+(MONTH('Renovation Budget'!$F$27)-MONTH(Assumptions!$F$11)))+'Renovation Budget'!$G$27-1)),-'Renovation Budget'!$C$27/'Renovation Budget'!$G$27,0)</f>
        <v/>
      </c>
      <c r="DG96" s="228">
        <f>IF(AND(DG$11&gt;=(12*(YEAR('Renovation Budget'!$F$27)-YEAR(Assumptions!$F$11))+(MONTH('Renovation Budget'!$F$27)-MONTH(Assumptions!$F$11))),DG$11&lt;=((12*(YEAR('Renovation Budget'!$F$27)-YEAR(Assumptions!$F$11))+(MONTH('Renovation Budget'!$F$27)-MONTH(Assumptions!$F$11)))+'Renovation Budget'!$G$27-1)),-'Renovation Budget'!$C$27/'Renovation Budget'!$G$27,0)</f>
        <v/>
      </c>
      <c r="DH96" s="228">
        <f>IF(AND(DH$11&gt;=(12*(YEAR('Renovation Budget'!$F$27)-YEAR(Assumptions!$F$11))+(MONTH('Renovation Budget'!$F$27)-MONTH(Assumptions!$F$11))),DH$11&lt;=((12*(YEAR('Renovation Budget'!$F$27)-YEAR(Assumptions!$F$11))+(MONTH('Renovation Budget'!$F$27)-MONTH(Assumptions!$F$11)))+'Renovation Budget'!$G$27-1)),-'Renovation Budget'!$C$27/'Renovation Budget'!$G$27,0)</f>
        <v/>
      </c>
      <c r="DI96" s="228">
        <f>IF(AND(DI$11&gt;=(12*(YEAR('Renovation Budget'!$F$27)-YEAR(Assumptions!$F$11))+(MONTH('Renovation Budget'!$F$27)-MONTH(Assumptions!$F$11))),DI$11&lt;=((12*(YEAR('Renovation Budget'!$F$27)-YEAR(Assumptions!$F$11))+(MONTH('Renovation Budget'!$F$27)-MONTH(Assumptions!$F$11)))+'Renovation Budget'!$G$27-1)),-'Renovation Budget'!$C$27/'Renovation Budget'!$G$27,0)</f>
        <v/>
      </c>
      <c r="DJ96" s="228">
        <f>IF(AND(DJ$11&gt;=(12*(YEAR('Renovation Budget'!$F$27)-YEAR(Assumptions!$F$11))+(MONTH('Renovation Budget'!$F$27)-MONTH(Assumptions!$F$11))),DJ$11&lt;=((12*(YEAR('Renovation Budget'!$F$27)-YEAR(Assumptions!$F$11))+(MONTH('Renovation Budget'!$F$27)-MONTH(Assumptions!$F$11)))+'Renovation Budget'!$G$27-1)),-'Renovation Budget'!$C$27/'Renovation Budget'!$G$27,0)</f>
        <v/>
      </c>
      <c r="DK96" s="228">
        <f>IF(AND(DK$11&gt;=(12*(YEAR('Renovation Budget'!$F$27)-YEAR(Assumptions!$F$11))+(MONTH('Renovation Budget'!$F$27)-MONTH(Assumptions!$F$11))),DK$11&lt;=((12*(YEAR('Renovation Budget'!$F$27)-YEAR(Assumptions!$F$11))+(MONTH('Renovation Budget'!$F$27)-MONTH(Assumptions!$F$11)))+'Renovation Budget'!$G$27-1)),-'Renovation Budget'!$C$27/'Renovation Budget'!$G$27,0)</f>
        <v/>
      </c>
      <c r="DL96" s="228">
        <f>IF(AND(DL$11&gt;=(12*(YEAR('Renovation Budget'!$F$27)-YEAR(Assumptions!$F$11))+(MONTH('Renovation Budget'!$F$27)-MONTH(Assumptions!$F$11))),DL$11&lt;=((12*(YEAR('Renovation Budget'!$F$27)-YEAR(Assumptions!$F$11))+(MONTH('Renovation Budget'!$F$27)-MONTH(Assumptions!$F$11)))+'Renovation Budget'!$G$27-1)),-'Renovation Budget'!$C$27/'Renovation Budget'!$G$27,0)</f>
        <v/>
      </c>
      <c r="DM96" s="228">
        <f>IF(AND(DM$11&gt;=(12*(YEAR('Renovation Budget'!$F$27)-YEAR(Assumptions!$F$11))+(MONTH('Renovation Budget'!$F$27)-MONTH(Assumptions!$F$11))),DM$11&lt;=((12*(YEAR('Renovation Budget'!$F$27)-YEAR(Assumptions!$F$11))+(MONTH('Renovation Budget'!$F$27)-MONTH(Assumptions!$F$11)))+'Renovation Budget'!$G$27-1)),-'Renovation Budget'!$C$27/'Renovation Budget'!$G$27,0)</f>
        <v/>
      </c>
      <c r="DN96" s="228">
        <f>IF(AND(DN$11&gt;=(12*(YEAR('Renovation Budget'!$F$27)-YEAR(Assumptions!$F$11))+(MONTH('Renovation Budget'!$F$27)-MONTH(Assumptions!$F$11))),DN$11&lt;=((12*(YEAR('Renovation Budget'!$F$27)-YEAR(Assumptions!$F$11))+(MONTH('Renovation Budget'!$F$27)-MONTH(Assumptions!$F$11)))+'Renovation Budget'!$G$27-1)),-'Renovation Budget'!$C$27/'Renovation Budget'!$G$27,0)</f>
        <v/>
      </c>
      <c r="DO96" s="228">
        <f>IF(AND(DO$11&gt;=(12*(YEAR('Renovation Budget'!$F$27)-YEAR(Assumptions!$F$11))+(MONTH('Renovation Budget'!$F$27)-MONTH(Assumptions!$F$11))),DO$11&lt;=((12*(YEAR('Renovation Budget'!$F$27)-YEAR(Assumptions!$F$11))+(MONTH('Renovation Budget'!$F$27)-MONTH(Assumptions!$F$11)))+'Renovation Budget'!$G$27-1)),-'Renovation Budget'!$C$27/'Renovation Budget'!$G$27,0)</f>
        <v/>
      </c>
      <c r="DP96" s="228">
        <f>IF(AND(DP$11&gt;=(12*(YEAR('Renovation Budget'!$F$27)-YEAR(Assumptions!$F$11))+(MONTH('Renovation Budget'!$F$27)-MONTH(Assumptions!$F$11))),DP$11&lt;=((12*(YEAR('Renovation Budget'!$F$27)-YEAR(Assumptions!$F$11))+(MONTH('Renovation Budget'!$F$27)-MONTH(Assumptions!$F$11)))+'Renovation Budget'!$G$27-1)),-'Renovation Budget'!$C$27/'Renovation Budget'!$G$27,0)</f>
        <v/>
      </c>
      <c r="DQ96" s="228">
        <f>IF(AND(DQ$11&gt;=(12*(YEAR('Renovation Budget'!$F$27)-YEAR(Assumptions!$F$11))+(MONTH('Renovation Budget'!$F$27)-MONTH(Assumptions!$F$11))),DQ$11&lt;=((12*(YEAR('Renovation Budget'!$F$27)-YEAR(Assumptions!$F$11))+(MONTH('Renovation Budget'!$F$27)-MONTH(Assumptions!$F$11)))+'Renovation Budget'!$G$27-1)),-'Renovation Budget'!$C$27/'Renovation Budget'!$G$27,0)</f>
        <v/>
      </c>
      <c r="DR96" s="228">
        <f>IF(AND(DR$11&gt;=(12*(YEAR('Renovation Budget'!$F$27)-YEAR(Assumptions!$F$11))+(MONTH('Renovation Budget'!$F$27)-MONTH(Assumptions!$F$11))),DR$11&lt;=((12*(YEAR('Renovation Budget'!$F$27)-YEAR(Assumptions!$F$11))+(MONTH('Renovation Budget'!$F$27)-MONTH(Assumptions!$F$11)))+'Renovation Budget'!$G$27-1)),-'Renovation Budget'!$C$27/'Renovation Budget'!$G$27,0)</f>
        <v/>
      </c>
      <c r="DS96" s="228">
        <f>IF(AND(DS$11&gt;=(12*(YEAR('Renovation Budget'!$F$27)-YEAR(Assumptions!$F$11))+(MONTH('Renovation Budget'!$F$27)-MONTH(Assumptions!$F$11))),DS$11&lt;=((12*(YEAR('Renovation Budget'!$F$27)-YEAR(Assumptions!$F$11))+(MONTH('Renovation Budget'!$F$27)-MONTH(Assumptions!$F$11)))+'Renovation Budget'!$G$27-1)),-'Renovation Budget'!$C$27/'Renovation Budget'!$G$27,0)</f>
        <v/>
      </c>
      <c r="DT96" s="228">
        <f>IF(AND(DT$11&gt;=(12*(YEAR('Renovation Budget'!$F$27)-YEAR(Assumptions!$F$11))+(MONTH('Renovation Budget'!$F$27)-MONTH(Assumptions!$F$11))),DT$11&lt;=((12*(YEAR('Renovation Budget'!$F$27)-YEAR(Assumptions!$F$11))+(MONTH('Renovation Budget'!$F$27)-MONTH(Assumptions!$F$11)))+'Renovation Budget'!$G$27-1)),-'Renovation Budget'!$C$27/'Renovation Budget'!$G$27,0)</f>
        <v/>
      </c>
    </row>
    <row r="97" ht="15" customHeight="1" s="148">
      <c r="A97" s="112" t="inlineStr">
        <is>
          <t>Bury Power Lines (Austin Energy)</t>
        </is>
      </c>
      <c r="C97" s="228">
        <f>SUM(D97:DT97)</f>
        <v/>
      </c>
      <c r="D97" s="228">
        <f>IF(AND(D$11&gt;=(12*(YEAR('Renovation Budget'!$F$28)-YEAR(Assumptions!$F$11))+(MONTH('Renovation Budget'!$F$28)-MONTH(Assumptions!$F$11))),D$11&lt;=((12*(YEAR('Renovation Budget'!$F$28)-YEAR(Assumptions!$F$11))+(MONTH('Renovation Budget'!$F$28)-MONTH(Assumptions!$F$11)))+'Renovation Budget'!$G$28-1)),-'Renovation Budget'!$C$28/'Renovation Budget'!$G$28,0)</f>
        <v/>
      </c>
      <c r="E97" s="228">
        <f>IF(AND(E$11&gt;=(12*(YEAR('Renovation Budget'!$F$28)-YEAR(Assumptions!$F$11))+(MONTH('Renovation Budget'!$F$28)-MONTH(Assumptions!$F$11))),E$11&lt;=((12*(YEAR('Renovation Budget'!$F$28)-YEAR(Assumptions!$F$11))+(MONTH('Renovation Budget'!$F$28)-MONTH(Assumptions!$F$11)))+'Renovation Budget'!$G$28-1)),-'Renovation Budget'!$C$28/'Renovation Budget'!$G$28,0)</f>
        <v/>
      </c>
      <c r="F97" s="228">
        <f>IF(AND(F$11&gt;=(12*(YEAR('Renovation Budget'!$F$28)-YEAR(Assumptions!$F$11))+(MONTH('Renovation Budget'!$F$28)-MONTH(Assumptions!$F$11))),F$11&lt;=((12*(YEAR('Renovation Budget'!$F$28)-YEAR(Assumptions!$F$11))+(MONTH('Renovation Budget'!$F$28)-MONTH(Assumptions!$F$11)))+'Renovation Budget'!$G$28-1)),-'Renovation Budget'!$C$28/'Renovation Budget'!$G$28,0)</f>
        <v/>
      </c>
      <c r="G97" s="228">
        <f>IF(AND(G$11&gt;=(12*(YEAR('Renovation Budget'!$F$28)-YEAR(Assumptions!$F$11))+(MONTH('Renovation Budget'!$F$28)-MONTH(Assumptions!$F$11))),G$11&lt;=((12*(YEAR('Renovation Budget'!$F$28)-YEAR(Assumptions!$F$11))+(MONTH('Renovation Budget'!$F$28)-MONTH(Assumptions!$F$11)))+'Renovation Budget'!$G$28-1)),-'Renovation Budget'!$C$28/'Renovation Budget'!$G$28,0)</f>
        <v/>
      </c>
      <c r="H97" s="228">
        <f>IF(AND(H$11&gt;=(12*(YEAR('Renovation Budget'!$F$28)-YEAR(Assumptions!$F$11))+(MONTH('Renovation Budget'!$F$28)-MONTH(Assumptions!$F$11))),H$11&lt;=((12*(YEAR('Renovation Budget'!$F$28)-YEAR(Assumptions!$F$11))+(MONTH('Renovation Budget'!$F$28)-MONTH(Assumptions!$F$11)))+'Renovation Budget'!$G$28-1)),-'Renovation Budget'!$C$28/'Renovation Budget'!$G$28,0)</f>
        <v/>
      </c>
      <c r="I97" s="228">
        <f>IF(AND(I$11&gt;=(12*(YEAR('Renovation Budget'!$F$28)-YEAR(Assumptions!$F$11))+(MONTH('Renovation Budget'!$F$28)-MONTH(Assumptions!$F$11))),I$11&lt;=((12*(YEAR('Renovation Budget'!$F$28)-YEAR(Assumptions!$F$11))+(MONTH('Renovation Budget'!$F$28)-MONTH(Assumptions!$F$11)))+'Renovation Budget'!$G$28-1)),-'Renovation Budget'!$C$28/'Renovation Budget'!$G$28,0)</f>
        <v/>
      </c>
      <c r="J97" s="228">
        <f>IF(AND(J$11&gt;=(12*(YEAR('Renovation Budget'!$F$28)-YEAR(Assumptions!$F$11))+(MONTH('Renovation Budget'!$F$28)-MONTH(Assumptions!$F$11))),J$11&lt;=((12*(YEAR('Renovation Budget'!$F$28)-YEAR(Assumptions!$F$11))+(MONTH('Renovation Budget'!$F$28)-MONTH(Assumptions!$F$11)))+'Renovation Budget'!$G$28-1)),-'Renovation Budget'!$C$28/'Renovation Budget'!$G$28,0)</f>
        <v/>
      </c>
      <c r="K97" s="228">
        <f>IF(AND(K$11&gt;=(12*(YEAR('Renovation Budget'!$F$28)-YEAR(Assumptions!$F$11))+(MONTH('Renovation Budget'!$F$28)-MONTH(Assumptions!$F$11))),K$11&lt;=((12*(YEAR('Renovation Budget'!$F$28)-YEAR(Assumptions!$F$11))+(MONTH('Renovation Budget'!$F$28)-MONTH(Assumptions!$F$11)))+'Renovation Budget'!$G$28-1)),-'Renovation Budget'!$C$28/'Renovation Budget'!$G$28,0)</f>
        <v/>
      </c>
      <c r="L97" s="228">
        <f>IF(AND(L$11&gt;=(12*(YEAR('Renovation Budget'!$F$28)-YEAR(Assumptions!$F$11))+(MONTH('Renovation Budget'!$F$28)-MONTH(Assumptions!$F$11))),L$11&lt;=((12*(YEAR('Renovation Budget'!$F$28)-YEAR(Assumptions!$F$11))+(MONTH('Renovation Budget'!$F$28)-MONTH(Assumptions!$F$11)))+'Renovation Budget'!$G$28-1)),-'Renovation Budget'!$C$28/'Renovation Budget'!$G$28,0)</f>
        <v/>
      </c>
      <c r="M97" s="228">
        <f>IF(AND(M$11&gt;=(12*(YEAR('Renovation Budget'!$F$28)-YEAR(Assumptions!$F$11))+(MONTH('Renovation Budget'!$F$28)-MONTH(Assumptions!$F$11))),M$11&lt;=((12*(YEAR('Renovation Budget'!$F$28)-YEAR(Assumptions!$F$11))+(MONTH('Renovation Budget'!$F$28)-MONTH(Assumptions!$F$11)))+'Renovation Budget'!$G$28-1)),-'Renovation Budget'!$C$28/'Renovation Budget'!$G$28,0)</f>
        <v/>
      </c>
      <c r="N97" s="228">
        <f>IF(AND(N$11&gt;=(12*(YEAR('Renovation Budget'!$F$28)-YEAR(Assumptions!$F$11))+(MONTH('Renovation Budget'!$F$28)-MONTH(Assumptions!$F$11))),N$11&lt;=((12*(YEAR('Renovation Budget'!$F$28)-YEAR(Assumptions!$F$11))+(MONTH('Renovation Budget'!$F$28)-MONTH(Assumptions!$F$11)))+'Renovation Budget'!$G$28-1)),-'Renovation Budget'!$C$28/'Renovation Budget'!$G$28,0)</f>
        <v/>
      </c>
      <c r="O97" s="228">
        <f>IF(AND(O$11&gt;=(12*(YEAR('Renovation Budget'!$F$28)-YEAR(Assumptions!$F$11))+(MONTH('Renovation Budget'!$F$28)-MONTH(Assumptions!$F$11))),O$11&lt;=((12*(YEAR('Renovation Budget'!$F$28)-YEAR(Assumptions!$F$11))+(MONTH('Renovation Budget'!$F$28)-MONTH(Assumptions!$F$11)))+'Renovation Budget'!$G$28-1)),-'Renovation Budget'!$C$28/'Renovation Budget'!$G$28,0)</f>
        <v/>
      </c>
      <c r="P97" s="228">
        <f>IF(AND(P$11&gt;=(12*(YEAR('Renovation Budget'!$F$28)-YEAR(Assumptions!$F$11))+(MONTH('Renovation Budget'!$F$28)-MONTH(Assumptions!$F$11))),P$11&lt;=((12*(YEAR('Renovation Budget'!$F$28)-YEAR(Assumptions!$F$11))+(MONTH('Renovation Budget'!$F$28)-MONTH(Assumptions!$F$11)))+'Renovation Budget'!$G$28-1)),-'Renovation Budget'!$C$28/'Renovation Budget'!$G$28,0)</f>
        <v/>
      </c>
      <c r="Q97" s="228">
        <f>IF(AND(Q$11&gt;=(12*(YEAR('Renovation Budget'!$F$28)-YEAR(Assumptions!$F$11))+(MONTH('Renovation Budget'!$F$28)-MONTH(Assumptions!$F$11))),Q$11&lt;=((12*(YEAR('Renovation Budget'!$F$28)-YEAR(Assumptions!$F$11))+(MONTH('Renovation Budget'!$F$28)-MONTH(Assumptions!$F$11)))+'Renovation Budget'!$G$28-1)),-'Renovation Budget'!$C$28/'Renovation Budget'!$G$28,0)</f>
        <v/>
      </c>
      <c r="R97" s="228">
        <f>IF(AND(R$11&gt;=(12*(YEAR('Renovation Budget'!$F$28)-YEAR(Assumptions!$F$11))+(MONTH('Renovation Budget'!$F$28)-MONTH(Assumptions!$F$11))),R$11&lt;=((12*(YEAR('Renovation Budget'!$F$28)-YEAR(Assumptions!$F$11))+(MONTH('Renovation Budget'!$F$28)-MONTH(Assumptions!$F$11)))+'Renovation Budget'!$G$28-1)),-'Renovation Budget'!$C$28/'Renovation Budget'!$G$28,0)</f>
        <v/>
      </c>
      <c r="S97" s="228">
        <f>IF(AND(S$11&gt;=(12*(YEAR('Renovation Budget'!$F$28)-YEAR(Assumptions!$F$11))+(MONTH('Renovation Budget'!$F$28)-MONTH(Assumptions!$F$11))),S$11&lt;=((12*(YEAR('Renovation Budget'!$F$28)-YEAR(Assumptions!$F$11))+(MONTH('Renovation Budget'!$F$28)-MONTH(Assumptions!$F$11)))+'Renovation Budget'!$G$28-1)),-'Renovation Budget'!$C$28/'Renovation Budget'!$G$28,0)</f>
        <v/>
      </c>
      <c r="T97" s="228">
        <f>IF(AND(T$11&gt;=(12*(YEAR('Renovation Budget'!$F$28)-YEAR(Assumptions!$F$11))+(MONTH('Renovation Budget'!$F$28)-MONTH(Assumptions!$F$11))),T$11&lt;=((12*(YEAR('Renovation Budget'!$F$28)-YEAR(Assumptions!$F$11))+(MONTH('Renovation Budget'!$F$28)-MONTH(Assumptions!$F$11)))+'Renovation Budget'!$G$28-1)),-'Renovation Budget'!$C$28/'Renovation Budget'!$G$28,0)</f>
        <v/>
      </c>
      <c r="U97" s="228">
        <f>IF(AND(U$11&gt;=(12*(YEAR('Renovation Budget'!$F$28)-YEAR(Assumptions!$F$11))+(MONTH('Renovation Budget'!$F$28)-MONTH(Assumptions!$F$11))),U$11&lt;=((12*(YEAR('Renovation Budget'!$F$28)-YEAR(Assumptions!$F$11))+(MONTH('Renovation Budget'!$F$28)-MONTH(Assumptions!$F$11)))+'Renovation Budget'!$G$28-1)),-'Renovation Budget'!$C$28/'Renovation Budget'!$G$28,0)</f>
        <v/>
      </c>
      <c r="V97" s="228">
        <f>IF(AND(V$11&gt;=(12*(YEAR('Renovation Budget'!$F$28)-YEAR(Assumptions!$F$11))+(MONTH('Renovation Budget'!$F$28)-MONTH(Assumptions!$F$11))),V$11&lt;=((12*(YEAR('Renovation Budget'!$F$28)-YEAR(Assumptions!$F$11))+(MONTH('Renovation Budget'!$F$28)-MONTH(Assumptions!$F$11)))+'Renovation Budget'!$G$28-1)),-'Renovation Budget'!$C$28/'Renovation Budget'!$G$28,0)</f>
        <v/>
      </c>
      <c r="W97" s="228">
        <f>IF(AND(W$11&gt;=(12*(YEAR('Renovation Budget'!$F$28)-YEAR(Assumptions!$F$11))+(MONTH('Renovation Budget'!$F$28)-MONTH(Assumptions!$F$11))),W$11&lt;=((12*(YEAR('Renovation Budget'!$F$28)-YEAR(Assumptions!$F$11))+(MONTH('Renovation Budget'!$F$28)-MONTH(Assumptions!$F$11)))+'Renovation Budget'!$G$28-1)),-'Renovation Budget'!$C$28/'Renovation Budget'!$G$28,0)</f>
        <v/>
      </c>
      <c r="X97" s="228">
        <f>IF(AND(X$11&gt;=(12*(YEAR('Renovation Budget'!$F$28)-YEAR(Assumptions!$F$11))+(MONTH('Renovation Budget'!$F$28)-MONTH(Assumptions!$F$11))),X$11&lt;=((12*(YEAR('Renovation Budget'!$F$28)-YEAR(Assumptions!$F$11))+(MONTH('Renovation Budget'!$F$28)-MONTH(Assumptions!$F$11)))+'Renovation Budget'!$G$28-1)),-'Renovation Budget'!$C$28/'Renovation Budget'!$G$28,0)</f>
        <v/>
      </c>
      <c r="Y97" s="228">
        <f>IF(AND(Y$11&gt;=(12*(YEAR('Renovation Budget'!$F$28)-YEAR(Assumptions!$F$11))+(MONTH('Renovation Budget'!$F$28)-MONTH(Assumptions!$F$11))),Y$11&lt;=((12*(YEAR('Renovation Budget'!$F$28)-YEAR(Assumptions!$F$11))+(MONTH('Renovation Budget'!$F$28)-MONTH(Assumptions!$F$11)))+'Renovation Budget'!$G$28-1)),-'Renovation Budget'!$C$28/'Renovation Budget'!$G$28,0)</f>
        <v/>
      </c>
      <c r="Z97" s="228">
        <f>IF(AND(Z$11&gt;=(12*(YEAR('Renovation Budget'!$F$28)-YEAR(Assumptions!$F$11))+(MONTH('Renovation Budget'!$F$28)-MONTH(Assumptions!$F$11))),Z$11&lt;=((12*(YEAR('Renovation Budget'!$F$28)-YEAR(Assumptions!$F$11))+(MONTH('Renovation Budget'!$F$28)-MONTH(Assumptions!$F$11)))+'Renovation Budget'!$G$28-1)),-'Renovation Budget'!$C$28/'Renovation Budget'!$G$28,0)</f>
        <v/>
      </c>
      <c r="AA97" s="228">
        <f>IF(AND(AA$11&gt;=(12*(YEAR('Renovation Budget'!$F$28)-YEAR(Assumptions!$F$11))+(MONTH('Renovation Budget'!$F$28)-MONTH(Assumptions!$F$11))),AA$11&lt;=((12*(YEAR('Renovation Budget'!$F$28)-YEAR(Assumptions!$F$11))+(MONTH('Renovation Budget'!$F$28)-MONTH(Assumptions!$F$11)))+'Renovation Budget'!$G$28-1)),-'Renovation Budget'!$C$28/'Renovation Budget'!$G$28,0)</f>
        <v/>
      </c>
      <c r="AB97" s="228">
        <f>IF(AND(AB$11&gt;=(12*(YEAR('Renovation Budget'!$F$28)-YEAR(Assumptions!$F$11))+(MONTH('Renovation Budget'!$F$28)-MONTH(Assumptions!$F$11))),AB$11&lt;=((12*(YEAR('Renovation Budget'!$F$28)-YEAR(Assumptions!$F$11))+(MONTH('Renovation Budget'!$F$28)-MONTH(Assumptions!$F$11)))+'Renovation Budget'!$G$28-1)),-'Renovation Budget'!$C$28/'Renovation Budget'!$G$28,0)</f>
        <v/>
      </c>
      <c r="AC97" s="228">
        <f>IF(AND(AC$11&gt;=(12*(YEAR('Renovation Budget'!$F$28)-YEAR(Assumptions!$F$11))+(MONTH('Renovation Budget'!$F$28)-MONTH(Assumptions!$F$11))),AC$11&lt;=((12*(YEAR('Renovation Budget'!$F$28)-YEAR(Assumptions!$F$11))+(MONTH('Renovation Budget'!$F$28)-MONTH(Assumptions!$F$11)))+'Renovation Budget'!$G$28-1)),-'Renovation Budget'!$C$28/'Renovation Budget'!$G$28,0)</f>
        <v/>
      </c>
      <c r="AD97" s="228">
        <f>IF(AND(AD$11&gt;=(12*(YEAR('Renovation Budget'!$F$28)-YEAR(Assumptions!$F$11))+(MONTH('Renovation Budget'!$F$28)-MONTH(Assumptions!$F$11))),AD$11&lt;=((12*(YEAR('Renovation Budget'!$F$28)-YEAR(Assumptions!$F$11))+(MONTH('Renovation Budget'!$F$28)-MONTH(Assumptions!$F$11)))+'Renovation Budget'!$G$28-1)),-'Renovation Budget'!$C$28/'Renovation Budget'!$G$28,0)</f>
        <v/>
      </c>
      <c r="AE97" s="228">
        <f>IF(AND(AE$11&gt;=(12*(YEAR('Renovation Budget'!$F$28)-YEAR(Assumptions!$F$11))+(MONTH('Renovation Budget'!$F$28)-MONTH(Assumptions!$F$11))),AE$11&lt;=((12*(YEAR('Renovation Budget'!$F$28)-YEAR(Assumptions!$F$11))+(MONTH('Renovation Budget'!$F$28)-MONTH(Assumptions!$F$11)))+'Renovation Budget'!$G$28-1)),-'Renovation Budget'!$C$28/'Renovation Budget'!$G$28,0)</f>
        <v/>
      </c>
      <c r="AF97" s="228">
        <f>IF(AND(AF$11&gt;=(12*(YEAR('Renovation Budget'!$F$28)-YEAR(Assumptions!$F$11))+(MONTH('Renovation Budget'!$F$28)-MONTH(Assumptions!$F$11))),AF$11&lt;=((12*(YEAR('Renovation Budget'!$F$28)-YEAR(Assumptions!$F$11))+(MONTH('Renovation Budget'!$F$28)-MONTH(Assumptions!$F$11)))+'Renovation Budget'!$G$28-1)),-'Renovation Budget'!$C$28/'Renovation Budget'!$G$28,0)</f>
        <v/>
      </c>
      <c r="AG97" s="228">
        <f>IF(AND(AG$11&gt;=(12*(YEAR('Renovation Budget'!$F$28)-YEAR(Assumptions!$F$11))+(MONTH('Renovation Budget'!$F$28)-MONTH(Assumptions!$F$11))),AG$11&lt;=((12*(YEAR('Renovation Budget'!$F$28)-YEAR(Assumptions!$F$11))+(MONTH('Renovation Budget'!$F$28)-MONTH(Assumptions!$F$11)))+'Renovation Budget'!$G$28-1)),-'Renovation Budget'!$C$28/'Renovation Budget'!$G$28,0)</f>
        <v/>
      </c>
      <c r="AH97" s="228">
        <f>IF(AND(AH$11&gt;=(12*(YEAR('Renovation Budget'!$F$28)-YEAR(Assumptions!$F$11))+(MONTH('Renovation Budget'!$F$28)-MONTH(Assumptions!$F$11))),AH$11&lt;=((12*(YEAR('Renovation Budget'!$F$28)-YEAR(Assumptions!$F$11))+(MONTH('Renovation Budget'!$F$28)-MONTH(Assumptions!$F$11)))+'Renovation Budget'!$G$28-1)),-'Renovation Budget'!$C$28/'Renovation Budget'!$G$28,0)</f>
        <v/>
      </c>
      <c r="AI97" s="228">
        <f>IF(AND(AI$11&gt;=(12*(YEAR('Renovation Budget'!$F$28)-YEAR(Assumptions!$F$11))+(MONTH('Renovation Budget'!$F$28)-MONTH(Assumptions!$F$11))),AI$11&lt;=((12*(YEAR('Renovation Budget'!$F$28)-YEAR(Assumptions!$F$11))+(MONTH('Renovation Budget'!$F$28)-MONTH(Assumptions!$F$11)))+'Renovation Budget'!$G$28-1)),-'Renovation Budget'!$C$28/'Renovation Budget'!$G$28,0)</f>
        <v/>
      </c>
      <c r="AJ97" s="228">
        <f>IF(AND(AJ$11&gt;=(12*(YEAR('Renovation Budget'!$F$28)-YEAR(Assumptions!$F$11))+(MONTH('Renovation Budget'!$F$28)-MONTH(Assumptions!$F$11))),AJ$11&lt;=((12*(YEAR('Renovation Budget'!$F$28)-YEAR(Assumptions!$F$11))+(MONTH('Renovation Budget'!$F$28)-MONTH(Assumptions!$F$11)))+'Renovation Budget'!$G$28-1)),-'Renovation Budget'!$C$28/'Renovation Budget'!$G$28,0)</f>
        <v/>
      </c>
      <c r="AK97" s="228">
        <f>IF(AND(AK$11&gt;=(12*(YEAR('Renovation Budget'!$F$28)-YEAR(Assumptions!$F$11))+(MONTH('Renovation Budget'!$F$28)-MONTH(Assumptions!$F$11))),AK$11&lt;=((12*(YEAR('Renovation Budget'!$F$28)-YEAR(Assumptions!$F$11))+(MONTH('Renovation Budget'!$F$28)-MONTH(Assumptions!$F$11)))+'Renovation Budget'!$G$28-1)),-'Renovation Budget'!$C$28/'Renovation Budget'!$G$28,0)</f>
        <v/>
      </c>
      <c r="AL97" s="228">
        <f>IF(AND(AL$11&gt;=(12*(YEAR('Renovation Budget'!$F$28)-YEAR(Assumptions!$F$11))+(MONTH('Renovation Budget'!$F$28)-MONTH(Assumptions!$F$11))),AL$11&lt;=((12*(YEAR('Renovation Budget'!$F$28)-YEAR(Assumptions!$F$11))+(MONTH('Renovation Budget'!$F$28)-MONTH(Assumptions!$F$11)))+'Renovation Budget'!$G$28-1)),-'Renovation Budget'!$C$28/'Renovation Budget'!$G$28,0)</f>
        <v/>
      </c>
      <c r="AM97" s="228">
        <f>IF(AND(AM$11&gt;=(12*(YEAR('Renovation Budget'!$F$28)-YEAR(Assumptions!$F$11))+(MONTH('Renovation Budget'!$F$28)-MONTH(Assumptions!$F$11))),AM$11&lt;=((12*(YEAR('Renovation Budget'!$F$28)-YEAR(Assumptions!$F$11))+(MONTH('Renovation Budget'!$F$28)-MONTH(Assumptions!$F$11)))+'Renovation Budget'!$G$28-1)),-'Renovation Budget'!$C$28/'Renovation Budget'!$G$28,0)</f>
        <v/>
      </c>
      <c r="AN97" s="228">
        <f>IF(AND(AN$11&gt;=(12*(YEAR('Renovation Budget'!$F$28)-YEAR(Assumptions!$F$11))+(MONTH('Renovation Budget'!$F$28)-MONTH(Assumptions!$F$11))),AN$11&lt;=((12*(YEAR('Renovation Budget'!$F$28)-YEAR(Assumptions!$F$11))+(MONTH('Renovation Budget'!$F$28)-MONTH(Assumptions!$F$11)))+'Renovation Budget'!$G$28-1)),-'Renovation Budget'!$C$28/'Renovation Budget'!$G$28,0)</f>
        <v/>
      </c>
      <c r="AO97" s="228">
        <f>IF(AND(AO$11&gt;=(12*(YEAR('Renovation Budget'!$F$28)-YEAR(Assumptions!$F$11))+(MONTH('Renovation Budget'!$F$28)-MONTH(Assumptions!$F$11))),AO$11&lt;=((12*(YEAR('Renovation Budget'!$F$28)-YEAR(Assumptions!$F$11))+(MONTH('Renovation Budget'!$F$28)-MONTH(Assumptions!$F$11)))+'Renovation Budget'!$G$28-1)),-'Renovation Budget'!$C$28/'Renovation Budget'!$G$28,0)</f>
        <v/>
      </c>
      <c r="AP97" s="228">
        <f>IF(AND(AP$11&gt;=(12*(YEAR('Renovation Budget'!$F$28)-YEAR(Assumptions!$F$11))+(MONTH('Renovation Budget'!$F$28)-MONTH(Assumptions!$F$11))),AP$11&lt;=((12*(YEAR('Renovation Budget'!$F$28)-YEAR(Assumptions!$F$11))+(MONTH('Renovation Budget'!$F$28)-MONTH(Assumptions!$F$11)))+'Renovation Budget'!$G$28-1)),-'Renovation Budget'!$C$28/'Renovation Budget'!$G$28,0)</f>
        <v/>
      </c>
      <c r="AQ97" s="228">
        <f>IF(AND(AQ$11&gt;=(12*(YEAR('Renovation Budget'!$F$28)-YEAR(Assumptions!$F$11))+(MONTH('Renovation Budget'!$F$28)-MONTH(Assumptions!$F$11))),AQ$11&lt;=((12*(YEAR('Renovation Budget'!$F$28)-YEAR(Assumptions!$F$11))+(MONTH('Renovation Budget'!$F$28)-MONTH(Assumptions!$F$11)))+'Renovation Budget'!$G$28-1)),-'Renovation Budget'!$C$28/'Renovation Budget'!$G$28,0)</f>
        <v/>
      </c>
      <c r="AR97" s="228">
        <f>IF(AND(AR$11&gt;=(12*(YEAR('Renovation Budget'!$F$28)-YEAR(Assumptions!$F$11))+(MONTH('Renovation Budget'!$F$28)-MONTH(Assumptions!$F$11))),AR$11&lt;=((12*(YEAR('Renovation Budget'!$F$28)-YEAR(Assumptions!$F$11))+(MONTH('Renovation Budget'!$F$28)-MONTH(Assumptions!$F$11)))+'Renovation Budget'!$G$28-1)),-'Renovation Budget'!$C$28/'Renovation Budget'!$G$28,0)</f>
        <v/>
      </c>
      <c r="AS97" s="228">
        <f>IF(AND(AS$11&gt;=(12*(YEAR('Renovation Budget'!$F$28)-YEAR(Assumptions!$F$11))+(MONTH('Renovation Budget'!$F$28)-MONTH(Assumptions!$F$11))),AS$11&lt;=((12*(YEAR('Renovation Budget'!$F$28)-YEAR(Assumptions!$F$11))+(MONTH('Renovation Budget'!$F$28)-MONTH(Assumptions!$F$11)))+'Renovation Budget'!$G$28-1)),-'Renovation Budget'!$C$28/'Renovation Budget'!$G$28,0)</f>
        <v/>
      </c>
      <c r="AT97" s="228">
        <f>IF(AND(AT$11&gt;=(12*(YEAR('Renovation Budget'!$F$28)-YEAR(Assumptions!$F$11))+(MONTH('Renovation Budget'!$F$28)-MONTH(Assumptions!$F$11))),AT$11&lt;=((12*(YEAR('Renovation Budget'!$F$28)-YEAR(Assumptions!$F$11))+(MONTH('Renovation Budget'!$F$28)-MONTH(Assumptions!$F$11)))+'Renovation Budget'!$G$28-1)),-'Renovation Budget'!$C$28/'Renovation Budget'!$G$28,0)</f>
        <v/>
      </c>
      <c r="AU97" s="228">
        <f>IF(AND(AU$11&gt;=(12*(YEAR('Renovation Budget'!$F$28)-YEAR(Assumptions!$F$11))+(MONTH('Renovation Budget'!$F$28)-MONTH(Assumptions!$F$11))),AU$11&lt;=((12*(YEAR('Renovation Budget'!$F$28)-YEAR(Assumptions!$F$11))+(MONTH('Renovation Budget'!$F$28)-MONTH(Assumptions!$F$11)))+'Renovation Budget'!$G$28-1)),-'Renovation Budget'!$C$28/'Renovation Budget'!$G$28,0)</f>
        <v/>
      </c>
      <c r="AV97" s="228">
        <f>IF(AND(AV$11&gt;=(12*(YEAR('Renovation Budget'!$F$28)-YEAR(Assumptions!$F$11))+(MONTH('Renovation Budget'!$F$28)-MONTH(Assumptions!$F$11))),AV$11&lt;=((12*(YEAR('Renovation Budget'!$F$28)-YEAR(Assumptions!$F$11))+(MONTH('Renovation Budget'!$F$28)-MONTH(Assumptions!$F$11)))+'Renovation Budget'!$G$28-1)),-'Renovation Budget'!$C$28/'Renovation Budget'!$G$28,0)</f>
        <v/>
      </c>
      <c r="AW97" s="228">
        <f>IF(AND(AW$11&gt;=(12*(YEAR('Renovation Budget'!$F$28)-YEAR(Assumptions!$F$11))+(MONTH('Renovation Budget'!$F$28)-MONTH(Assumptions!$F$11))),AW$11&lt;=((12*(YEAR('Renovation Budget'!$F$28)-YEAR(Assumptions!$F$11))+(MONTH('Renovation Budget'!$F$28)-MONTH(Assumptions!$F$11)))+'Renovation Budget'!$G$28-1)),-'Renovation Budget'!$C$28/'Renovation Budget'!$G$28,0)</f>
        <v/>
      </c>
      <c r="AX97" s="228">
        <f>IF(AND(AX$11&gt;=(12*(YEAR('Renovation Budget'!$F$28)-YEAR(Assumptions!$F$11))+(MONTH('Renovation Budget'!$F$28)-MONTH(Assumptions!$F$11))),AX$11&lt;=((12*(YEAR('Renovation Budget'!$F$28)-YEAR(Assumptions!$F$11))+(MONTH('Renovation Budget'!$F$28)-MONTH(Assumptions!$F$11)))+'Renovation Budget'!$G$28-1)),-'Renovation Budget'!$C$28/'Renovation Budget'!$G$28,0)</f>
        <v/>
      </c>
      <c r="AY97" s="228">
        <f>IF(AND(AY$11&gt;=(12*(YEAR('Renovation Budget'!$F$28)-YEAR(Assumptions!$F$11))+(MONTH('Renovation Budget'!$F$28)-MONTH(Assumptions!$F$11))),AY$11&lt;=((12*(YEAR('Renovation Budget'!$F$28)-YEAR(Assumptions!$F$11))+(MONTH('Renovation Budget'!$F$28)-MONTH(Assumptions!$F$11)))+'Renovation Budget'!$G$28-1)),-'Renovation Budget'!$C$28/'Renovation Budget'!$G$28,0)</f>
        <v/>
      </c>
      <c r="AZ97" s="228">
        <f>IF(AND(AZ$11&gt;=(12*(YEAR('Renovation Budget'!$F$28)-YEAR(Assumptions!$F$11))+(MONTH('Renovation Budget'!$F$28)-MONTH(Assumptions!$F$11))),AZ$11&lt;=((12*(YEAR('Renovation Budget'!$F$28)-YEAR(Assumptions!$F$11))+(MONTH('Renovation Budget'!$F$28)-MONTH(Assumptions!$F$11)))+'Renovation Budget'!$G$28-1)),-'Renovation Budget'!$C$28/'Renovation Budget'!$G$28,0)</f>
        <v/>
      </c>
      <c r="BA97" s="228">
        <f>IF(AND(BA$11&gt;=(12*(YEAR('Renovation Budget'!$F$28)-YEAR(Assumptions!$F$11))+(MONTH('Renovation Budget'!$F$28)-MONTH(Assumptions!$F$11))),BA$11&lt;=((12*(YEAR('Renovation Budget'!$F$28)-YEAR(Assumptions!$F$11))+(MONTH('Renovation Budget'!$F$28)-MONTH(Assumptions!$F$11)))+'Renovation Budget'!$G$28-1)),-'Renovation Budget'!$C$28/'Renovation Budget'!$G$28,0)</f>
        <v/>
      </c>
      <c r="BB97" s="228">
        <f>IF(AND(BB$11&gt;=(12*(YEAR('Renovation Budget'!$F$28)-YEAR(Assumptions!$F$11))+(MONTH('Renovation Budget'!$F$28)-MONTH(Assumptions!$F$11))),BB$11&lt;=((12*(YEAR('Renovation Budget'!$F$28)-YEAR(Assumptions!$F$11))+(MONTH('Renovation Budget'!$F$28)-MONTH(Assumptions!$F$11)))+'Renovation Budget'!$G$28-1)),-'Renovation Budget'!$C$28/'Renovation Budget'!$G$28,0)</f>
        <v/>
      </c>
      <c r="BC97" s="228">
        <f>IF(AND(BC$11&gt;=(12*(YEAR('Renovation Budget'!$F$28)-YEAR(Assumptions!$F$11))+(MONTH('Renovation Budget'!$F$28)-MONTH(Assumptions!$F$11))),BC$11&lt;=((12*(YEAR('Renovation Budget'!$F$28)-YEAR(Assumptions!$F$11))+(MONTH('Renovation Budget'!$F$28)-MONTH(Assumptions!$F$11)))+'Renovation Budget'!$G$28-1)),-'Renovation Budget'!$C$28/'Renovation Budget'!$G$28,0)</f>
        <v/>
      </c>
      <c r="BD97" s="228">
        <f>IF(AND(BD$11&gt;=(12*(YEAR('Renovation Budget'!$F$28)-YEAR(Assumptions!$F$11))+(MONTH('Renovation Budget'!$F$28)-MONTH(Assumptions!$F$11))),BD$11&lt;=((12*(YEAR('Renovation Budget'!$F$28)-YEAR(Assumptions!$F$11))+(MONTH('Renovation Budget'!$F$28)-MONTH(Assumptions!$F$11)))+'Renovation Budget'!$G$28-1)),-'Renovation Budget'!$C$28/'Renovation Budget'!$G$28,0)</f>
        <v/>
      </c>
      <c r="BE97" s="228">
        <f>IF(AND(BE$11&gt;=(12*(YEAR('Renovation Budget'!$F$28)-YEAR(Assumptions!$F$11))+(MONTH('Renovation Budget'!$F$28)-MONTH(Assumptions!$F$11))),BE$11&lt;=((12*(YEAR('Renovation Budget'!$F$28)-YEAR(Assumptions!$F$11))+(MONTH('Renovation Budget'!$F$28)-MONTH(Assumptions!$F$11)))+'Renovation Budget'!$G$28-1)),-'Renovation Budget'!$C$28/'Renovation Budget'!$G$28,0)</f>
        <v/>
      </c>
      <c r="BF97" s="228">
        <f>IF(AND(BF$11&gt;=(12*(YEAR('Renovation Budget'!$F$28)-YEAR(Assumptions!$F$11))+(MONTH('Renovation Budget'!$F$28)-MONTH(Assumptions!$F$11))),BF$11&lt;=((12*(YEAR('Renovation Budget'!$F$28)-YEAR(Assumptions!$F$11))+(MONTH('Renovation Budget'!$F$28)-MONTH(Assumptions!$F$11)))+'Renovation Budget'!$G$28-1)),-'Renovation Budget'!$C$28/'Renovation Budget'!$G$28,0)</f>
        <v/>
      </c>
      <c r="BG97" s="228">
        <f>IF(AND(BG$11&gt;=(12*(YEAR('Renovation Budget'!$F$28)-YEAR(Assumptions!$F$11))+(MONTH('Renovation Budget'!$F$28)-MONTH(Assumptions!$F$11))),BG$11&lt;=((12*(YEAR('Renovation Budget'!$F$28)-YEAR(Assumptions!$F$11))+(MONTH('Renovation Budget'!$F$28)-MONTH(Assumptions!$F$11)))+'Renovation Budget'!$G$28-1)),-'Renovation Budget'!$C$28/'Renovation Budget'!$G$28,0)</f>
        <v/>
      </c>
      <c r="BH97" s="228">
        <f>IF(AND(BH$11&gt;=(12*(YEAR('Renovation Budget'!$F$28)-YEAR(Assumptions!$F$11))+(MONTH('Renovation Budget'!$F$28)-MONTH(Assumptions!$F$11))),BH$11&lt;=((12*(YEAR('Renovation Budget'!$F$28)-YEAR(Assumptions!$F$11))+(MONTH('Renovation Budget'!$F$28)-MONTH(Assumptions!$F$11)))+'Renovation Budget'!$G$28-1)),-'Renovation Budget'!$C$28/'Renovation Budget'!$G$28,0)</f>
        <v/>
      </c>
      <c r="BI97" s="228">
        <f>IF(AND(BI$11&gt;=(12*(YEAR('Renovation Budget'!$F$28)-YEAR(Assumptions!$F$11))+(MONTH('Renovation Budget'!$F$28)-MONTH(Assumptions!$F$11))),BI$11&lt;=((12*(YEAR('Renovation Budget'!$F$28)-YEAR(Assumptions!$F$11))+(MONTH('Renovation Budget'!$F$28)-MONTH(Assumptions!$F$11)))+'Renovation Budget'!$G$28-1)),-'Renovation Budget'!$C$28/'Renovation Budget'!$G$28,0)</f>
        <v/>
      </c>
      <c r="BJ97" s="228">
        <f>IF(AND(BJ$11&gt;=(12*(YEAR('Renovation Budget'!$F$28)-YEAR(Assumptions!$F$11))+(MONTH('Renovation Budget'!$F$28)-MONTH(Assumptions!$F$11))),BJ$11&lt;=((12*(YEAR('Renovation Budget'!$F$28)-YEAR(Assumptions!$F$11))+(MONTH('Renovation Budget'!$F$28)-MONTH(Assumptions!$F$11)))+'Renovation Budget'!$G$28-1)),-'Renovation Budget'!$C$28/'Renovation Budget'!$G$28,0)</f>
        <v/>
      </c>
      <c r="BK97" s="228">
        <f>IF(AND(BK$11&gt;=(12*(YEAR('Renovation Budget'!$F$28)-YEAR(Assumptions!$F$11))+(MONTH('Renovation Budget'!$F$28)-MONTH(Assumptions!$F$11))),BK$11&lt;=((12*(YEAR('Renovation Budget'!$F$28)-YEAR(Assumptions!$F$11))+(MONTH('Renovation Budget'!$F$28)-MONTH(Assumptions!$F$11)))+'Renovation Budget'!$G$28-1)),-'Renovation Budget'!$C$28/'Renovation Budget'!$G$28,0)</f>
        <v/>
      </c>
      <c r="BL97" s="228">
        <f>IF(AND(BL$11&gt;=(12*(YEAR('Renovation Budget'!$F$28)-YEAR(Assumptions!$F$11))+(MONTH('Renovation Budget'!$F$28)-MONTH(Assumptions!$F$11))),BL$11&lt;=((12*(YEAR('Renovation Budget'!$F$28)-YEAR(Assumptions!$F$11))+(MONTH('Renovation Budget'!$F$28)-MONTH(Assumptions!$F$11)))+'Renovation Budget'!$G$28-1)),-'Renovation Budget'!$C$28/'Renovation Budget'!$G$28,0)</f>
        <v/>
      </c>
      <c r="BM97" s="228">
        <f>IF(AND(BM$11&gt;=(12*(YEAR('Renovation Budget'!$F$28)-YEAR(Assumptions!$F$11))+(MONTH('Renovation Budget'!$F$28)-MONTH(Assumptions!$F$11))),BM$11&lt;=((12*(YEAR('Renovation Budget'!$F$28)-YEAR(Assumptions!$F$11))+(MONTH('Renovation Budget'!$F$28)-MONTH(Assumptions!$F$11)))+'Renovation Budget'!$G$28-1)),-'Renovation Budget'!$C$28/'Renovation Budget'!$G$28,0)</f>
        <v/>
      </c>
      <c r="BN97" s="228">
        <f>IF(AND(BN$11&gt;=(12*(YEAR('Renovation Budget'!$F$28)-YEAR(Assumptions!$F$11))+(MONTH('Renovation Budget'!$F$28)-MONTH(Assumptions!$F$11))),BN$11&lt;=((12*(YEAR('Renovation Budget'!$F$28)-YEAR(Assumptions!$F$11))+(MONTH('Renovation Budget'!$F$28)-MONTH(Assumptions!$F$11)))+'Renovation Budget'!$G$28-1)),-'Renovation Budget'!$C$28/'Renovation Budget'!$G$28,0)</f>
        <v/>
      </c>
      <c r="BO97" s="228">
        <f>IF(AND(BO$11&gt;=(12*(YEAR('Renovation Budget'!$F$28)-YEAR(Assumptions!$F$11))+(MONTH('Renovation Budget'!$F$28)-MONTH(Assumptions!$F$11))),BO$11&lt;=((12*(YEAR('Renovation Budget'!$F$28)-YEAR(Assumptions!$F$11))+(MONTH('Renovation Budget'!$F$28)-MONTH(Assumptions!$F$11)))+'Renovation Budget'!$G$28-1)),-'Renovation Budget'!$C$28/'Renovation Budget'!$G$28,0)</f>
        <v/>
      </c>
      <c r="BP97" s="228">
        <f>IF(AND(BP$11&gt;=(12*(YEAR('Renovation Budget'!$F$28)-YEAR(Assumptions!$F$11))+(MONTH('Renovation Budget'!$F$28)-MONTH(Assumptions!$F$11))),BP$11&lt;=((12*(YEAR('Renovation Budget'!$F$28)-YEAR(Assumptions!$F$11))+(MONTH('Renovation Budget'!$F$28)-MONTH(Assumptions!$F$11)))+'Renovation Budget'!$G$28-1)),-'Renovation Budget'!$C$28/'Renovation Budget'!$G$28,0)</f>
        <v/>
      </c>
      <c r="BQ97" s="228">
        <f>IF(AND(BQ$11&gt;=(12*(YEAR('Renovation Budget'!$F$28)-YEAR(Assumptions!$F$11))+(MONTH('Renovation Budget'!$F$28)-MONTH(Assumptions!$F$11))),BQ$11&lt;=((12*(YEAR('Renovation Budget'!$F$28)-YEAR(Assumptions!$F$11))+(MONTH('Renovation Budget'!$F$28)-MONTH(Assumptions!$F$11)))+'Renovation Budget'!$G$28-1)),-'Renovation Budget'!$C$28/'Renovation Budget'!$G$28,0)</f>
        <v/>
      </c>
      <c r="BR97" s="228">
        <f>IF(AND(BR$11&gt;=(12*(YEAR('Renovation Budget'!$F$28)-YEAR(Assumptions!$F$11))+(MONTH('Renovation Budget'!$F$28)-MONTH(Assumptions!$F$11))),BR$11&lt;=((12*(YEAR('Renovation Budget'!$F$28)-YEAR(Assumptions!$F$11))+(MONTH('Renovation Budget'!$F$28)-MONTH(Assumptions!$F$11)))+'Renovation Budget'!$G$28-1)),-'Renovation Budget'!$C$28/'Renovation Budget'!$G$28,0)</f>
        <v/>
      </c>
      <c r="BS97" s="228">
        <f>IF(AND(BS$11&gt;=(12*(YEAR('Renovation Budget'!$F$28)-YEAR(Assumptions!$F$11))+(MONTH('Renovation Budget'!$F$28)-MONTH(Assumptions!$F$11))),BS$11&lt;=((12*(YEAR('Renovation Budget'!$F$28)-YEAR(Assumptions!$F$11))+(MONTH('Renovation Budget'!$F$28)-MONTH(Assumptions!$F$11)))+'Renovation Budget'!$G$28-1)),-'Renovation Budget'!$C$28/'Renovation Budget'!$G$28,0)</f>
        <v/>
      </c>
      <c r="BT97" s="228">
        <f>IF(AND(BT$11&gt;=(12*(YEAR('Renovation Budget'!$F$28)-YEAR(Assumptions!$F$11))+(MONTH('Renovation Budget'!$F$28)-MONTH(Assumptions!$F$11))),BT$11&lt;=((12*(YEAR('Renovation Budget'!$F$28)-YEAR(Assumptions!$F$11))+(MONTH('Renovation Budget'!$F$28)-MONTH(Assumptions!$F$11)))+'Renovation Budget'!$G$28-1)),-'Renovation Budget'!$C$28/'Renovation Budget'!$G$28,0)</f>
        <v/>
      </c>
      <c r="BU97" s="228">
        <f>IF(AND(BU$11&gt;=(12*(YEAR('Renovation Budget'!$F$28)-YEAR(Assumptions!$F$11))+(MONTH('Renovation Budget'!$F$28)-MONTH(Assumptions!$F$11))),BU$11&lt;=((12*(YEAR('Renovation Budget'!$F$28)-YEAR(Assumptions!$F$11))+(MONTH('Renovation Budget'!$F$28)-MONTH(Assumptions!$F$11)))+'Renovation Budget'!$G$28-1)),-'Renovation Budget'!$C$28/'Renovation Budget'!$G$28,0)</f>
        <v/>
      </c>
      <c r="BV97" s="228">
        <f>IF(AND(BV$11&gt;=(12*(YEAR('Renovation Budget'!$F$28)-YEAR(Assumptions!$F$11))+(MONTH('Renovation Budget'!$F$28)-MONTH(Assumptions!$F$11))),BV$11&lt;=((12*(YEAR('Renovation Budget'!$F$28)-YEAR(Assumptions!$F$11))+(MONTH('Renovation Budget'!$F$28)-MONTH(Assumptions!$F$11)))+'Renovation Budget'!$G$28-1)),-'Renovation Budget'!$C$28/'Renovation Budget'!$G$28,0)</f>
        <v/>
      </c>
      <c r="BW97" s="228">
        <f>IF(AND(BW$11&gt;=(12*(YEAR('Renovation Budget'!$F$28)-YEAR(Assumptions!$F$11))+(MONTH('Renovation Budget'!$F$28)-MONTH(Assumptions!$F$11))),BW$11&lt;=((12*(YEAR('Renovation Budget'!$F$28)-YEAR(Assumptions!$F$11))+(MONTH('Renovation Budget'!$F$28)-MONTH(Assumptions!$F$11)))+'Renovation Budget'!$G$28-1)),-'Renovation Budget'!$C$28/'Renovation Budget'!$G$28,0)</f>
        <v/>
      </c>
      <c r="BX97" s="228">
        <f>IF(AND(BX$11&gt;=(12*(YEAR('Renovation Budget'!$F$28)-YEAR(Assumptions!$F$11))+(MONTH('Renovation Budget'!$F$28)-MONTH(Assumptions!$F$11))),BX$11&lt;=((12*(YEAR('Renovation Budget'!$F$28)-YEAR(Assumptions!$F$11))+(MONTH('Renovation Budget'!$F$28)-MONTH(Assumptions!$F$11)))+'Renovation Budget'!$G$28-1)),-'Renovation Budget'!$C$28/'Renovation Budget'!$G$28,0)</f>
        <v/>
      </c>
      <c r="BY97" s="228">
        <f>IF(AND(BY$11&gt;=(12*(YEAR('Renovation Budget'!$F$28)-YEAR(Assumptions!$F$11))+(MONTH('Renovation Budget'!$F$28)-MONTH(Assumptions!$F$11))),BY$11&lt;=((12*(YEAR('Renovation Budget'!$F$28)-YEAR(Assumptions!$F$11))+(MONTH('Renovation Budget'!$F$28)-MONTH(Assumptions!$F$11)))+'Renovation Budget'!$G$28-1)),-'Renovation Budget'!$C$28/'Renovation Budget'!$G$28,0)</f>
        <v/>
      </c>
      <c r="BZ97" s="228">
        <f>IF(AND(BZ$11&gt;=(12*(YEAR('Renovation Budget'!$F$28)-YEAR(Assumptions!$F$11))+(MONTH('Renovation Budget'!$F$28)-MONTH(Assumptions!$F$11))),BZ$11&lt;=((12*(YEAR('Renovation Budget'!$F$28)-YEAR(Assumptions!$F$11))+(MONTH('Renovation Budget'!$F$28)-MONTH(Assumptions!$F$11)))+'Renovation Budget'!$G$28-1)),-'Renovation Budget'!$C$28/'Renovation Budget'!$G$28,0)</f>
        <v/>
      </c>
      <c r="CA97" s="228">
        <f>IF(AND(CA$11&gt;=(12*(YEAR('Renovation Budget'!$F$28)-YEAR(Assumptions!$F$11))+(MONTH('Renovation Budget'!$F$28)-MONTH(Assumptions!$F$11))),CA$11&lt;=((12*(YEAR('Renovation Budget'!$F$28)-YEAR(Assumptions!$F$11))+(MONTH('Renovation Budget'!$F$28)-MONTH(Assumptions!$F$11)))+'Renovation Budget'!$G$28-1)),-'Renovation Budget'!$C$28/'Renovation Budget'!$G$28,0)</f>
        <v/>
      </c>
      <c r="CB97" s="228">
        <f>IF(AND(CB$11&gt;=(12*(YEAR('Renovation Budget'!$F$28)-YEAR(Assumptions!$F$11))+(MONTH('Renovation Budget'!$F$28)-MONTH(Assumptions!$F$11))),CB$11&lt;=((12*(YEAR('Renovation Budget'!$F$28)-YEAR(Assumptions!$F$11))+(MONTH('Renovation Budget'!$F$28)-MONTH(Assumptions!$F$11)))+'Renovation Budget'!$G$28-1)),-'Renovation Budget'!$C$28/'Renovation Budget'!$G$28,0)</f>
        <v/>
      </c>
      <c r="CC97" s="228">
        <f>IF(AND(CC$11&gt;=(12*(YEAR('Renovation Budget'!$F$28)-YEAR(Assumptions!$F$11))+(MONTH('Renovation Budget'!$F$28)-MONTH(Assumptions!$F$11))),CC$11&lt;=((12*(YEAR('Renovation Budget'!$F$28)-YEAR(Assumptions!$F$11))+(MONTH('Renovation Budget'!$F$28)-MONTH(Assumptions!$F$11)))+'Renovation Budget'!$G$28-1)),-'Renovation Budget'!$C$28/'Renovation Budget'!$G$28,0)</f>
        <v/>
      </c>
      <c r="CD97" s="228">
        <f>IF(AND(CD$11&gt;=(12*(YEAR('Renovation Budget'!$F$28)-YEAR(Assumptions!$F$11))+(MONTH('Renovation Budget'!$F$28)-MONTH(Assumptions!$F$11))),CD$11&lt;=((12*(YEAR('Renovation Budget'!$F$28)-YEAR(Assumptions!$F$11))+(MONTH('Renovation Budget'!$F$28)-MONTH(Assumptions!$F$11)))+'Renovation Budget'!$G$28-1)),-'Renovation Budget'!$C$28/'Renovation Budget'!$G$28,0)</f>
        <v/>
      </c>
      <c r="CE97" s="228">
        <f>IF(AND(CE$11&gt;=(12*(YEAR('Renovation Budget'!$F$28)-YEAR(Assumptions!$F$11))+(MONTH('Renovation Budget'!$F$28)-MONTH(Assumptions!$F$11))),CE$11&lt;=((12*(YEAR('Renovation Budget'!$F$28)-YEAR(Assumptions!$F$11))+(MONTH('Renovation Budget'!$F$28)-MONTH(Assumptions!$F$11)))+'Renovation Budget'!$G$28-1)),-'Renovation Budget'!$C$28/'Renovation Budget'!$G$28,0)</f>
        <v/>
      </c>
      <c r="CF97" s="228">
        <f>IF(AND(CF$11&gt;=(12*(YEAR('Renovation Budget'!$F$28)-YEAR(Assumptions!$F$11))+(MONTH('Renovation Budget'!$F$28)-MONTH(Assumptions!$F$11))),CF$11&lt;=((12*(YEAR('Renovation Budget'!$F$28)-YEAR(Assumptions!$F$11))+(MONTH('Renovation Budget'!$F$28)-MONTH(Assumptions!$F$11)))+'Renovation Budget'!$G$28-1)),-'Renovation Budget'!$C$28/'Renovation Budget'!$G$28,0)</f>
        <v/>
      </c>
      <c r="CG97" s="228">
        <f>IF(AND(CG$11&gt;=(12*(YEAR('Renovation Budget'!$F$28)-YEAR(Assumptions!$F$11))+(MONTH('Renovation Budget'!$F$28)-MONTH(Assumptions!$F$11))),CG$11&lt;=((12*(YEAR('Renovation Budget'!$F$28)-YEAR(Assumptions!$F$11))+(MONTH('Renovation Budget'!$F$28)-MONTH(Assumptions!$F$11)))+'Renovation Budget'!$G$28-1)),-'Renovation Budget'!$C$28/'Renovation Budget'!$G$28,0)</f>
        <v/>
      </c>
      <c r="CH97" s="228">
        <f>IF(AND(CH$11&gt;=(12*(YEAR('Renovation Budget'!$F$28)-YEAR(Assumptions!$F$11))+(MONTH('Renovation Budget'!$F$28)-MONTH(Assumptions!$F$11))),CH$11&lt;=((12*(YEAR('Renovation Budget'!$F$28)-YEAR(Assumptions!$F$11))+(MONTH('Renovation Budget'!$F$28)-MONTH(Assumptions!$F$11)))+'Renovation Budget'!$G$28-1)),-'Renovation Budget'!$C$28/'Renovation Budget'!$G$28,0)</f>
        <v/>
      </c>
      <c r="CI97" s="228">
        <f>IF(AND(CI$11&gt;=(12*(YEAR('Renovation Budget'!$F$28)-YEAR(Assumptions!$F$11))+(MONTH('Renovation Budget'!$F$28)-MONTH(Assumptions!$F$11))),CI$11&lt;=((12*(YEAR('Renovation Budget'!$F$28)-YEAR(Assumptions!$F$11))+(MONTH('Renovation Budget'!$F$28)-MONTH(Assumptions!$F$11)))+'Renovation Budget'!$G$28-1)),-'Renovation Budget'!$C$28/'Renovation Budget'!$G$28,0)</f>
        <v/>
      </c>
      <c r="CJ97" s="228">
        <f>IF(AND(CJ$11&gt;=(12*(YEAR('Renovation Budget'!$F$28)-YEAR(Assumptions!$F$11))+(MONTH('Renovation Budget'!$F$28)-MONTH(Assumptions!$F$11))),CJ$11&lt;=((12*(YEAR('Renovation Budget'!$F$28)-YEAR(Assumptions!$F$11))+(MONTH('Renovation Budget'!$F$28)-MONTH(Assumptions!$F$11)))+'Renovation Budget'!$G$28-1)),-'Renovation Budget'!$C$28/'Renovation Budget'!$G$28,0)</f>
        <v/>
      </c>
      <c r="CK97" s="228">
        <f>IF(AND(CK$11&gt;=(12*(YEAR('Renovation Budget'!$F$28)-YEAR(Assumptions!$F$11))+(MONTH('Renovation Budget'!$F$28)-MONTH(Assumptions!$F$11))),CK$11&lt;=((12*(YEAR('Renovation Budget'!$F$28)-YEAR(Assumptions!$F$11))+(MONTH('Renovation Budget'!$F$28)-MONTH(Assumptions!$F$11)))+'Renovation Budget'!$G$28-1)),-'Renovation Budget'!$C$28/'Renovation Budget'!$G$28,0)</f>
        <v/>
      </c>
      <c r="CL97" s="228">
        <f>IF(AND(CL$11&gt;=(12*(YEAR('Renovation Budget'!$F$28)-YEAR(Assumptions!$F$11))+(MONTH('Renovation Budget'!$F$28)-MONTH(Assumptions!$F$11))),CL$11&lt;=((12*(YEAR('Renovation Budget'!$F$28)-YEAR(Assumptions!$F$11))+(MONTH('Renovation Budget'!$F$28)-MONTH(Assumptions!$F$11)))+'Renovation Budget'!$G$28-1)),-'Renovation Budget'!$C$28/'Renovation Budget'!$G$28,0)</f>
        <v/>
      </c>
      <c r="CM97" s="228">
        <f>IF(AND(CM$11&gt;=(12*(YEAR('Renovation Budget'!$F$28)-YEAR(Assumptions!$F$11))+(MONTH('Renovation Budget'!$F$28)-MONTH(Assumptions!$F$11))),CM$11&lt;=((12*(YEAR('Renovation Budget'!$F$28)-YEAR(Assumptions!$F$11))+(MONTH('Renovation Budget'!$F$28)-MONTH(Assumptions!$F$11)))+'Renovation Budget'!$G$28-1)),-'Renovation Budget'!$C$28/'Renovation Budget'!$G$28,0)</f>
        <v/>
      </c>
      <c r="CN97" s="228">
        <f>IF(AND(CN$11&gt;=(12*(YEAR('Renovation Budget'!$F$28)-YEAR(Assumptions!$F$11))+(MONTH('Renovation Budget'!$F$28)-MONTH(Assumptions!$F$11))),CN$11&lt;=((12*(YEAR('Renovation Budget'!$F$28)-YEAR(Assumptions!$F$11))+(MONTH('Renovation Budget'!$F$28)-MONTH(Assumptions!$F$11)))+'Renovation Budget'!$G$28-1)),-'Renovation Budget'!$C$28/'Renovation Budget'!$G$28,0)</f>
        <v/>
      </c>
      <c r="CO97" s="228">
        <f>IF(AND(CO$11&gt;=(12*(YEAR('Renovation Budget'!$F$28)-YEAR(Assumptions!$F$11))+(MONTH('Renovation Budget'!$F$28)-MONTH(Assumptions!$F$11))),CO$11&lt;=((12*(YEAR('Renovation Budget'!$F$28)-YEAR(Assumptions!$F$11))+(MONTH('Renovation Budget'!$F$28)-MONTH(Assumptions!$F$11)))+'Renovation Budget'!$G$28-1)),-'Renovation Budget'!$C$28/'Renovation Budget'!$G$28,0)</f>
        <v/>
      </c>
      <c r="CP97" s="228">
        <f>IF(AND(CP$11&gt;=(12*(YEAR('Renovation Budget'!$F$28)-YEAR(Assumptions!$F$11))+(MONTH('Renovation Budget'!$F$28)-MONTH(Assumptions!$F$11))),CP$11&lt;=((12*(YEAR('Renovation Budget'!$F$28)-YEAR(Assumptions!$F$11))+(MONTH('Renovation Budget'!$F$28)-MONTH(Assumptions!$F$11)))+'Renovation Budget'!$G$28-1)),-'Renovation Budget'!$C$28/'Renovation Budget'!$G$28,0)</f>
        <v/>
      </c>
      <c r="CQ97" s="228">
        <f>IF(AND(CQ$11&gt;=(12*(YEAR('Renovation Budget'!$F$28)-YEAR(Assumptions!$F$11))+(MONTH('Renovation Budget'!$F$28)-MONTH(Assumptions!$F$11))),CQ$11&lt;=((12*(YEAR('Renovation Budget'!$F$28)-YEAR(Assumptions!$F$11))+(MONTH('Renovation Budget'!$F$28)-MONTH(Assumptions!$F$11)))+'Renovation Budget'!$G$28-1)),-'Renovation Budget'!$C$28/'Renovation Budget'!$G$28,0)</f>
        <v/>
      </c>
      <c r="CR97" s="228">
        <f>IF(AND(CR$11&gt;=(12*(YEAR('Renovation Budget'!$F$28)-YEAR(Assumptions!$F$11))+(MONTH('Renovation Budget'!$F$28)-MONTH(Assumptions!$F$11))),CR$11&lt;=((12*(YEAR('Renovation Budget'!$F$28)-YEAR(Assumptions!$F$11))+(MONTH('Renovation Budget'!$F$28)-MONTH(Assumptions!$F$11)))+'Renovation Budget'!$G$28-1)),-'Renovation Budget'!$C$28/'Renovation Budget'!$G$28,0)</f>
        <v/>
      </c>
      <c r="CS97" s="228">
        <f>IF(AND(CS$11&gt;=(12*(YEAR('Renovation Budget'!$F$28)-YEAR(Assumptions!$F$11))+(MONTH('Renovation Budget'!$F$28)-MONTH(Assumptions!$F$11))),CS$11&lt;=((12*(YEAR('Renovation Budget'!$F$28)-YEAR(Assumptions!$F$11))+(MONTH('Renovation Budget'!$F$28)-MONTH(Assumptions!$F$11)))+'Renovation Budget'!$G$28-1)),-'Renovation Budget'!$C$28/'Renovation Budget'!$G$28,0)</f>
        <v/>
      </c>
      <c r="CT97" s="228">
        <f>IF(AND(CT$11&gt;=(12*(YEAR('Renovation Budget'!$F$28)-YEAR(Assumptions!$F$11))+(MONTH('Renovation Budget'!$F$28)-MONTH(Assumptions!$F$11))),CT$11&lt;=((12*(YEAR('Renovation Budget'!$F$28)-YEAR(Assumptions!$F$11))+(MONTH('Renovation Budget'!$F$28)-MONTH(Assumptions!$F$11)))+'Renovation Budget'!$G$28-1)),-'Renovation Budget'!$C$28/'Renovation Budget'!$G$28,0)</f>
        <v/>
      </c>
      <c r="CU97" s="228">
        <f>IF(AND(CU$11&gt;=(12*(YEAR('Renovation Budget'!$F$28)-YEAR(Assumptions!$F$11))+(MONTH('Renovation Budget'!$F$28)-MONTH(Assumptions!$F$11))),CU$11&lt;=((12*(YEAR('Renovation Budget'!$F$28)-YEAR(Assumptions!$F$11))+(MONTH('Renovation Budget'!$F$28)-MONTH(Assumptions!$F$11)))+'Renovation Budget'!$G$28-1)),-'Renovation Budget'!$C$28/'Renovation Budget'!$G$28,0)</f>
        <v/>
      </c>
      <c r="CV97" s="228">
        <f>IF(AND(CV$11&gt;=(12*(YEAR('Renovation Budget'!$F$28)-YEAR(Assumptions!$F$11))+(MONTH('Renovation Budget'!$F$28)-MONTH(Assumptions!$F$11))),CV$11&lt;=((12*(YEAR('Renovation Budget'!$F$28)-YEAR(Assumptions!$F$11))+(MONTH('Renovation Budget'!$F$28)-MONTH(Assumptions!$F$11)))+'Renovation Budget'!$G$28-1)),-'Renovation Budget'!$C$28/'Renovation Budget'!$G$28,0)</f>
        <v/>
      </c>
      <c r="CW97" s="228">
        <f>IF(AND(CW$11&gt;=(12*(YEAR('Renovation Budget'!$F$28)-YEAR(Assumptions!$F$11))+(MONTH('Renovation Budget'!$F$28)-MONTH(Assumptions!$F$11))),CW$11&lt;=((12*(YEAR('Renovation Budget'!$F$28)-YEAR(Assumptions!$F$11))+(MONTH('Renovation Budget'!$F$28)-MONTH(Assumptions!$F$11)))+'Renovation Budget'!$G$28-1)),-'Renovation Budget'!$C$28/'Renovation Budget'!$G$28,0)</f>
        <v/>
      </c>
      <c r="CX97" s="228">
        <f>IF(AND(CX$11&gt;=(12*(YEAR('Renovation Budget'!$F$28)-YEAR(Assumptions!$F$11))+(MONTH('Renovation Budget'!$F$28)-MONTH(Assumptions!$F$11))),CX$11&lt;=((12*(YEAR('Renovation Budget'!$F$28)-YEAR(Assumptions!$F$11))+(MONTH('Renovation Budget'!$F$28)-MONTH(Assumptions!$F$11)))+'Renovation Budget'!$G$28-1)),-'Renovation Budget'!$C$28/'Renovation Budget'!$G$28,0)</f>
        <v/>
      </c>
      <c r="CY97" s="228">
        <f>IF(AND(CY$11&gt;=(12*(YEAR('Renovation Budget'!$F$28)-YEAR(Assumptions!$F$11))+(MONTH('Renovation Budget'!$F$28)-MONTH(Assumptions!$F$11))),CY$11&lt;=((12*(YEAR('Renovation Budget'!$F$28)-YEAR(Assumptions!$F$11))+(MONTH('Renovation Budget'!$F$28)-MONTH(Assumptions!$F$11)))+'Renovation Budget'!$G$28-1)),-'Renovation Budget'!$C$28/'Renovation Budget'!$G$28,0)</f>
        <v/>
      </c>
      <c r="CZ97" s="228">
        <f>IF(AND(CZ$11&gt;=(12*(YEAR('Renovation Budget'!$F$28)-YEAR(Assumptions!$F$11))+(MONTH('Renovation Budget'!$F$28)-MONTH(Assumptions!$F$11))),CZ$11&lt;=((12*(YEAR('Renovation Budget'!$F$28)-YEAR(Assumptions!$F$11))+(MONTH('Renovation Budget'!$F$28)-MONTH(Assumptions!$F$11)))+'Renovation Budget'!$G$28-1)),-'Renovation Budget'!$C$28/'Renovation Budget'!$G$28,0)</f>
        <v/>
      </c>
      <c r="DA97" s="228">
        <f>IF(AND(DA$11&gt;=(12*(YEAR('Renovation Budget'!$F$28)-YEAR(Assumptions!$F$11))+(MONTH('Renovation Budget'!$F$28)-MONTH(Assumptions!$F$11))),DA$11&lt;=((12*(YEAR('Renovation Budget'!$F$28)-YEAR(Assumptions!$F$11))+(MONTH('Renovation Budget'!$F$28)-MONTH(Assumptions!$F$11)))+'Renovation Budget'!$G$28-1)),-'Renovation Budget'!$C$28/'Renovation Budget'!$G$28,0)</f>
        <v/>
      </c>
      <c r="DB97" s="228">
        <f>IF(AND(DB$11&gt;=(12*(YEAR('Renovation Budget'!$F$28)-YEAR(Assumptions!$F$11))+(MONTH('Renovation Budget'!$F$28)-MONTH(Assumptions!$F$11))),DB$11&lt;=((12*(YEAR('Renovation Budget'!$F$28)-YEAR(Assumptions!$F$11))+(MONTH('Renovation Budget'!$F$28)-MONTH(Assumptions!$F$11)))+'Renovation Budget'!$G$28-1)),-'Renovation Budget'!$C$28/'Renovation Budget'!$G$28,0)</f>
        <v/>
      </c>
      <c r="DC97" s="228">
        <f>IF(AND(DC$11&gt;=(12*(YEAR('Renovation Budget'!$F$28)-YEAR(Assumptions!$F$11))+(MONTH('Renovation Budget'!$F$28)-MONTH(Assumptions!$F$11))),DC$11&lt;=((12*(YEAR('Renovation Budget'!$F$28)-YEAR(Assumptions!$F$11))+(MONTH('Renovation Budget'!$F$28)-MONTH(Assumptions!$F$11)))+'Renovation Budget'!$G$28-1)),-'Renovation Budget'!$C$28/'Renovation Budget'!$G$28,0)</f>
        <v/>
      </c>
      <c r="DD97" s="228">
        <f>IF(AND(DD$11&gt;=(12*(YEAR('Renovation Budget'!$F$28)-YEAR(Assumptions!$F$11))+(MONTH('Renovation Budget'!$F$28)-MONTH(Assumptions!$F$11))),DD$11&lt;=((12*(YEAR('Renovation Budget'!$F$28)-YEAR(Assumptions!$F$11))+(MONTH('Renovation Budget'!$F$28)-MONTH(Assumptions!$F$11)))+'Renovation Budget'!$G$28-1)),-'Renovation Budget'!$C$28/'Renovation Budget'!$G$28,0)</f>
        <v/>
      </c>
      <c r="DE97" s="228">
        <f>IF(AND(DE$11&gt;=(12*(YEAR('Renovation Budget'!$F$28)-YEAR(Assumptions!$F$11))+(MONTH('Renovation Budget'!$F$28)-MONTH(Assumptions!$F$11))),DE$11&lt;=((12*(YEAR('Renovation Budget'!$F$28)-YEAR(Assumptions!$F$11))+(MONTH('Renovation Budget'!$F$28)-MONTH(Assumptions!$F$11)))+'Renovation Budget'!$G$28-1)),-'Renovation Budget'!$C$28/'Renovation Budget'!$G$28,0)</f>
        <v/>
      </c>
      <c r="DF97" s="228">
        <f>IF(AND(DF$11&gt;=(12*(YEAR('Renovation Budget'!$F$28)-YEAR(Assumptions!$F$11))+(MONTH('Renovation Budget'!$F$28)-MONTH(Assumptions!$F$11))),DF$11&lt;=((12*(YEAR('Renovation Budget'!$F$28)-YEAR(Assumptions!$F$11))+(MONTH('Renovation Budget'!$F$28)-MONTH(Assumptions!$F$11)))+'Renovation Budget'!$G$28-1)),-'Renovation Budget'!$C$28/'Renovation Budget'!$G$28,0)</f>
        <v/>
      </c>
      <c r="DG97" s="228">
        <f>IF(AND(DG$11&gt;=(12*(YEAR('Renovation Budget'!$F$28)-YEAR(Assumptions!$F$11))+(MONTH('Renovation Budget'!$F$28)-MONTH(Assumptions!$F$11))),DG$11&lt;=((12*(YEAR('Renovation Budget'!$F$28)-YEAR(Assumptions!$F$11))+(MONTH('Renovation Budget'!$F$28)-MONTH(Assumptions!$F$11)))+'Renovation Budget'!$G$28-1)),-'Renovation Budget'!$C$28/'Renovation Budget'!$G$28,0)</f>
        <v/>
      </c>
      <c r="DH97" s="228">
        <f>IF(AND(DH$11&gt;=(12*(YEAR('Renovation Budget'!$F$28)-YEAR(Assumptions!$F$11))+(MONTH('Renovation Budget'!$F$28)-MONTH(Assumptions!$F$11))),DH$11&lt;=((12*(YEAR('Renovation Budget'!$F$28)-YEAR(Assumptions!$F$11))+(MONTH('Renovation Budget'!$F$28)-MONTH(Assumptions!$F$11)))+'Renovation Budget'!$G$28-1)),-'Renovation Budget'!$C$28/'Renovation Budget'!$G$28,0)</f>
        <v/>
      </c>
      <c r="DI97" s="228">
        <f>IF(AND(DI$11&gt;=(12*(YEAR('Renovation Budget'!$F$28)-YEAR(Assumptions!$F$11))+(MONTH('Renovation Budget'!$F$28)-MONTH(Assumptions!$F$11))),DI$11&lt;=((12*(YEAR('Renovation Budget'!$F$28)-YEAR(Assumptions!$F$11))+(MONTH('Renovation Budget'!$F$28)-MONTH(Assumptions!$F$11)))+'Renovation Budget'!$G$28-1)),-'Renovation Budget'!$C$28/'Renovation Budget'!$G$28,0)</f>
        <v/>
      </c>
      <c r="DJ97" s="228">
        <f>IF(AND(DJ$11&gt;=(12*(YEAR('Renovation Budget'!$F$28)-YEAR(Assumptions!$F$11))+(MONTH('Renovation Budget'!$F$28)-MONTH(Assumptions!$F$11))),DJ$11&lt;=((12*(YEAR('Renovation Budget'!$F$28)-YEAR(Assumptions!$F$11))+(MONTH('Renovation Budget'!$F$28)-MONTH(Assumptions!$F$11)))+'Renovation Budget'!$G$28-1)),-'Renovation Budget'!$C$28/'Renovation Budget'!$G$28,0)</f>
        <v/>
      </c>
      <c r="DK97" s="228">
        <f>IF(AND(DK$11&gt;=(12*(YEAR('Renovation Budget'!$F$28)-YEAR(Assumptions!$F$11))+(MONTH('Renovation Budget'!$F$28)-MONTH(Assumptions!$F$11))),DK$11&lt;=((12*(YEAR('Renovation Budget'!$F$28)-YEAR(Assumptions!$F$11))+(MONTH('Renovation Budget'!$F$28)-MONTH(Assumptions!$F$11)))+'Renovation Budget'!$G$28-1)),-'Renovation Budget'!$C$28/'Renovation Budget'!$G$28,0)</f>
        <v/>
      </c>
      <c r="DL97" s="228">
        <f>IF(AND(DL$11&gt;=(12*(YEAR('Renovation Budget'!$F$28)-YEAR(Assumptions!$F$11))+(MONTH('Renovation Budget'!$F$28)-MONTH(Assumptions!$F$11))),DL$11&lt;=((12*(YEAR('Renovation Budget'!$F$28)-YEAR(Assumptions!$F$11))+(MONTH('Renovation Budget'!$F$28)-MONTH(Assumptions!$F$11)))+'Renovation Budget'!$G$28-1)),-'Renovation Budget'!$C$28/'Renovation Budget'!$G$28,0)</f>
        <v/>
      </c>
      <c r="DM97" s="228">
        <f>IF(AND(DM$11&gt;=(12*(YEAR('Renovation Budget'!$F$28)-YEAR(Assumptions!$F$11))+(MONTH('Renovation Budget'!$F$28)-MONTH(Assumptions!$F$11))),DM$11&lt;=((12*(YEAR('Renovation Budget'!$F$28)-YEAR(Assumptions!$F$11))+(MONTH('Renovation Budget'!$F$28)-MONTH(Assumptions!$F$11)))+'Renovation Budget'!$G$28-1)),-'Renovation Budget'!$C$28/'Renovation Budget'!$G$28,0)</f>
        <v/>
      </c>
      <c r="DN97" s="228">
        <f>IF(AND(DN$11&gt;=(12*(YEAR('Renovation Budget'!$F$28)-YEAR(Assumptions!$F$11))+(MONTH('Renovation Budget'!$F$28)-MONTH(Assumptions!$F$11))),DN$11&lt;=((12*(YEAR('Renovation Budget'!$F$28)-YEAR(Assumptions!$F$11))+(MONTH('Renovation Budget'!$F$28)-MONTH(Assumptions!$F$11)))+'Renovation Budget'!$G$28-1)),-'Renovation Budget'!$C$28/'Renovation Budget'!$G$28,0)</f>
        <v/>
      </c>
      <c r="DO97" s="228">
        <f>IF(AND(DO$11&gt;=(12*(YEAR('Renovation Budget'!$F$28)-YEAR(Assumptions!$F$11))+(MONTH('Renovation Budget'!$F$28)-MONTH(Assumptions!$F$11))),DO$11&lt;=((12*(YEAR('Renovation Budget'!$F$28)-YEAR(Assumptions!$F$11))+(MONTH('Renovation Budget'!$F$28)-MONTH(Assumptions!$F$11)))+'Renovation Budget'!$G$28-1)),-'Renovation Budget'!$C$28/'Renovation Budget'!$G$28,0)</f>
        <v/>
      </c>
      <c r="DP97" s="228">
        <f>IF(AND(DP$11&gt;=(12*(YEAR('Renovation Budget'!$F$28)-YEAR(Assumptions!$F$11))+(MONTH('Renovation Budget'!$F$28)-MONTH(Assumptions!$F$11))),DP$11&lt;=((12*(YEAR('Renovation Budget'!$F$28)-YEAR(Assumptions!$F$11))+(MONTH('Renovation Budget'!$F$28)-MONTH(Assumptions!$F$11)))+'Renovation Budget'!$G$28-1)),-'Renovation Budget'!$C$28/'Renovation Budget'!$G$28,0)</f>
        <v/>
      </c>
      <c r="DQ97" s="228">
        <f>IF(AND(DQ$11&gt;=(12*(YEAR('Renovation Budget'!$F$28)-YEAR(Assumptions!$F$11))+(MONTH('Renovation Budget'!$F$28)-MONTH(Assumptions!$F$11))),DQ$11&lt;=((12*(YEAR('Renovation Budget'!$F$28)-YEAR(Assumptions!$F$11))+(MONTH('Renovation Budget'!$F$28)-MONTH(Assumptions!$F$11)))+'Renovation Budget'!$G$28-1)),-'Renovation Budget'!$C$28/'Renovation Budget'!$G$28,0)</f>
        <v/>
      </c>
      <c r="DR97" s="228">
        <f>IF(AND(DR$11&gt;=(12*(YEAR('Renovation Budget'!$F$28)-YEAR(Assumptions!$F$11))+(MONTH('Renovation Budget'!$F$28)-MONTH(Assumptions!$F$11))),DR$11&lt;=((12*(YEAR('Renovation Budget'!$F$28)-YEAR(Assumptions!$F$11))+(MONTH('Renovation Budget'!$F$28)-MONTH(Assumptions!$F$11)))+'Renovation Budget'!$G$28-1)),-'Renovation Budget'!$C$28/'Renovation Budget'!$G$28,0)</f>
        <v/>
      </c>
      <c r="DS97" s="228">
        <f>IF(AND(DS$11&gt;=(12*(YEAR('Renovation Budget'!$F$28)-YEAR(Assumptions!$F$11))+(MONTH('Renovation Budget'!$F$28)-MONTH(Assumptions!$F$11))),DS$11&lt;=((12*(YEAR('Renovation Budget'!$F$28)-YEAR(Assumptions!$F$11))+(MONTH('Renovation Budget'!$F$28)-MONTH(Assumptions!$F$11)))+'Renovation Budget'!$G$28-1)),-'Renovation Budget'!$C$28/'Renovation Budget'!$G$28,0)</f>
        <v/>
      </c>
      <c r="DT97" s="228">
        <f>IF(AND(DT$11&gt;=(12*(YEAR('Renovation Budget'!$F$28)-YEAR(Assumptions!$F$11))+(MONTH('Renovation Budget'!$F$28)-MONTH(Assumptions!$F$11))),DT$11&lt;=((12*(YEAR('Renovation Budget'!$F$28)-YEAR(Assumptions!$F$11))+(MONTH('Renovation Budget'!$F$28)-MONTH(Assumptions!$F$11)))+'Renovation Budget'!$G$28-1)),-'Renovation Budget'!$C$28/'Renovation Budget'!$G$28,0)</f>
        <v/>
      </c>
    </row>
    <row r="98" ht="15" customHeight="1" s="148">
      <c r="A98" s="112" t="inlineStr">
        <is>
          <t>Soft Cost Contingency</t>
        </is>
      </c>
      <c r="C98" s="228">
        <f>SUM(D98:DT98)</f>
        <v/>
      </c>
      <c r="D98" s="228">
        <f>IF(AND(D$11&gt;=(12*(YEAR('Renovation Budget'!$F$29)-YEAR(Assumptions!$F$11))+(MONTH('Renovation Budget'!$F$29)-MONTH(Assumptions!$F$11))),D$11&lt;=((12*(YEAR('Renovation Budget'!$F$29)-YEAR(Assumptions!$F$11))+(MONTH('Renovation Budget'!$F$29)-MONTH(Assumptions!$F$11)))+'Renovation Budget'!$G$29-1)),-'Renovation Budget'!$C$29/'Renovation Budget'!$G$29,0)</f>
        <v/>
      </c>
      <c r="E98" s="228">
        <f>IF(AND(E$11&gt;=(12*(YEAR('Renovation Budget'!$F$29)-YEAR(Assumptions!$F$11))+(MONTH('Renovation Budget'!$F$29)-MONTH(Assumptions!$F$11))),E$11&lt;=((12*(YEAR('Renovation Budget'!$F$29)-YEAR(Assumptions!$F$11))+(MONTH('Renovation Budget'!$F$29)-MONTH(Assumptions!$F$11)))+'Renovation Budget'!$G$29-1)),-'Renovation Budget'!$C$29/'Renovation Budget'!$G$29,0)</f>
        <v/>
      </c>
      <c r="F98" s="228">
        <f>IF(AND(F$11&gt;=(12*(YEAR('Renovation Budget'!$F$29)-YEAR(Assumptions!$F$11))+(MONTH('Renovation Budget'!$F$29)-MONTH(Assumptions!$F$11))),F$11&lt;=((12*(YEAR('Renovation Budget'!$F$29)-YEAR(Assumptions!$F$11))+(MONTH('Renovation Budget'!$F$29)-MONTH(Assumptions!$F$11)))+'Renovation Budget'!$G$29-1)),-'Renovation Budget'!$C$29/'Renovation Budget'!$G$29,0)</f>
        <v/>
      </c>
      <c r="G98" s="228">
        <f>IF(AND(G$11&gt;=(12*(YEAR('Renovation Budget'!$F$29)-YEAR(Assumptions!$F$11))+(MONTH('Renovation Budget'!$F$29)-MONTH(Assumptions!$F$11))),G$11&lt;=((12*(YEAR('Renovation Budget'!$F$29)-YEAR(Assumptions!$F$11))+(MONTH('Renovation Budget'!$F$29)-MONTH(Assumptions!$F$11)))+'Renovation Budget'!$G$29-1)),-'Renovation Budget'!$C$29/'Renovation Budget'!$G$29,0)</f>
        <v/>
      </c>
      <c r="H98" s="228">
        <f>IF(AND(H$11&gt;=(12*(YEAR('Renovation Budget'!$F$29)-YEAR(Assumptions!$F$11))+(MONTH('Renovation Budget'!$F$29)-MONTH(Assumptions!$F$11))),H$11&lt;=((12*(YEAR('Renovation Budget'!$F$29)-YEAR(Assumptions!$F$11))+(MONTH('Renovation Budget'!$F$29)-MONTH(Assumptions!$F$11)))+'Renovation Budget'!$G$29-1)),-'Renovation Budget'!$C$29/'Renovation Budget'!$G$29,0)</f>
        <v/>
      </c>
      <c r="I98" s="228">
        <f>IF(AND(I$11&gt;=(12*(YEAR('Renovation Budget'!$F$29)-YEAR(Assumptions!$F$11))+(MONTH('Renovation Budget'!$F$29)-MONTH(Assumptions!$F$11))),I$11&lt;=((12*(YEAR('Renovation Budget'!$F$29)-YEAR(Assumptions!$F$11))+(MONTH('Renovation Budget'!$F$29)-MONTH(Assumptions!$F$11)))+'Renovation Budget'!$G$29-1)),-'Renovation Budget'!$C$29/'Renovation Budget'!$G$29,0)</f>
        <v/>
      </c>
      <c r="J98" s="228">
        <f>IF(AND(J$11&gt;=(12*(YEAR('Renovation Budget'!$F$29)-YEAR(Assumptions!$F$11))+(MONTH('Renovation Budget'!$F$29)-MONTH(Assumptions!$F$11))),J$11&lt;=((12*(YEAR('Renovation Budget'!$F$29)-YEAR(Assumptions!$F$11))+(MONTH('Renovation Budget'!$F$29)-MONTH(Assumptions!$F$11)))+'Renovation Budget'!$G$29-1)),-'Renovation Budget'!$C$29/'Renovation Budget'!$G$29,0)</f>
        <v/>
      </c>
      <c r="K98" s="228">
        <f>IF(AND(K$11&gt;=(12*(YEAR('Renovation Budget'!$F$29)-YEAR(Assumptions!$F$11))+(MONTH('Renovation Budget'!$F$29)-MONTH(Assumptions!$F$11))),K$11&lt;=((12*(YEAR('Renovation Budget'!$F$29)-YEAR(Assumptions!$F$11))+(MONTH('Renovation Budget'!$F$29)-MONTH(Assumptions!$F$11)))+'Renovation Budget'!$G$29-1)),-'Renovation Budget'!$C$29/'Renovation Budget'!$G$29,0)</f>
        <v/>
      </c>
      <c r="L98" s="228">
        <f>IF(AND(L$11&gt;=(12*(YEAR('Renovation Budget'!$F$29)-YEAR(Assumptions!$F$11))+(MONTH('Renovation Budget'!$F$29)-MONTH(Assumptions!$F$11))),L$11&lt;=((12*(YEAR('Renovation Budget'!$F$29)-YEAR(Assumptions!$F$11))+(MONTH('Renovation Budget'!$F$29)-MONTH(Assumptions!$F$11)))+'Renovation Budget'!$G$29-1)),-'Renovation Budget'!$C$29/'Renovation Budget'!$G$29,0)</f>
        <v/>
      </c>
      <c r="M98" s="228">
        <f>IF(AND(M$11&gt;=(12*(YEAR('Renovation Budget'!$F$29)-YEAR(Assumptions!$F$11))+(MONTH('Renovation Budget'!$F$29)-MONTH(Assumptions!$F$11))),M$11&lt;=((12*(YEAR('Renovation Budget'!$F$29)-YEAR(Assumptions!$F$11))+(MONTH('Renovation Budget'!$F$29)-MONTH(Assumptions!$F$11)))+'Renovation Budget'!$G$29-1)),-'Renovation Budget'!$C$29/'Renovation Budget'!$G$29,0)</f>
        <v/>
      </c>
      <c r="N98" s="228">
        <f>IF(AND(N$11&gt;=(12*(YEAR('Renovation Budget'!$F$29)-YEAR(Assumptions!$F$11))+(MONTH('Renovation Budget'!$F$29)-MONTH(Assumptions!$F$11))),N$11&lt;=((12*(YEAR('Renovation Budget'!$F$29)-YEAR(Assumptions!$F$11))+(MONTH('Renovation Budget'!$F$29)-MONTH(Assumptions!$F$11)))+'Renovation Budget'!$G$29-1)),-'Renovation Budget'!$C$29/'Renovation Budget'!$G$29,0)</f>
        <v/>
      </c>
      <c r="O98" s="228">
        <f>IF(AND(O$11&gt;=(12*(YEAR('Renovation Budget'!$F$29)-YEAR(Assumptions!$F$11))+(MONTH('Renovation Budget'!$F$29)-MONTH(Assumptions!$F$11))),O$11&lt;=((12*(YEAR('Renovation Budget'!$F$29)-YEAR(Assumptions!$F$11))+(MONTH('Renovation Budget'!$F$29)-MONTH(Assumptions!$F$11)))+'Renovation Budget'!$G$29-1)),-'Renovation Budget'!$C$29/'Renovation Budget'!$G$29,0)</f>
        <v/>
      </c>
      <c r="P98" s="228">
        <f>IF(AND(P$11&gt;=(12*(YEAR('Renovation Budget'!$F$29)-YEAR(Assumptions!$F$11))+(MONTH('Renovation Budget'!$F$29)-MONTH(Assumptions!$F$11))),P$11&lt;=((12*(YEAR('Renovation Budget'!$F$29)-YEAR(Assumptions!$F$11))+(MONTH('Renovation Budget'!$F$29)-MONTH(Assumptions!$F$11)))+'Renovation Budget'!$G$29-1)),-'Renovation Budget'!$C$29/'Renovation Budget'!$G$29,0)</f>
        <v/>
      </c>
      <c r="Q98" s="228">
        <f>IF(AND(Q$11&gt;=(12*(YEAR('Renovation Budget'!$F$29)-YEAR(Assumptions!$F$11))+(MONTH('Renovation Budget'!$F$29)-MONTH(Assumptions!$F$11))),Q$11&lt;=((12*(YEAR('Renovation Budget'!$F$29)-YEAR(Assumptions!$F$11))+(MONTH('Renovation Budget'!$F$29)-MONTH(Assumptions!$F$11)))+'Renovation Budget'!$G$29-1)),-'Renovation Budget'!$C$29/'Renovation Budget'!$G$29,0)</f>
        <v/>
      </c>
      <c r="R98" s="228">
        <f>IF(AND(R$11&gt;=(12*(YEAR('Renovation Budget'!$F$29)-YEAR(Assumptions!$F$11))+(MONTH('Renovation Budget'!$F$29)-MONTH(Assumptions!$F$11))),R$11&lt;=((12*(YEAR('Renovation Budget'!$F$29)-YEAR(Assumptions!$F$11))+(MONTH('Renovation Budget'!$F$29)-MONTH(Assumptions!$F$11)))+'Renovation Budget'!$G$29-1)),-'Renovation Budget'!$C$29/'Renovation Budget'!$G$29,0)</f>
        <v/>
      </c>
      <c r="S98" s="228">
        <f>IF(AND(S$11&gt;=(12*(YEAR('Renovation Budget'!$F$29)-YEAR(Assumptions!$F$11))+(MONTH('Renovation Budget'!$F$29)-MONTH(Assumptions!$F$11))),S$11&lt;=((12*(YEAR('Renovation Budget'!$F$29)-YEAR(Assumptions!$F$11))+(MONTH('Renovation Budget'!$F$29)-MONTH(Assumptions!$F$11)))+'Renovation Budget'!$G$29-1)),-'Renovation Budget'!$C$29/'Renovation Budget'!$G$29,0)</f>
        <v/>
      </c>
      <c r="T98" s="228">
        <f>IF(AND(T$11&gt;=(12*(YEAR('Renovation Budget'!$F$29)-YEAR(Assumptions!$F$11))+(MONTH('Renovation Budget'!$F$29)-MONTH(Assumptions!$F$11))),T$11&lt;=((12*(YEAR('Renovation Budget'!$F$29)-YEAR(Assumptions!$F$11))+(MONTH('Renovation Budget'!$F$29)-MONTH(Assumptions!$F$11)))+'Renovation Budget'!$G$29-1)),-'Renovation Budget'!$C$29/'Renovation Budget'!$G$29,0)</f>
        <v/>
      </c>
      <c r="U98" s="228">
        <f>IF(AND(U$11&gt;=(12*(YEAR('Renovation Budget'!$F$29)-YEAR(Assumptions!$F$11))+(MONTH('Renovation Budget'!$F$29)-MONTH(Assumptions!$F$11))),U$11&lt;=((12*(YEAR('Renovation Budget'!$F$29)-YEAR(Assumptions!$F$11))+(MONTH('Renovation Budget'!$F$29)-MONTH(Assumptions!$F$11)))+'Renovation Budget'!$G$29-1)),-'Renovation Budget'!$C$29/'Renovation Budget'!$G$29,0)</f>
        <v/>
      </c>
      <c r="V98" s="228">
        <f>IF(AND(V$11&gt;=(12*(YEAR('Renovation Budget'!$F$29)-YEAR(Assumptions!$F$11))+(MONTH('Renovation Budget'!$F$29)-MONTH(Assumptions!$F$11))),V$11&lt;=((12*(YEAR('Renovation Budget'!$F$29)-YEAR(Assumptions!$F$11))+(MONTH('Renovation Budget'!$F$29)-MONTH(Assumptions!$F$11)))+'Renovation Budget'!$G$29-1)),-'Renovation Budget'!$C$29/'Renovation Budget'!$G$29,0)</f>
        <v/>
      </c>
      <c r="W98" s="228">
        <f>IF(AND(W$11&gt;=(12*(YEAR('Renovation Budget'!$F$29)-YEAR(Assumptions!$F$11))+(MONTH('Renovation Budget'!$F$29)-MONTH(Assumptions!$F$11))),W$11&lt;=((12*(YEAR('Renovation Budget'!$F$29)-YEAR(Assumptions!$F$11))+(MONTH('Renovation Budget'!$F$29)-MONTH(Assumptions!$F$11)))+'Renovation Budget'!$G$29-1)),-'Renovation Budget'!$C$29/'Renovation Budget'!$G$29,0)</f>
        <v/>
      </c>
      <c r="X98" s="228">
        <f>IF(AND(X$11&gt;=(12*(YEAR('Renovation Budget'!$F$29)-YEAR(Assumptions!$F$11))+(MONTH('Renovation Budget'!$F$29)-MONTH(Assumptions!$F$11))),X$11&lt;=((12*(YEAR('Renovation Budget'!$F$29)-YEAR(Assumptions!$F$11))+(MONTH('Renovation Budget'!$F$29)-MONTH(Assumptions!$F$11)))+'Renovation Budget'!$G$29-1)),-'Renovation Budget'!$C$29/'Renovation Budget'!$G$29,0)</f>
        <v/>
      </c>
      <c r="Y98" s="228">
        <f>IF(AND(Y$11&gt;=(12*(YEAR('Renovation Budget'!$F$29)-YEAR(Assumptions!$F$11))+(MONTH('Renovation Budget'!$F$29)-MONTH(Assumptions!$F$11))),Y$11&lt;=((12*(YEAR('Renovation Budget'!$F$29)-YEAR(Assumptions!$F$11))+(MONTH('Renovation Budget'!$F$29)-MONTH(Assumptions!$F$11)))+'Renovation Budget'!$G$29-1)),-'Renovation Budget'!$C$29/'Renovation Budget'!$G$29,0)</f>
        <v/>
      </c>
      <c r="Z98" s="228">
        <f>IF(AND(Z$11&gt;=(12*(YEAR('Renovation Budget'!$F$29)-YEAR(Assumptions!$F$11))+(MONTH('Renovation Budget'!$F$29)-MONTH(Assumptions!$F$11))),Z$11&lt;=((12*(YEAR('Renovation Budget'!$F$29)-YEAR(Assumptions!$F$11))+(MONTH('Renovation Budget'!$F$29)-MONTH(Assumptions!$F$11)))+'Renovation Budget'!$G$29-1)),-'Renovation Budget'!$C$29/'Renovation Budget'!$G$29,0)</f>
        <v/>
      </c>
      <c r="AA98" s="228">
        <f>IF(AND(AA$11&gt;=(12*(YEAR('Renovation Budget'!$F$29)-YEAR(Assumptions!$F$11))+(MONTH('Renovation Budget'!$F$29)-MONTH(Assumptions!$F$11))),AA$11&lt;=((12*(YEAR('Renovation Budget'!$F$29)-YEAR(Assumptions!$F$11))+(MONTH('Renovation Budget'!$F$29)-MONTH(Assumptions!$F$11)))+'Renovation Budget'!$G$29-1)),-'Renovation Budget'!$C$29/'Renovation Budget'!$G$29,0)</f>
        <v/>
      </c>
      <c r="AB98" s="228">
        <f>IF(AND(AB$11&gt;=(12*(YEAR('Renovation Budget'!$F$29)-YEAR(Assumptions!$F$11))+(MONTH('Renovation Budget'!$F$29)-MONTH(Assumptions!$F$11))),AB$11&lt;=((12*(YEAR('Renovation Budget'!$F$29)-YEAR(Assumptions!$F$11))+(MONTH('Renovation Budget'!$F$29)-MONTH(Assumptions!$F$11)))+'Renovation Budget'!$G$29-1)),-'Renovation Budget'!$C$29/'Renovation Budget'!$G$29,0)</f>
        <v/>
      </c>
      <c r="AC98" s="228">
        <f>IF(AND(AC$11&gt;=(12*(YEAR('Renovation Budget'!$F$29)-YEAR(Assumptions!$F$11))+(MONTH('Renovation Budget'!$F$29)-MONTH(Assumptions!$F$11))),AC$11&lt;=((12*(YEAR('Renovation Budget'!$F$29)-YEAR(Assumptions!$F$11))+(MONTH('Renovation Budget'!$F$29)-MONTH(Assumptions!$F$11)))+'Renovation Budget'!$G$29-1)),-'Renovation Budget'!$C$29/'Renovation Budget'!$G$29,0)</f>
        <v/>
      </c>
      <c r="AD98" s="228">
        <f>IF(AND(AD$11&gt;=(12*(YEAR('Renovation Budget'!$F$29)-YEAR(Assumptions!$F$11))+(MONTH('Renovation Budget'!$F$29)-MONTH(Assumptions!$F$11))),AD$11&lt;=((12*(YEAR('Renovation Budget'!$F$29)-YEAR(Assumptions!$F$11))+(MONTH('Renovation Budget'!$F$29)-MONTH(Assumptions!$F$11)))+'Renovation Budget'!$G$29-1)),-'Renovation Budget'!$C$29/'Renovation Budget'!$G$29,0)</f>
        <v/>
      </c>
      <c r="AE98" s="228">
        <f>IF(AND(AE$11&gt;=(12*(YEAR('Renovation Budget'!$F$29)-YEAR(Assumptions!$F$11))+(MONTH('Renovation Budget'!$F$29)-MONTH(Assumptions!$F$11))),AE$11&lt;=((12*(YEAR('Renovation Budget'!$F$29)-YEAR(Assumptions!$F$11))+(MONTH('Renovation Budget'!$F$29)-MONTH(Assumptions!$F$11)))+'Renovation Budget'!$G$29-1)),-'Renovation Budget'!$C$29/'Renovation Budget'!$G$29,0)</f>
        <v/>
      </c>
      <c r="AF98" s="228">
        <f>IF(AND(AF$11&gt;=(12*(YEAR('Renovation Budget'!$F$29)-YEAR(Assumptions!$F$11))+(MONTH('Renovation Budget'!$F$29)-MONTH(Assumptions!$F$11))),AF$11&lt;=((12*(YEAR('Renovation Budget'!$F$29)-YEAR(Assumptions!$F$11))+(MONTH('Renovation Budget'!$F$29)-MONTH(Assumptions!$F$11)))+'Renovation Budget'!$G$29-1)),-'Renovation Budget'!$C$29/'Renovation Budget'!$G$29,0)</f>
        <v/>
      </c>
      <c r="AG98" s="228">
        <f>IF(AND(AG$11&gt;=(12*(YEAR('Renovation Budget'!$F$29)-YEAR(Assumptions!$F$11))+(MONTH('Renovation Budget'!$F$29)-MONTH(Assumptions!$F$11))),AG$11&lt;=((12*(YEAR('Renovation Budget'!$F$29)-YEAR(Assumptions!$F$11))+(MONTH('Renovation Budget'!$F$29)-MONTH(Assumptions!$F$11)))+'Renovation Budget'!$G$29-1)),-'Renovation Budget'!$C$29/'Renovation Budget'!$G$29,0)</f>
        <v/>
      </c>
      <c r="AH98" s="228">
        <f>IF(AND(AH$11&gt;=(12*(YEAR('Renovation Budget'!$F$29)-YEAR(Assumptions!$F$11))+(MONTH('Renovation Budget'!$F$29)-MONTH(Assumptions!$F$11))),AH$11&lt;=((12*(YEAR('Renovation Budget'!$F$29)-YEAR(Assumptions!$F$11))+(MONTH('Renovation Budget'!$F$29)-MONTH(Assumptions!$F$11)))+'Renovation Budget'!$G$29-1)),-'Renovation Budget'!$C$29/'Renovation Budget'!$G$29,0)</f>
        <v/>
      </c>
      <c r="AI98" s="228">
        <f>IF(AND(AI$11&gt;=(12*(YEAR('Renovation Budget'!$F$29)-YEAR(Assumptions!$F$11))+(MONTH('Renovation Budget'!$F$29)-MONTH(Assumptions!$F$11))),AI$11&lt;=((12*(YEAR('Renovation Budget'!$F$29)-YEAR(Assumptions!$F$11))+(MONTH('Renovation Budget'!$F$29)-MONTH(Assumptions!$F$11)))+'Renovation Budget'!$G$29-1)),-'Renovation Budget'!$C$29/'Renovation Budget'!$G$29,0)</f>
        <v/>
      </c>
      <c r="AJ98" s="228">
        <f>IF(AND(AJ$11&gt;=(12*(YEAR('Renovation Budget'!$F$29)-YEAR(Assumptions!$F$11))+(MONTH('Renovation Budget'!$F$29)-MONTH(Assumptions!$F$11))),AJ$11&lt;=((12*(YEAR('Renovation Budget'!$F$29)-YEAR(Assumptions!$F$11))+(MONTH('Renovation Budget'!$F$29)-MONTH(Assumptions!$F$11)))+'Renovation Budget'!$G$29-1)),-'Renovation Budget'!$C$29/'Renovation Budget'!$G$29,0)</f>
        <v/>
      </c>
      <c r="AK98" s="228">
        <f>IF(AND(AK$11&gt;=(12*(YEAR('Renovation Budget'!$F$29)-YEAR(Assumptions!$F$11))+(MONTH('Renovation Budget'!$F$29)-MONTH(Assumptions!$F$11))),AK$11&lt;=((12*(YEAR('Renovation Budget'!$F$29)-YEAR(Assumptions!$F$11))+(MONTH('Renovation Budget'!$F$29)-MONTH(Assumptions!$F$11)))+'Renovation Budget'!$G$29-1)),-'Renovation Budget'!$C$29/'Renovation Budget'!$G$29,0)</f>
        <v/>
      </c>
      <c r="AL98" s="228">
        <f>IF(AND(AL$11&gt;=(12*(YEAR('Renovation Budget'!$F$29)-YEAR(Assumptions!$F$11))+(MONTH('Renovation Budget'!$F$29)-MONTH(Assumptions!$F$11))),AL$11&lt;=((12*(YEAR('Renovation Budget'!$F$29)-YEAR(Assumptions!$F$11))+(MONTH('Renovation Budget'!$F$29)-MONTH(Assumptions!$F$11)))+'Renovation Budget'!$G$29-1)),-'Renovation Budget'!$C$29/'Renovation Budget'!$G$29,0)</f>
        <v/>
      </c>
      <c r="AM98" s="228">
        <f>IF(AND(AM$11&gt;=(12*(YEAR('Renovation Budget'!$F$29)-YEAR(Assumptions!$F$11))+(MONTH('Renovation Budget'!$F$29)-MONTH(Assumptions!$F$11))),AM$11&lt;=((12*(YEAR('Renovation Budget'!$F$29)-YEAR(Assumptions!$F$11))+(MONTH('Renovation Budget'!$F$29)-MONTH(Assumptions!$F$11)))+'Renovation Budget'!$G$29-1)),-'Renovation Budget'!$C$29/'Renovation Budget'!$G$29,0)</f>
        <v/>
      </c>
      <c r="AN98" s="228">
        <f>IF(AND(AN$11&gt;=(12*(YEAR('Renovation Budget'!$F$29)-YEAR(Assumptions!$F$11))+(MONTH('Renovation Budget'!$F$29)-MONTH(Assumptions!$F$11))),AN$11&lt;=((12*(YEAR('Renovation Budget'!$F$29)-YEAR(Assumptions!$F$11))+(MONTH('Renovation Budget'!$F$29)-MONTH(Assumptions!$F$11)))+'Renovation Budget'!$G$29-1)),-'Renovation Budget'!$C$29/'Renovation Budget'!$G$29,0)</f>
        <v/>
      </c>
      <c r="AO98" s="228">
        <f>IF(AND(AO$11&gt;=(12*(YEAR('Renovation Budget'!$F$29)-YEAR(Assumptions!$F$11))+(MONTH('Renovation Budget'!$F$29)-MONTH(Assumptions!$F$11))),AO$11&lt;=((12*(YEAR('Renovation Budget'!$F$29)-YEAR(Assumptions!$F$11))+(MONTH('Renovation Budget'!$F$29)-MONTH(Assumptions!$F$11)))+'Renovation Budget'!$G$29-1)),-'Renovation Budget'!$C$29/'Renovation Budget'!$G$29,0)</f>
        <v/>
      </c>
      <c r="AP98" s="228">
        <f>IF(AND(AP$11&gt;=(12*(YEAR('Renovation Budget'!$F$29)-YEAR(Assumptions!$F$11))+(MONTH('Renovation Budget'!$F$29)-MONTH(Assumptions!$F$11))),AP$11&lt;=((12*(YEAR('Renovation Budget'!$F$29)-YEAR(Assumptions!$F$11))+(MONTH('Renovation Budget'!$F$29)-MONTH(Assumptions!$F$11)))+'Renovation Budget'!$G$29-1)),-'Renovation Budget'!$C$29/'Renovation Budget'!$G$29,0)</f>
        <v/>
      </c>
      <c r="AQ98" s="228">
        <f>IF(AND(AQ$11&gt;=(12*(YEAR('Renovation Budget'!$F$29)-YEAR(Assumptions!$F$11))+(MONTH('Renovation Budget'!$F$29)-MONTH(Assumptions!$F$11))),AQ$11&lt;=((12*(YEAR('Renovation Budget'!$F$29)-YEAR(Assumptions!$F$11))+(MONTH('Renovation Budget'!$F$29)-MONTH(Assumptions!$F$11)))+'Renovation Budget'!$G$29-1)),-'Renovation Budget'!$C$29/'Renovation Budget'!$G$29,0)</f>
        <v/>
      </c>
      <c r="AR98" s="228">
        <f>IF(AND(AR$11&gt;=(12*(YEAR('Renovation Budget'!$F$29)-YEAR(Assumptions!$F$11))+(MONTH('Renovation Budget'!$F$29)-MONTH(Assumptions!$F$11))),AR$11&lt;=((12*(YEAR('Renovation Budget'!$F$29)-YEAR(Assumptions!$F$11))+(MONTH('Renovation Budget'!$F$29)-MONTH(Assumptions!$F$11)))+'Renovation Budget'!$G$29-1)),-'Renovation Budget'!$C$29/'Renovation Budget'!$G$29,0)</f>
        <v/>
      </c>
      <c r="AS98" s="228">
        <f>IF(AND(AS$11&gt;=(12*(YEAR('Renovation Budget'!$F$29)-YEAR(Assumptions!$F$11))+(MONTH('Renovation Budget'!$F$29)-MONTH(Assumptions!$F$11))),AS$11&lt;=((12*(YEAR('Renovation Budget'!$F$29)-YEAR(Assumptions!$F$11))+(MONTH('Renovation Budget'!$F$29)-MONTH(Assumptions!$F$11)))+'Renovation Budget'!$G$29-1)),-'Renovation Budget'!$C$29/'Renovation Budget'!$G$29,0)</f>
        <v/>
      </c>
      <c r="AT98" s="228">
        <f>IF(AND(AT$11&gt;=(12*(YEAR('Renovation Budget'!$F$29)-YEAR(Assumptions!$F$11))+(MONTH('Renovation Budget'!$F$29)-MONTH(Assumptions!$F$11))),AT$11&lt;=((12*(YEAR('Renovation Budget'!$F$29)-YEAR(Assumptions!$F$11))+(MONTH('Renovation Budget'!$F$29)-MONTH(Assumptions!$F$11)))+'Renovation Budget'!$G$29-1)),-'Renovation Budget'!$C$29/'Renovation Budget'!$G$29,0)</f>
        <v/>
      </c>
      <c r="AU98" s="228">
        <f>IF(AND(AU$11&gt;=(12*(YEAR('Renovation Budget'!$F$29)-YEAR(Assumptions!$F$11))+(MONTH('Renovation Budget'!$F$29)-MONTH(Assumptions!$F$11))),AU$11&lt;=((12*(YEAR('Renovation Budget'!$F$29)-YEAR(Assumptions!$F$11))+(MONTH('Renovation Budget'!$F$29)-MONTH(Assumptions!$F$11)))+'Renovation Budget'!$G$29-1)),-'Renovation Budget'!$C$29/'Renovation Budget'!$G$29,0)</f>
        <v/>
      </c>
      <c r="AV98" s="228">
        <f>IF(AND(AV$11&gt;=(12*(YEAR('Renovation Budget'!$F$29)-YEAR(Assumptions!$F$11))+(MONTH('Renovation Budget'!$F$29)-MONTH(Assumptions!$F$11))),AV$11&lt;=((12*(YEAR('Renovation Budget'!$F$29)-YEAR(Assumptions!$F$11))+(MONTH('Renovation Budget'!$F$29)-MONTH(Assumptions!$F$11)))+'Renovation Budget'!$G$29-1)),-'Renovation Budget'!$C$29/'Renovation Budget'!$G$29,0)</f>
        <v/>
      </c>
      <c r="AW98" s="228">
        <f>IF(AND(AW$11&gt;=(12*(YEAR('Renovation Budget'!$F$29)-YEAR(Assumptions!$F$11))+(MONTH('Renovation Budget'!$F$29)-MONTH(Assumptions!$F$11))),AW$11&lt;=((12*(YEAR('Renovation Budget'!$F$29)-YEAR(Assumptions!$F$11))+(MONTH('Renovation Budget'!$F$29)-MONTH(Assumptions!$F$11)))+'Renovation Budget'!$G$29-1)),-'Renovation Budget'!$C$29/'Renovation Budget'!$G$29,0)</f>
        <v/>
      </c>
      <c r="AX98" s="228">
        <f>IF(AND(AX$11&gt;=(12*(YEAR('Renovation Budget'!$F$29)-YEAR(Assumptions!$F$11))+(MONTH('Renovation Budget'!$F$29)-MONTH(Assumptions!$F$11))),AX$11&lt;=((12*(YEAR('Renovation Budget'!$F$29)-YEAR(Assumptions!$F$11))+(MONTH('Renovation Budget'!$F$29)-MONTH(Assumptions!$F$11)))+'Renovation Budget'!$G$29-1)),-'Renovation Budget'!$C$29/'Renovation Budget'!$G$29,0)</f>
        <v/>
      </c>
      <c r="AY98" s="228">
        <f>IF(AND(AY$11&gt;=(12*(YEAR('Renovation Budget'!$F$29)-YEAR(Assumptions!$F$11))+(MONTH('Renovation Budget'!$F$29)-MONTH(Assumptions!$F$11))),AY$11&lt;=((12*(YEAR('Renovation Budget'!$F$29)-YEAR(Assumptions!$F$11))+(MONTH('Renovation Budget'!$F$29)-MONTH(Assumptions!$F$11)))+'Renovation Budget'!$G$29-1)),-'Renovation Budget'!$C$29/'Renovation Budget'!$G$29,0)</f>
        <v/>
      </c>
      <c r="AZ98" s="228">
        <f>IF(AND(AZ$11&gt;=(12*(YEAR('Renovation Budget'!$F$29)-YEAR(Assumptions!$F$11))+(MONTH('Renovation Budget'!$F$29)-MONTH(Assumptions!$F$11))),AZ$11&lt;=((12*(YEAR('Renovation Budget'!$F$29)-YEAR(Assumptions!$F$11))+(MONTH('Renovation Budget'!$F$29)-MONTH(Assumptions!$F$11)))+'Renovation Budget'!$G$29-1)),-'Renovation Budget'!$C$29/'Renovation Budget'!$G$29,0)</f>
        <v/>
      </c>
      <c r="BA98" s="228">
        <f>IF(AND(BA$11&gt;=(12*(YEAR('Renovation Budget'!$F$29)-YEAR(Assumptions!$F$11))+(MONTH('Renovation Budget'!$F$29)-MONTH(Assumptions!$F$11))),BA$11&lt;=((12*(YEAR('Renovation Budget'!$F$29)-YEAR(Assumptions!$F$11))+(MONTH('Renovation Budget'!$F$29)-MONTH(Assumptions!$F$11)))+'Renovation Budget'!$G$29-1)),-'Renovation Budget'!$C$29/'Renovation Budget'!$G$29,0)</f>
        <v/>
      </c>
      <c r="BB98" s="228">
        <f>IF(AND(BB$11&gt;=(12*(YEAR('Renovation Budget'!$F$29)-YEAR(Assumptions!$F$11))+(MONTH('Renovation Budget'!$F$29)-MONTH(Assumptions!$F$11))),BB$11&lt;=((12*(YEAR('Renovation Budget'!$F$29)-YEAR(Assumptions!$F$11))+(MONTH('Renovation Budget'!$F$29)-MONTH(Assumptions!$F$11)))+'Renovation Budget'!$G$29-1)),-'Renovation Budget'!$C$29/'Renovation Budget'!$G$29,0)</f>
        <v/>
      </c>
      <c r="BC98" s="228">
        <f>IF(AND(BC$11&gt;=(12*(YEAR('Renovation Budget'!$F$29)-YEAR(Assumptions!$F$11))+(MONTH('Renovation Budget'!$F$29)-MONTH(Assumptions!$F$11))),BC$11&lt;=((12*(YEAR('Renovation Budget'!$F$29)-YEAR(Assumptions!$F$11))+(MONTH('Renovation Budget'!$F$29)-MONTH(Assumptions!$F$11)))+'Renovation Budget'!$G$29-1)),-'Renovation Budget'!$C$29/'Renovation Budget'!$G$29,0)</f>
        <v/>
      </c>
      <c r="BD98" s="228">
        <f>IF(AND(BD$11&gt;=(12*(YEAR('Renovation Budget'!$F$29)-YEAR(Assumptions!$F$11))+(MONTH('Renovation Budget'!$F$29)-MONTH(Assumptions!$F$11))),BD$11&lt;=((12*(YEAR('Renovation Budget'!$F$29)-YEAR(Assumptions!$F$11))+(MONTH('Renovation Budget'!$F$29)-MONTH(Assumptions!$F$11)))+'Renovation Budget'!$G$29-1)),-'Renovation Budget'!$C$29/'Renovation Budget'!$G$29,0)</f>
        <v/>
      </c>
      <c r="BE98" s="228">
        <f>IF(AND(BE$11&gt;=(12*(YEAR('Renovation Budget'!$F$29)-YEAR(Assumptions!$F$11))+(MONTH('Renovation Budget'!$F$29)-MONTH(Assumptions!$F$11))),BE$11&lt;=((12*(YEAR('Renovation Budget'!$F$29)-YEAR(Assumptions!$F$11))+(MONTH('Renovation Budget'!$F$29)-MONTH(Assumptions!$F$11)))+'Renovation Budget'!$G$29-1)),-'Renovation Budget'!$C$29/'Renovation Budget'!$G$29,0)</f>
        <v/>
      </c>
      <c r="BF98" s="228">
        <f>IF(AND(BF$11&gt;=(12*(YEAR('Renovation Budget'!$F$29)-YEAR(Assumptions!$F$11))+(MONTH('Renovation Budget'!$F$29)-MONTH(Assumptions!$F$11))),BF$11&lt;=((12*(YEAR('Renovation Budget'!$F$29)-YEAR(Assumptions!$F$11))+(MONTH('Renovation Budget'!$F$29)-MONTH(Assumptions!$F$11)))+'Renovation Budget'!$G$29-1)),-'Renovation Budget'!$C$29/'Renovation Budget'!$G$29,0)</f>
        <v/>
      </c>
      <c r="BG98" s="228">
        <f>IF(AND(BG$11&gt;=(12*(YEAR('Renovation Budget'!$F$29)-YEAR(Assumptions!$F$11))+(MONTH('Renovation Budget'!$F$29)-MONTH(Assumptions!$F$11))),BG$11&lt;=((12*(YEAR('Renovation Budget'!$F$29)-YEAR(Assumptions!$F$11))+(MONTH('Renovation Budget'!$F$29)-MONTH(Assumptions!$F$11)))+'Renovation Budget'!$G$29-1)),-'Renovation Budget'!$C$29/'Renovation Budget'!$G$29,0)</f>
        <v/>
      </c>
      <c r="BH98" s="228">
        <f>IF(AND(BH$11&gt;=(12*(YEAR('Renovation Budget'!$F$29)-YEAR(Assumptions!$F$11))+(MONTH('Renovation Budget'!$F$29)-MONTH(Assumptions!$F$11))),BH$11&lt;=((12*(YEAR('Renovation Budget'!$F$29)-YEAR(Assumptions!$F$11))+(MONTH('Renovation Budget'!$F$29)-MONTH(Assumptions!$F$11)))+'Renovation Budget'!$G$29-1)),-'Renovation Budget'!$C$29/'Renovation Budget'!$G$29,0)</f>
        <v/>
      </c>
      <c r="BI98" s="228">
        <f>IF(AND(BI$11&gt;=(12*(YEAR('Renovation Budget'!$F$29)-YEAR(Assumptions!$F$11))+(MONTH('Renovation Budget'!$F$29)-MONTH(Assumptions!$F$11))),BI$11&lt;=((12*(YEAR('Renovation Budget'!$F$29)-YEAR(Assumptions!$F$11))+(MONTH('Renovation Budget'!$F$29)-MONTH(Assumptions!$F$11)))+'Renovation Budget'!$G$29-1)),-'Renovation Budget'!$C$29/'Renovation Budget'!$G$29,0)</f>
        <v/>
      </c>
      <c r="BJ98" s="228">
        <f>IF(AND(BJ$11&gt;=(12*(YEAR('Renovation Budget'!$F$29)-YEAR(Assumptions!$F$11))+(MONTH('Renovation Budget'!$F$29)-MONTH(Assumptions!$F$11))),BJ$11&lt;=((12*(YEAR('Renovation Budget'!$F$29)-YEAR(Assumptions!$F$11))+(MONTH('Renovation Budget'!$F$29)-MONTH(Assumptions!$F$11)))+'Renovation Budget'!$G$29-1)),-'Renovation Budget'!$C$29/'Renovation Budget'!$G$29,0)</f>
        <v/>
      </c>
      <c r="BK98" s="228">
        <f>IF(AND(BK$11&gt;=(12*(YEAR('Renovation Budget'!$F$29)-YEAR(Assumptions!$F$11))+(MONTH('Renovation Budget'!$F$29)-MONTH(Assumptions!$F$11))),BK$11&lt;=((12*(YEAR('Renovation Budget'!$F$29)-YEAR(Assumptions!$F$11))+(MONTH('Renovation Budget'!$F$29)-MONTH(Assumptions!$F$11)))+'Renovation Budget'!$G$29-1)),-'Renovation Budget'!$C$29/'Renovation Budget'!$G$29,0)</f>
        <v/>
      </c>
      <c r="BL98" s="228">
        <f>IF(AND(BL$11&gt;=(12*(YEAR('Renovation Budget'!$F$29)-YEAR(Assumptions!$F$11))+(MONTH('Renovation Budget'!$F$29)-MONTH(Assumptions!$F$11))),BL$11&lt;=((12*(YEAR('Renovation Budget'!$F$29)-YEAR(Assumptions!$F$11))+(MONTH('Renovation Budget'!$F$29)-MONTH(Assumptions!$F$11)))+'Renovation Budget'!$G$29-1)),-'Renovation Budget'!$C$29/'Renovation Budget'!$G$29,0)</f>
        <v/>
      </c>
      <c r="BM98" s="228">
        <f>IF(AND(BM$11&gt;=(12*(YEAR('Renovation Budget'!$F$29)-YEAR(Assumptions!$F$11))+(MONTH('Renovation Budget'!$F$29)-MONTH(Assumptions!$F$11))),BM$11&lt;=((12*(YEAR('Renovation Budget'!$F$29)-YEAR(Assumptions!$F$11))+(MONTH('Renovation Budget'!$F$29)-MONTH(Assumptions!$F$11)))+'Renovation Budget'!$G$29-1)),-'Renovation Budget'!$C$29/'Renovation Budget'!$G$29,0)</f>
        <v/>
      </c>
      <c r="BN98" s="228">
        <f>IF(AND(BN$11&gt;=(12*(YEAR('Renovation Budget'!$F$29)-YEAR(Assumptions!$F$11))+(MONTH('Renovation Budget'!$F$29)-MONTH(Assumptions!$F$11))),BN$11&lt;=((12*(YEAR('Renovation Budget'!$F$29)-YEAR(Assumptions!$F$11))+(MONTH('Renovation Budget'!$F$29)-MONTH(Assumptions!$F$11)))+'Renovation Budget'!$G$29-1)),-'Renovation Budget'!$C$29/'Renovation Budget'!$G$29,0)</f>
        <v/>
      </c>
      <c r="BO98" s="228">
        <f>IF(AND(BO$11&gt;=(12*(YEAR('Renovation Budget'!$F$29)-YEAR(Assumptions!$F$11))+(MONTH('Renovation Budget'!$F$29)-MONTH(Assumptions!$F$11))),BO$11&lt;=((12*(YEAR('Renovation Budget'!$F$29)-YEAR(Assumptions!$F$11))+(MONTH('Renovation Budget'!$F$29)-MONTH(Assumptions!$F$11)))+'Renovation Budget'!$G$29-1)),-'Renovation Budget'!$C$29/'Renovation Budget'!$G$29,0)</f>
        <v/>
      </c>
      <c r="BP98" s="228">
        <f>IF(AND(BP$11&gt;=(12*(YEAR('Renovation Budget'!$F$29)-YEAR(Assumptions!$F$11))+(MONTH('Renovation Budget'!$F$29)-MONTH(Assumptions!$F$11))),BP$11&lt;=((12*(YEAR('Renovation Budget'!$F$29)-YEAR(Assumptions!$F$11))+(MONTH('Renovation Budget'!$F$29)-MONTH(Assumptions!$F$11)))+'Renovation Budget'!$G$29-1)),-'Renovation Budget'!$C$29/'Renovation Budget'!$G$29,0)</f>
        <v/>
      </c>
      <c r="BQ98" s="228">
        <f>IF(AND(BQ$11&gt;=(12*(YEAR('Renovation Budget'!$F$29)-YEAR(Assumptions!$F$11))+(MONTH('Renovation Budget'!$F$29)-MONTH(Assumptions!$F$11))),BQ$11&lt;=((12*(YEAR('Renovation Budget'!$F$29)-YEAR(Assumptions!$F$11))+(MONTH('Renovation Budget'!$F$29)-MONTH(Assumptions!$F$11)))+'Renovation Budget'!$G$29-1)),-'Renovation Budget'!$C$29/'Renovation Budget'!$G$29,0)</f>
        <v/>
      </c>
      <c r="BR98" s="228">
        <f>IF(AND(BR$11&gt;=(12*(YEAR('Renovation Budget'!$F$29)-YEAR(Assumptions!$F$11))+(MONTH('Renovation Budget'!$F$29)-MONTH(Assumptions!$F$11))),BR$11&lt;=((12*(YEAR('Renovation Budget'!$F$29)-YEAR(Assumptions!$F$11))+(MONTH('Renovation Budget'!$F$29)-MONTH(Assumptions!$F$11)))+'Renovation Budget'!$G$29-1)),-'Renovation Budget'!$C$29/'Renovation Budget'!$G$29,0)</f>
        <v/>
      </c>
      <c r="BS98" s="228">
        <f>IF(AND(BS$11&gt;=(12*(YEAR('Renovation Budget'!$F$29)-YEAR(Assumptions!$F$11))+(MONTH('Renovation Budget'!$F$29)-MONTH(Assumptions!$F$11))),BS$11&lt;=((12*(YEAR('Renovation Budget'!$F$29)-YEAR(Assumptions!$F$11))+(MONTH('Renovation Budget'!$F$29)-MONTH(Assumptions!$F$11)))+'Renovation Budget'!$G$29-1)),-'Renovation Budget'!$C$29/'Renovation Budget'!$G$29,0)</f>
        <v/>
      </c>
      <c r="BT98" s="228">
        <f>IF(AND(BT$11&gt;=(12*(YEAR('Renovation Budget'!$F$29)-YEAR(Assumptions!$F$11))+(MONTH('Renovation Budget'!$F$29)-MONTH(Assumptions!$F$11))),BT$11&lt;=((12*(YEAR('Renovation Budget'!$F$29)-YEAR(Assumptions!$F$11))+(MONTH('Renovation Budget'!$F$29)-MONTH(Assumptions!$F$11)))+'Renovation Budget'!$G$29-1)),-'Renovation Budget'!$C$29/'Renovation Budget'!$G$29,0)</f>
        <v/>
      </c>
      <c r="BU98" s="228">
        <f>IF(AND(BU$11&gt;=(12*(YEAR('Renovation Budget'!$F$29)-YEAR(Assumptions!$F$11))+(MONTH('Renovation Budget'!$F$29)-MONTH(Assumptions!$F$11))),BU$11&lt;=((12*(YEAR('Renovation Budget'!$F$29)-YEAR(Assumptions!$F$11))+(MONTH('Renovation Budget'!$F$29)-MONTH(Assumptions!$F$11)))+'Renovation Budget'!$G$29-1)),-'Renovation Budget'!$C$29/'Renovation Budget'!$G$29,0)</f>
        <v/>
      </c>
      <c r="BV98" s="228">
        <f>IF(AND(BV$11&gt;=(12*(YEAR('Renovation Budget'!$F$29)-YEAR(Assumptions!$F$11))+(MONTH('Renovation Budget'!$F$29)-MONTH(Assumptions!$F$11))),BV$11&lt;=((12*(YEAR('Renovation Budget'!$F$29)-YEAR(Assumptions!$F$11))+(MONTH('Renovation Budget'!$F$29)-MONTH(Assumptions!$F$11)))+'Renovation Budget'!$G$29-1)),-'Renovation Budget'!$C$29/'Renovation Budget'!$G$29,0)</f>
        <v/>
      </c>
      <c r="BW98" s="228">
        <f>IF(AND(BW$11&gt;=(12*(YEAR('Renovation Budget'!$F$29)-YEAR(Assumptions!$F$11))+(MONTH('Renovation Budget'!$F$29)-MONTH(Assumptions!$F$11))),BW$11&lt;=((12*(YEAR('Renovation Budget'!$F$29)-YEAR(Assumptions!$F$11))+(MONTH('Renovation Budget'!$F$29)-MONTH(Assumptions!$F$11)))+'Renovation Budget'!$G$29-1)),-'Renovation Budget'!$C$29/'Renovation Budget'!$G$29,0)</f>
        <v/>
      </c>
      <c r="BX98" s="228">
        <f>IF(AND(BX$11&gt;=(12*(YEAR('Renovation Budget'!$F$29)-YEAR(Assumptions!$F$11))+(MONTH('Renovation Budget'!$F$29)-MONTH(Assumptions!$F$11))),BX$11&lt;=((12*(YEAR('Renovation Budget'!$F$29)-YEAR(Assumptions!$F$11))+(MONTH('Renovation Budget'!$F$29)-MONTH(Assumptions!$F$11)))+'Renovation Budget'!$G$29-1)),-'Renovation Budget'!$C$29/'Renovation Budget'!$G$29,0)</f>
        <v/>
      </c>
      <c r="BY98" s="228">
        <f>IF(AND(BY$11&gt;=(12*(YEAR('Renovation Budget'!$F$29)-YEAR(Assumptions!$F$11))+(MONTH('Renovation Budget'!$F$29)-MONTH(Assumptions!$F$11))),BY$11&lt;=((12*(YEAR('Renovation Budget'!$F$29)-YEAR(Assumptions!$F$11))+(MONTH('Renovation Budget'!$F$29)-MONTH(Assumptions!$F$11)))+'Renovation Budget'!$G$29-1)),-'Renovation Budget'!$C$29/'Renovation Budget'!$G$29,0)</f>
        <v/>
      </c>
      <c r="BZ98" s="228">
        <f>IF(AND(BZ$11&gt;=(12*(YEAR('Renovation Budget'!$F$29)-YEAR(Assumptions!$F$11))+(MONTH('Renovation Budget'!$F$29)-MONTH(Assumptions!$F$11))),BZ$11&lt;=((12*(YEAR('Renovation Budget'!$F$29)-YEAR(Assumptions!$F$11))+(MONTH('Renovation Budget'!$F$29)-MONTH(Assumptions!$F$11)))+'Renovation Budget'!$G$29-1)),-'Renovation Budget'!$C$29/'Renovation Budget'!$G$29,0)</f>
        <v/>
      </c>
      <c r="CA98" s="228">
        <f>IF(AND(CA$11&gt;=(12*(YEAR('Renovation Budget'!$F$29)-YEAR(Assumptions!$F$11))+(MONTH('Renovation Budget'!$F$29)-MONTH(Assumptions!$F$11))),CA$11&lt;=((12*(YEAR('Renovation Budget'!$F$29)-YEAR(Assumptions!$F$11))+(MONTH('Renovation Budget'!$F$29)-MONTH(Assumptions!$F$11)))+'Renovation Budget'!$G$29-1)),-'Renovation Budget'!$C$29/'Renovation Budget'!$G$29,0)</f>
        <v/>
      </c>
      <c r="CB98" s="228">
        <f>IF(AND(CB$11&gt;=(12*(YEAR('Renovation Budget'!$F$29)-YEAR(Assumptions!$F$11))+(MONTH('Renovation Budget'!$F$29)-MONTH(Assumptions!$F$11))),CB$11&lt;=((12*(YEAR('Renovation Budget'!$F$29)-YEAR(Assumptions!$F$11))+(MONTH('Renovation Budget'!$F$29)-MONTH(Assumptions!$F$11)))+'Renovation Budget'!$G$29-1)),-'Renovation Budget'!$C$29/'Renovation Budget'!$G$29,0)</f>
        <v/>
      </c>
      <c r="CC98" s="228">
        <f>IF(AND(CC$11&gt;=(12*(YEAR('Renovation Budget'!$F$29)-YEAR(Assumptions!$F$11))+(MONTH('Renovation Budget'!$F$29)-MONTH(Assumptions!$F$11))),CC$11&lt;=((12*(YEAR('Renovation Budget'!$F$29)-YEAR(Assumptions!$F$11))+(MONTH('Renovation Budget'!$F$29)-MONTH(Assumptions!$F$11)))+'Renovation Budget'!$G$29-1)),-'Renovation Budget'!$C$29/'Renovation Budget'!$G$29,0)</f>
        <v/>
      </c>
      <c r="CD98" s="228">
        <f>IF(AND(CD$11&gt;=(12*(YEAR('Renovation Budget'!$F$29)-YEAR(Assumptions!$F$11))+(MONTH('Renovation Budget'!$F$29)-MONTH(Assumptions!$F$11))),CD$11&lt;=((12*(YEAR('Renovation Budget'!$F$29)-YEAR(Assumptions!$F$11))+(MONTH('Renovation Budget'!$F$29)-MONTH(Assumptions!$F$11)))+'Renovation Budget'!$G$29-1)),-'Renovation Budget'!$C$29/'Renovation Budget'!$G$29,0)</f>
        <v/>
      </c>
      <c r="CE98" s="228">
        <f>IF(AND(CE$11&gt;=(12*(YEAR('Renovation Budget'!$F$29)-YEAR(Assumptions!$F$11))+(MONTH('Renovation Budget'!$F$29)-MONTH(Assumptions!$F$11))),CE$11&lt;=((12*(YEAR('Renovation Budget'!$F$29)-YEAR(Assumptions!$F$11))+(MONTH('Renovation Budget'!$F$29)-MONTH(Assumptions!$F$11)))+'Renovation Budget'!$G$29-1)),-'Renovation Budget'!$C$29/'Renovation Budget'!$G$29,0)</f>
        <v/>
      </c>
      <c r="CF98" s="228">
        <f>IF(AND(CF$11&gt;=(12*(YEAR('Renovation Budget'!$F$29)-YEAR(Assumptions!$F$11))+(MONTH('Renovation Budget'!$F$29)-MONTH(Assumptions!$F$11))),CF$11&lt;=((12*(YEAR('Renovation Budget'!$F$29)-YEAR(Assumptions!$F$11))+(MONTH('Renovation Budget'!$F$29)-MONTH(Assumptions!$F$11)))+'Renovation Budget'!$G$29-1)),-'Renovation Budget'!$C$29/'Renovation Budget'!$G$29,0)</f>
        <v/>
      </c>
      <c r="CG98" s="228">
        <f>IF(AND(CG$11&gt;=(12*(YEAR('Renovation Budget'!$F$29)-YEAR(Assumptions!$F$11))+(MONTH('Renovation Budget'!$F$29)-MONTH(Assumptions!$F$11))),CG$11&lt;=((12*(YEAR('Renovation Budget'!$F$29)-YEAR(Assumptions!$F$11))+(MONTH('Renovation Budget'!$F$29)-MONTH(Assumptions!$F$11)))+'Renovation Budget'!$G$29-1)),-'Renovation Budget'!$C$29/'Renovation Budget'!$G$29,0)</f>
        <v/>
      </c>
      <c r="CH98" s="228">
        <f>IF(AND(CH$11&gt;=(12*(YEAR('Renovation Budget'!$F$29)-YEAR(Assumptions!$F$11))+(MONTH('Renovation Budget'!$F$29)-MONTH(Assumptions!$F$11))),CH$11&lt;=((12*(YEAR('Renovation Budget'!$F$29)-YEAR(Assumptions!$F$11))+(MONTH('Renovation Budget'!$F$29)-MONTH(Assumptions!$F$11)))+'Renovation Budget'!$G$29-1)),-'Renovation Budget'!$C$29/'Renovation Budget'!$G$29,0)</f>
        <v/>
      </c>
      <c r="CI98" s="228">
        <f>IF(AND(CI$11&gt;=(12*(YEAR('Renovation Budget'!$F$29)-YEAR(Assumptions!$F$11))+(MONTH('Renovation Budget'!$F$29)-MONTH(Assumptions!$F$11))),CI$11&lt;=((12*(YEAR('Renovation Budget'!$F$29)-YEAR(Assumptions!$F$11))+(MONTH('Renovation Budget'!$F$29)-MONTH(Assumptions!$F$11)))+'Renovation Budget'!$G$29-1)),-'Renovation Budget'!$C$29/'Renovation Budget'!$G$29,0)</f>
        <v/>
      </c>
      <c r="CJ98" s="228">
        <f>IF(AND(CJ$11&gt;=(12*(YEAR('Renovation Budget'!$F$29)-YEAR(Assumptions!$F$11))+(MONTH('Renovation Budget'!$F$29)-MONTH(Assumptions!$F$11))),CJ$11&lt;=((12*(YEAR('Renovation Budget'!$F$29)-YEAR(Assumptions!$F$11))+(MONTH('Renovation Budget'!$F$29)-MONTH(Assumptions!$F$11)))+'Renovation Budget'!$G$29-1)),-'Renovation Budget'!$C$29/'Renovation Budget'!$G$29,0)</f>
        <v/>
      </c>
      <c r="CK98" s="228">
        <f>IF(AND(CK$11&gt;=(12*(YEAR('Renovation Budget'!$F$29)-YEAR(Assumptions!$F$11))+(MONTH('Renovation Budget'!$F$29)-MONTH(Assumptions!$F$11))),CK$11&lt;=((12*(YEAR('Renovation Budget'!$F$29)-YEAR(Assumptions!$F$11))+(MONTH('Renovation Budget'!$F$29)-MONTH(Assumptions!$F$11)))+'Renovation Budget'!$G$29-1)),-'Renovation Budget'!$C$29/'Renovation Budget'!$G$29,0)</f>
        <v/>
      </c>
      <c r="CL98" s="228">
        <f>IF(AND(CL$11&gt;=(12*(YEAR('Renovation Budget'!$F$29)-YEAR(Assumptions!$F$11))+(MONTH('Renovation Budget'!$F$29)-MONTH(Assumptions!$F$11))),CL$11&lt;=((12*(YEAR('Renovation Budget'!$F$29)-YEAR(Assumptions!$F$11))+(MONTH('Renovation Budget'!$F$29)-MONTH(Assumptions!$F$11)))+'Renovation Budget'!$G$29-1)),-'Renovation Budget'!$C$29/'Renovation Budget'!$G$29,0)</f>
        <v/>
      </c>
      <c r="CM98" s="228">
        <f>IF(AND(CM$11&gt;=(12*(YEAR('Renovation Budget'!$F$29)-YEAR(Assumptions!$F$11))+(MONTH('Renovation Budget'!$F$29)-MONTH(Assumptions!$F$11))),CM$11&lt;=((12*(YEAR('Renovation Budget'!$F$29)-YEAR(Assumptions!$F$11))+(MONTH('Renovation Budget'!$F$29)-MONTH(Assumptions!$F$11)))+'Renovation Budget'!$G$29-1)),-'Renovation Budget'!$C$29/'Renovation Budget'!$G$29,0)</f>
        <v/>
      </c>
      <c r="CN98" s="228">
        <f>IF(AND(CN$11&gt;=(12*(YEAR('Renovation Budget'!$F$29)-YEAR(Assumptions!$F$11))+(MONTH('Renovation Budget'!$F$29)-MONTH(Assumptions!$F$11))),CN$11&lt;=((12*(YEAR('Renovation Budget'!$F$29)-YEAR(Assumptions!$F$11))+(MONTH('Renovation Budget'!$F$29)-MONTH(Assumptions!$F$11)))+'Renovation Budget'!$G$29-1)),-'Renovation Budget'!$C$29/'Renovation Budget'!$G$29,0)</f>
        <v/>
      </c>
      <c r="CO98" s="228">
        <f>IF(AND(CO$11&gt;=(12*(YEAR('Renovation Budget'!$F$29)-YEAR(Assumptions!$F$11))+(MONTH('Renovation Budget'!$F$29)-MONTH(Assumptions!$F$11))),CO$11&lt;=((12*(YEAR('Renovation Budget'!$F$29)-YEAR(Assumptions!$F$11))+(MONTH('Renovation Budget'!$F$29)-MONTH(Assumptions!$F$11)))+'Renovation Budget'!$G$29-1)),-'Renovation Budget'!$C$29/'Renovation Budget'!$G$29,0)</f>
        <v/>
      </c>
      <c r="CP98" s="228">
        <f>IF(AND(CP$11&gt;=(12*(YEAR('Renovation Budget'!$F$29)-YEAR(Assumptions!$F$11))+(MONTH('Renovation Budget'!$F$29)-MONTH(Assumptions!$F$11))),CP$11&lt;=((12*(YEAR('Renovation Budget'!$F$29)-YEAR(Assumptions!$F$11))+(MONTH('Renovation Budget'!$F$29)-MONTH(Assumptions!$F$11)))+'Renovation Budget'!$G$29-1)),-'Renovation Budget'!$C$29/'Renovation Budget'!$G$29,0)</f>
        <v/>
      </c>
      <c r="CQ98" s="228">
        <f>IF(AND(CQ$11&gt;=(12*(YEAR('Renovation Budget'!$F$29)-YEAR(Assumptions!$F$11))+(MONTH('Renovation Budget'!$F$29)-MONTH(Assumptions!$F$11))),CQ$11&lt;=((12*(YEAR('Renovation Budget'!$F$29)-YEAR(Assumptions!$F$11))+(MONTH('Renovation Budget'!$F$29)-MONTH(Assumptions!$F$11)))+'Renovation Budget'!$G$29-1)),-'Renovation Budget'!$C$29/'Renovation Budget'!$G$29,0)</f>
        <v/>
      </c>
      <c r="CR98" s="228">
        <f>IF(AND(CR$11&gt;=(12*(YEAR('Renovation Budget'!$F$29)-YEAR(Assumptions!$F$11))+(MONTH('Renovation Budget'!$F$29)-MONTH(Assumptions!$F$11))),CR$11&lt;=((12*(YEAR('Renovation Budget'!$F$29)-YEAR(Assumptions!$F$11))+(MONTH('Renovation Budget'!$F$29)-MONTH(Assumptions!$F$11)))+'Renovation Budget'!$G$29-1)),-'Renovation Budget'!$C$29/'Renovation Budget'!$G$29,0)</f>
        <v/>
      </c>
      <c r="CS98" s="228">
        <f>IF(AND(CS$11&gt;=(12*(YEAR('Renovation Budget'!$F$29)-YEAR(Assumptions!$F$11))+(MONTH('Renovation Budget'!$F$29)-MONTH(Assumptions!$F$11))),CS$11&lt;=((12*(YEAR('Renovation Budget'!$F$29)-YEAR(Assumptions!$F$11))+(MONTH('Renovation Budget'!$F$29)-MONTH(Assumptions!$F$11)))+'Renovation Budget'!$G$29-1)),-'Renovation Budget'!$C$29/'Renovation Budget'!$G$29,0)</f>
        <v/>
      </c>
      <c r="CT98" s="228">
        <f>IF(AND(CT$11&gt;=(12*(YEAR('Renovation Budget'!$F$29)-YEAR(Assumptions!$F$11))+(MONTH('Renovation Budget'!$F$29)-MONTH(Assumptions!$F$11))),CT$11&lt;=((12*(YEAR('Renovation Budget'!$F$29)-YEAR(Assumptions!$F$11))+(MONTH('Renovation Budget'!$F$29)-MONTH(Assumptions!$F$11)))+'Renovation Budget'!$G$29-1)),-'Renovation Budget'!$C$29/'Renovation Budget'!$G$29,0)</f>
        <v/>
      </c>
      <c r="CU98" s="228">
        <f>IF(AND(CU$11&gt;=(12*(YEAR('Renovation Budget'!$F$29)-YEAR(Assumptions!$F$11))+(MONTH('Renovation Budget'!$F$29)-MONTH(Assumptions!$F$11))),CU$11&lt;=((12*(YEAR('Renovation Budget'!$F$29)-YEAR(Assumptions!$F$11))+(MONTH('Renovation Budget'!$F$29)-MONTH(Assumptions!$F$11)))+'Renovation Budget'!$G$29-1)),-'Renovation Budget'!$C$29/'Renovation Budget'!$G$29,0)</f>
        <v/>
      </c>
      <c r="CV98" s="228">
        <f>IF(AND(CV$11&gt;=(12*(YEAR('Renovation Budget'!$F$29)-YEAR(Assumptions!$F$11))+(MONTH('Renovation Budget'!$F$29)-MONTH(Assumptions!$F$11))),CV$11&lt;=((12*(YEAR('Renovation Budget'!$F$29)-YEAR(Assumptions!$F$11))+(MONTH('Renovation Budget'!$F$29)-MONTH(Assumptions!$F$11)))+'Renovation Budget'!$G$29-1)),-'Renovation Budget'!$C$29/'Renovation Budget'!$G$29,0)</f>
        <v/>
      </c>
      <c r="CW98" s="228">
        <f>IF(AND(CW$11&gt;=(12*(YEAR('Renovation Budget'!$F$29)-YEAR(Assumptions!$F$11))+(MONTH('Renovation Budget'!$F$29)-MONTH(Assumptions!$F$11))),CW$11&lt;=((12*(YEAR('Renovation Budget'!$F$29)-YEAR(Assumptions!$F$11))+(MONTH('Renovation Budget'!$F$29)-MONTH(Assumptions!$F$11)))+'Renovation Budget'!$G$29-1)),-'Renovation Budget'!$C$29/'Renovation Budget'!$G$29,0)</f>
        <v/>
      </c>
      <c r="CX98" s="228">
        <f>IF(AND(CX$11&gt;=(12*(YEAR('Renovation Budget'!$F$29)-YEAR(Assumptions!$F$11))+(MONTH('Renovation Budget'!$F$29)-MONTH(Assumptions!$F$11))),CX$11&lt;=((12*(YEAR('Renovation Budget'!$F$29)-YEAR(Assumptions!$F$11))+(MONTH('Renovation Budget'!$F$29)-MONTH(Assumptions!$F$11)))+'Renovation Budget'!$G$29-1)),-'Renovation Budget'!$C$29/'Renovation Budget'!$G$29,0)</f>
        <v/>
      </c>
      <c r="CY98" s="228">
        <f>IF(AND(CY$11&gt;=(12*(YEAR('Renovation Budget'!$F$29)-YEAR(Assumptions!$F$11))+(MONTH('Renovation Budget'!$F$29)-MONTH(Assumptions!$F$11))),CY$11&lt;=((12*(YEAR('Renovation Budget'!$F$29)-YEAR(Assumptions!$F$11))+(MONTH('Renovation Budget'!$F$29)-MONTH(Assumptions!$F$11)))+'Renovation Budget'!$G$29-1)),-'Renovation Budget'!$C$29/'Renovation Budget'!$G$29,0)</f>
        <v/>
      </c>
      <c r="CZ98" s="228">
        <f>IF(AND(CZ$11&gt;=(12*(YEAR('Renovation Budget'!$F$29)-YEAR(Assumptions!$F$11))+(MONTH('Renovation Budget'!$F$29)-MONTH(Assumptions!$F$11))),CZ$11&lt;=((12*(YEAR('Renovation Budget'!$F$29)-YEAR(Assumptions!$F$11))+(MONTH('Renovation Budget'!$F$29)-MONTH(Assumptions!$F$11)))+'Renovation Budget'!$G$29-1)),-'Renovation Budget'!$C$29/'Renovation Budget'!$G$29,0)</f>
        <v/>
      </c>
      <c r="DA98" s="228">
        <f>IF(AND(DA$11&gt;=(12*(YEAR('Renovation Budget'!$F$29)-YEAR(Assumptions!$F$11))+(MONTH('Renovation Budget'!$F$29)-MONTH(Assumptions!$F$11))),DA$11&lt;=((12*(YEAR('Renovation Budget'!$F$29)-YEAR(Assumptions!$F$11))+(MONTH('Renovation Budget'!$F$29)-MONTH(Assumptions!$F$11)))+'Renovation Budget'!$G$29-1)),-'Renovation Budget'!$C$29/'Renovation Budget'!$G$29,0)</f>
        <v/>
      </c>
      <c r="DB98" s="228">
        <f>IF(AND(DB$11&gt;=(12*(YEAR('Renovation Budget'!$F$29)-YEAR(Assumptions!$F$11))+(MONTH('Renovation Budget'!$F$29)-MONTH(Assumptions!$F$11))),DB$11&lt;=((12*(YEAR('Renovation Budget'!$F$29)-YEAR(Assumptions!$F$11))+(MONTH('Renovation Budget'!$F$29)-MONTH(Assumptions!$F$11)))+'Renovation Budget'!$G$29-1)),-'Renovation Budget'!$C$29/'Renovation Budget'!$G$29,0)</f>
        <v/>
      </c>
      <c r="DC98" s="228">
        <f>IF(AND(DC$11&gt;=(12*(YEAR('Renovation Budget'!$F$29)-YEAR(Assumptions!$F$11))+(MONTH('Renovation Budget'!$F$29)-MONTH(Assumptions!$F$11))),DC$11&lt;=((12*(YEAR('Renovation Budget'!$F$29)-YEAR(Assumptions!$F$11))+(MONTH('Renovation Budget'!$F$29)-MONTH(Assumptions!$F$11)))+'Renovation Budget'!$G$29-1)),-'Renovation Budget'!$C$29/'Renovation Budget'!$G$29,0)</f>
        <v/>
      </c>
      <c r="DD98" s="228">
        <f>IF(AND(DD$11&gt;=(12*(YEAR('Renovation Budget'!$F$29)-YEAR(Assumptions!$F$11))+(MONTH('Renovation Budget'!$F$29)-MONTH(Assumptions!$F$11))),DD$11&lt;=((12*(YEAR('Renovation Budget'!$F$29)-YEAR(Assumptions!$F$11))+(MONTH('Renovation Budget'!$F$29)-MONTH(Assumptions!$F$11)))+'Renovation Budget'!$G$29-1)),-'Renovation Budget'!$C$29/'Renovation Budget'!$G$29,0)</f>
        <v/>
      </c>
      <c r="DE98" s="228">
        <f>IF(AND(DE$11&gt;=(12*(YEAR('Renovation Budget'!$F$29)-YEAR(Assumptions!$F$11))+(MONTH('Renovation Budget'!$F$29)-MONTH(Assumptions!$F$11))),DE$11&lt;=((12*(YEAR('Renovation Budget'!$F$29)-YEAR(Assumptions!$F$11))+(MONTH('Renovation Budget'!$F$29)-MONTH(Assumptions!$F$11)))+'Renovation Budget'!$G$29-1)),-'Renovation Budget'!$C$29/'Renovation Budget'!$G$29,0)</f>
        <v/>
      </c>
      <c r="DF98" s="228">
        <f>IF(AND(DF$11&gt;=(12*(YEAR('Renovation Budget'!$F$29)-YEAR(Assumptions!$F$11))+(MONTH('Renovation Budget'!$F$29)-MONTH(Assumptions!$F$11))),DF$11&lt;=((12*(YEAR('Renovation Budget'!$F$29)-YEAR(Assumptions!$F$11))+(MONTH('Renovation Budget'!$F$29)-MONTH(Assumptions!$F$11)))+'Renovation Budget'!$G$29-1)),-'Renovation Budget'!$C$29/'Renovation Budget'!$G$29,0)</f>
        <v/>
      </c>
      <c r="DG98" s="228">
        <f>IF(AND(DG$11&gt;=(12*(YEAR('Renovation Budget'!$F$29)-YEAR(Assumptions!$F$11))+(MONTH('Renovation Budget'!$F$29)-MONTH(Assumptions!$F$11))),DG$11&lt;=((12*(YEAR('Renovation Budget'!$F$29)-YEAR(Assumptions!$F$11))+(MONTH('Renovation Budget'!$F$29)-MONTH(Assumptions!$F$11)))+'Renovation Budget'!$G$29-1)),-'Renovation Budget'!$C$29/'Renovation Budget'!$G$29,0)</f>
        <v/>
      </c>
      <c r="DH98" s="228">
        <f>IF(AND(DH$11&gt;=(12*(YEAR('Renovation Budget'!$F$29)-YEAR(Assumptions!$F$11))+(MONTH('Renovation Budget'!$F$29)-MONTH(Assumptions!$F$11))),DH$11&lt;=((12*(YEAR('Renovation Budget'!$F$29)-YEAR(Assumptions!$F$11))+(MONTH('Renovation Budget'!$F$29)-MONTH(Assumptions!$F$11)))+'Renovation Budget'!$G$29-1)),-'Renovation Budget'!$C$29/'Renovation Budget'!$G$29,0)</f>
        <v/>
      </c>
      <c r="DI98" s="228">
        <f>IF(AND(DI$11&gt;=(12*(YEAR('Renovation Budget'!$F$29)-YEAR(Assumptions!$F$11))+(MONTH('Renovation Budget'!$F$29)-MONTH(Assumptions!$F$11))),DI$11&lt;=((12*(YEAR('Renovation Budget'!$F$29)-YEAR(Assumptions!$F$11))+(MONTH('Renovation Budget'!$F$29)-MONTH(Assumptions!$F$11)))+'Renovation Budget'!$G$29-1)),-'Renovation Budget'!$C$29/'Renovation Budget'!$G$29,0)</f>
        <v/>
      </c>
      <c r="DJ98" s="228">
        <f>IF(AND(DJ$11&gt;=(12*(YEAR('Renovation Budget'!$F$29)-YEAR(Assumptions!$F$11))+(MONTH('Renovation Budget'!$F$29)-MONTH(Assumptions!$F$11))),DJ$11&lt;=((12*(YEAR('Renovation Budget'!$F$29)-YEAR(Assumptions!$F$11))+(MONTH('Renovation Budget'!$F$29)-MONTH(Assumptions!$F$11)))+'Renovation Budget'!$G$29-1)),-'Renovation Budget'!$C$29/'Renovation Budget'!$G$29,0)</f>
        <v/>
      </c>
      <c r="DK98" s="228">
        <f>IF(AND(DK$11&gt;=(12*(YEAR('Renovation Budget'!$F$29)-YEAR(Assumptions!$F$11))+(MONTH('Renovation Budget'!$F$29)-MONTH(Assumptions!$F$11))),DK$11&lt;=((12*(YEAR('Renovation Budget'!$F$29)-YEAR(Assumptions!$F$11))+(MONTH('Renovation Budget'!$F$29)-MONTH(Assumptions!$F$11)))+'Renovation Budget'!$G$29-1)),-'Renovation Budget'!$C$29/'Renovation Budget'!$G$29,0)</f>
        <v/>
      </c>
      <c r="DL98" s="228">
        <f>IF(AND(DL$11&gt;=(12*(YEAR('Renovation Budget'!$F$29)-YEAR(Assumptions!$F$11))+(MONTH('Renovation Budget'!$F$29)-MONTH(Assumptions!$F$11))),DL$11&lt;=((12*(YEAR('Renovation Budget'!$F$29)-YEAR(Assumptions!$F$11))+(MONTH('Renovation Budget'!$F$29)-MONTH(Assumptions!$F$11)))+'Renovation Budget'!$G$29-1)),-'Renovation Budget'!$C$29/'Renovation Budget'!$G$29,0)</f>
        <v/>
      </c>
      <c r="DM98" s="228">
        <f>IF(AND(DM$11&gt;=(12*(YEAR('Renovation Budget'!$F$29)-YEAR(Assumptions!$F$11))+(MONTH('Renovation Budget'!$F$29)-MONTH(Assumptions!$F$11))),DM$11&lt;=((12*(YEAR('Renovation Budget'!$F$29)-YEAR(Assumptions!$F$11))+(MONTH('Renovation Budget'!$F$29)-MONTH(Assumptions!$F$11)))+'Renovation Budget'!$G$29-1)),-'Renovation Budget'!$C$29/'Renovation Budget'!$G$29,0)</f>
        <v/>
      </c>
      <c r="DN98" s="228">
        <f>IF(AND(DN$11&gt;=(12*(YEAR('Renovation Budget'!$F$29)-YEAR(Assumptions!$F$11))+(MONTH('Renovation Budget'!$F$29)-MONTH(Assumptions!$F$11))),DN$11&lt;=((12*(YEAR('Renovation Budget'!$F$29)-YEAR(Assumptions!$F$11))+(MONTH('Renovation Budget'!$F$29)-MONTH(Assumptions!$F$11)))+'Renovation Budget'!$G$29-1)),-'Renovation Budget'!$C$29/'Renovation Budget'!$G$29,0)</f>
        <v/>
      </c>
      <c r="DO98" s="228">
        <f>IF(AND(DO$11&gt;=(12*(YEAR('Renovation Budget'!$F$29)-YEAR(Assumptions!$F$11))+(MONTH('Renovation Budget'!$F$29)-MONTH(Assumptions!$F$11))),DO$11&lt;=((12*(YEAR('Renovation Budget'!$F$29)-YEAR(Assumptions!$F$11))+(MONTH('Renovation Budget'!$F$29)-MONTH(Assumptions!$F$11)))+'Renovation Budget'!$G$29-1)),-'Renovation Budget'!$C$29/'Renovation Budget'!$G$29,0)</f>
        <v/>
      </c>
      <c r="DP98" s="228">
        <f>IF(AND(DP$11&gt;=(12*(YEAR('Renovation Budget'!$F$29)-YEAR(Assumptions!$F$11))+(MONTH('Renovation Budget'!$F$29)-MONTH(Assumptions!$F$11))),DP$11&lt;=((12*(YEAR('Renovation Budget'!$F$29)-YEAR(Assumptions!$F$11))+(MONTH('Renovation Budget'!$F$29)-MONTH(Assumptions!$F$11)))+'Renovation Budget'!$G$29-1)),-'Renovation Budget'!$C$29/'Renovation Budget'!$G$29,0)</f>
        <v/>
      </c>
      <c r="DQ98" s="228">
        <f>IF(AND(DQ$11&gt;=(12*(YEAR('Renovation Budget'!$F$29)-YEAR(Assumptions!$F$11))+(MONTH('Renovation Budget'!$F$29)-MONTH(Assumptions!$F$11))),DQ$11&lt;=((12*(YEAR('Renovation Budget'!$F$29)-YEAR(Assumptions!$F$11))+(MONTH('Renovation Budget'!$F$29)-MONTH(Assumptions!$F$11)))+'Renovation Budget'!$G$29-1)),-'Renovation Budget'!$C$29/'Renovation Budget'!$G$29,0)</f>
        <v/>
      </c>
      <c r="DR98" s="228">
        <f>IF(AND(DR$11&gt;=(12*(YEAR('Renovation Budget'!$F$29)-YEAR(Assumptions!$F$11))+(MONTH('Renovation Budget'!$F$29)-MONTH(Assumptions!$F$11))),DR$11&lt;=((12*(YEAR('Renovation Budget'!$F$29)-YEAR(Assumptions!$F$11))+(MONTH('Renovation Budget'!$F$29)-MONTH(Assumptions!$F$11)))+'Renovation Budget'!$G$29-1)),-'Renovation Budget'!$C$29/'Renovation Budget'!$G$29,0)</f>
        <v/>
      </c>
      <c r="DS98" s="228">
        <f>IF(AND(DS$11&gt;=(12*(YEAR('Renovation Budget'!$F$29)-YEAR(Assumptions!$F$11))+(MONTH('Renovation Budget'!$F$29)-MONTH(Assumptions!$F$11))),DS$11&lt;=((12*(YEAR('Renovation Budget'!$F$29)-YEAR(Assumptions!$F$11))+(MONTH('Renovation Budget'!$F$29)-MONTH(Assumptions!$F$11)))+'Renovation Budget'!$G$29-1)),-'Renovation Budget'!$C$29/'Renovation Budget'!$G$29,0)</f>
        <v/>
      </c>
      <c r="DT98" s="228">
        <f>IF(AND(DT$11&gt;=(12*(YEAR('Renovation Budget'!$F$29)-YEAR(Assumptions!$F$11))+(MONTH('Renovation Budget'!$F$29)-MONTH(Assumptions!$F$11))),DT$11&lt;=((12*(YEAR('Renovation Budget'!$F$29)-YEAR(Assumptions!$F$11))+(MONTH('Renovation Budget'!$F$29)-MONTH(Assumptions!$F$11)))+'Renovation Budget'!$G$29-1)),-'Renovation Budget'!$C$29/'Renovation Budget'!$G$29,0)</f>
        <v/>
      </c>
    </row>
    <row r="99" ht="15" customHeight="1" s="148">
      <c r="A99" s="112" t="inlineStr">
        <is>
          <t>Preliminary Soft Costs</t>
        </is>
      </c>
      <c r="C99" s="228">
        <f>SUM(D99:DT99)</f>
        <v/>
      </c>
      <c r="D99" s="228">
        <f>IF(AND(D$11&gt;=(12*(YEAR('Renovation Budget'!$F$30)-YEAR(Assumptions!$F$11))+(MONTH('Renovation Budget'!$F$30)-MONTH(Assumptions!$F$11))),D$11&lt;=((12*(YEAR('Renovation Budget'!$F$30)-YEAR(Assumptions!$F$11))+(MONTH('Renovation Budget'!$F$30)-MONTH(Assumptions!$F$11)))+'Renovation Budget'!$G$30-1)),-'Renovation Budget'!$C$30/'Renovation Budget'!$G$30,0)</f>
        <v/>
      </c>
      <c r="E99" s="228">
        <f>IF(AND(E$11&gt;=(12*(YEAR('Renovation Budget'!$F$30)-YEAR(Assumptions!$F$11))+(MONTH('Renovation Budget'!$F$30)-MONTH(Assumptions!$F$11))),E$11&lt;=((12*(YEAR('Renovation Budget'!$F$30)-YEAR(Assumptions!$F$11))+(MONTH('Renovation Budget'!$F$30)-MONTH(Assumptions!$F$11)))+'Renovation Budget'!$G$30-1)),-'Renovation Budget'!$C$30/'Renovation Budget'!$G$30,0)</f>
        <v/>
      </c>
      <c r="F99" s="228">
        <f>IF(AND(F$11&gt;=(12*(YEAR('Renovation Budget'!$F$30)-YEAR(Assumptions!$F$11))+(MONTH('Renovation Budget'!$F$30)-MONTH(Assumptions!$F$11))),F$11&lt;=((12*(YEAR('Renovation Budget'!$F$30)-YEAR(Assumptions!$F$11))+(MONTH('Renovation Budget'!$F$30)-MONTH(Assumptions!$F$11)))+'Renovation Budget'!$G$30-1)),-'Renovation Budget'!$C$30/'Renovation Budget'!$G$30,0)</f>
        <v/>
      </c>
      <c r="G99" s="228">
        <f>IF(AND(G$11&gt;=(12*(YEAR('Renovation Budget'!$F$30)-YEAR(Assumptions!$F$11))+(MONTH('Renovation Budget'!$F$30)-MONTH(Assumptions!$F$11))),G$11&lt;=((12*(YEAR('Renovation Budget'!$F$30)-YEAR(Assumptions!$F$11))+(MONTH('Renovation Budget'!$F$30)-MONTH(Assumptions!$F$11)))+'Renovation Budget'!$G$30-1)),-'Renovation Budget'!$C$30/'Renovation Budget'!$G$30,0)</f>
        <v/>
      </c>
      <c r="H99" s="228">
        <f>IF(AND(H$11&gt;=(12*(YEAR('Renovation Budget'!$F$30)-YEAR(Assumptions!$F$11))+(MONTH('Renovation Budget'!$F$30)-MONTH(Assumptions!$F$11))),H$11&lt;=((12*(YEAR('Renovation Budget'!$F$30)-YEAR(Assumptions!$F$11))+(MONTH('Renovation Budget'!$F$30)-MONTH(Assumptions!$F$11)))+'Renovation Budget'!$G$30-1)),-'Renovation Budget'!$C$30/'Renovation Budget'!$G$30,0)</f>
        <v/>
      </c>
      <c r="I99" s="228">
        <f>IF(AND(I$11&gt;=(12*(YEAR('Renovation Budget'!$F$30)-YEAR(Assumptions!$F$11))+(MONTH('Renovation Budget'!$F$30)-MONTH(Assumptions!$F$11))),I$11&lt;=((12*(YEAR('Renovation Budget'!$F$30)-YEAR(Assumptions!$F$11))+(MONTH('Renovation Budget'!$F$30)-MONTH(Assumptions!$F$11)))+'Renovation Budget'!$G$30-1)),-'Renovation Budget'!$C$30/'Renovation Budget'!$G$30,0)</f>
        <v/>
      </c>
      <c r="J99" s="228">
        <f>IF(AND(J$11&gt;=(12*(YEAR('Renovation Budget'!$F$30)-YEAR(Assumptions!$F$11))+(MONTH('Renovation Budget'!$F$30)-MONTH(Assumptions!$F$11))),J$11&lt;=((12*(YEAR('Renovation Budget'!$F$30)-YEAR(Assumptions!$F$11))+(MONTH('Renovation Budget'!$F$30)-MONTH(Assumptions!$F$11)))+'Renovation Budget'!$G$30-1)),-'Renovation Budget'!$C$30/'Renovation Budget'!$G$30,0)</f>
        <v/>
      </c>
      <c r="K99" s="228">
        <f>IF(AND(K$11&gt;=(12*(YEAR('Renovation Budget'!$F$30)-YEAR(Assumptions!$F$11))+(MONTH('Renovation Budget'!$F$30)-MONTH(Assumptions!$F$11))),K$11&lt;=((12*(YEAR('Renovation Budget'!$F$30)-YEAR(Assumptions!$F$11))+(MONTH('Renovation Budget'!$F$30)-MONTH(Assumptions!$F$11)))+'Renovation Budget'!$G$30-1)),-'Renovation Budget'!$C$30/'Renovation Budget'!$G$30,0)</f>
        <v/>
      </c>
      <c r="L99" s="228">
        <f>IF(AND(L$11&gt;=(12*(YEAR('Renovation Budget'!$F$30)-YEAR(Assumptions!$F$11))+(MONTH('Renovation Budget'!$F$30)-MONTH(Assumptions!$F$11))),L$11&lt;=((12*(YEAR('Renovation Budget'!$F$30)-YEAR(Assumptions!$F$11))+(MONTH('Renovation Budget'!$F$30)-MONTH(Assumptions!$F$11)))+'Renovation Budget'!$G$30-1)),-'Renovation Budget'!$C$30/'Renovation Budget'!$G$30,0)</f>
        <v/>
      </c>
      <c r="M99" s="228">
        <f>IF(AND(M$11&gt;=(12*(YEAR('Renovation Budget'!$F$30)-YEAR(Assumptions!$F$11))+(MONTH('Renovation Budget'!$F$30)-MONTH(Assumptions!$F$11))),M$11&lt;=((12*(YEAR('Renovation Budget'!$F$30)-YEAR(Assumptions!$F$11))+(MONTH('Renovation Budget'!$F$30)-MONTH(Assumptions!$F$11)))+'Renovation Budget'!$G$30-1)),-'Renovation Budget'!$C$30/'Renovation Budget'!$G$30,0)</f>
        <v/>
      </c>
      <c r="N99" s="228">
        <f>IF(AND(N$11&gt;=(12*(YEAR('Renovation Budget'!$F$30)-YEAR(Assumptions!$F$11))+(MONTH('Renovation Budget'!$F$30)-MONTH(Assumptions!$F$11))),N$11&lt;=((12*(YEAR('Renovation Budget'!$F$30)-YEAR(Assumptions!$F$11))+(MONTH('Renovation Budget'!$F$30)-MONTH(Assumptions!$F$11)))+'Renovation Budget'!$G$30-1)),-'Renovation Budget'!$C$30/'Renovation Budget'!$G$30,0)</f>
        <v/>
      </c>
      <c r="O99" s="228">
        <f>IF(AND(O$11&gt;=(12*(YEAR('Renovation Budget'!$F$30)-YEAR(Assumptions!$F$11))+(MONTH('Renovation Budget'!$F$30)-MONTH(Assumptions!$F$11))),O$11&lt;=((12*(YEAR('Renovation Budget'!$F$30)-YEAR(Assumptions!$F$11))+(MONTH('Renovation Budget'!$F$30)-MONTH(Assumptions!$F$11)))+'Renovation Budget'!$G$30-1)),-'Renovation Budget'!$C$30/'Renovation Budget'!$G$30,0)</f>
        <v/>
      </c>
      <c r="P99" s="228">
        <f>IF(AND(P$11&gt;=(12*(YEAR('Renovation Budget'!$F$30)-YEAR(Assumptions!$F$11))+(MONTH('Renovation Budget'!$F$30)-MONTH(Assumptions!$F$11))),P$11&lt;=((12*(YEAR('Renovation Budget'!$F$30)-YEAR(Assumptions!$F$11))+(MONTH('Renovation Budget'!$F$30)-MONTH(Assumptions!$F$11)))+'Renovation Budget'!$G$30-1)),-'Renovation Budget'!$C$30/'Renovation Budget'!$G$30,0)</f>
        <v/>
      </c>
      <c r="Q99" s="228">
        <f>IF(AND(Q$11&gt;=(12*(YEAR('Renovation Budget'!$F$30)-YEAR(Assumptions!$F$11))+(MONTH('Renovation Budget'!$F$30)-MONTH(Assumptions!$F$11))),Q$11&lt;=((12*(YEAR('Renovation Budget'!$F$30)-YEAR(Assumptions!$F$11))+(MONTH('Renovation Budget'!$F$30)-MONTH(Assumptions!$F$11)))+'Renovation Budget'!$G$30-1)),-'Renovation Budget'!$C$30/'Renovation Budget'!$G$30,0)</f>
        <v/>
      </c>
      <c r="R99" s="228">
        <f>IF(AND(R$11&gt;=(12*(YEAR('Renovation Budget'!$F$30)-YEAR(Assumptions!$F$11))+(MONTH('Renovation Budget'!$F$30)-MONTH(Assumptions!$F$11))),R$11&lt;=((12*(YEAR('Renovation Budget'!$F$30)-YEAR(Assumptions!$F$11))+(MONTH('Renovation Budget'!$F$30)-MONTH(Assumptions!$F$11)))+'Renovation Budget'!$G$30-1)),-'Renovation Budget'!$C$30/'Renovation Budget'!$G$30,0)</f>
        <v/>
      </c>
      <c r="S99" s="228">
        <f>IF(AND(S$11&gt;=(12*(YEAR('Renovation Budget'!$F$30)-YEAR(Assumptions!$F$11))+(MONTH('Renovation Budget'!$F$30)-MONTH(Assumptions!$F$11))),S$11&lt;=((12*(YEAR('Renovation Budget'!$F$30)-YEAR(Assumptions!$F$11))+(MONTH('Renovation Budget'!$F$30)-MONTH(Assumptions!$F$11)))+'Renovation Budget'!$G$30-1)),-'Renovation Budget'!$C$30/'Renovation Budget'!$G$30,0)</f>
        <v/>
      </c>
      <c r="T99" s="228">
        <f>IF(AND(T$11&gt;=(12*(YEAR('Renovation Budget'!$F$30)-YEAR(Assumptions!$F$11))+(MONTH('Renovation Budget'!$F$30)-MONTH(Assumptions!$F$11))),T$11&lt;=((12*(YEAR('Renovation Budget'!$F$30)-YEAR(Assumptions!$F$11))+(MONTH('Renovation Budget'!$F$30)-MONTH(Assumptions!$F$11)))+'Renovation Budget'!$G$30-1)),-'Renovation Budget'!$C$30/'Renovation Budget'!$G$30,0)</f>
        <v/>
      </c>
      <c r="U99" s="228">
        <f>IF(AND(U$11&gt;=(12*(YEAR('Renovation Budget'!$F$30)-YEAR(Assumptions!$F$11))+(MONTH('Renovation Budget'!$F$30)-MONTH(Assumptions!$F$11))),U$11&lt;=((12*(YEAR('Renovation Budget'!$F$30)-YEAR(Assumptions!$F$11))+(MONTH('Renovation Budget'!$F$30)-MONTH(Assumptions!$F$11)))+'Renovation Budget'!$G$30-1)),-'Renovation Budget'!$C$30/'Renovation Budget'!$G$30,0)</f>
        <v/>
      </c>
      <c r="V99" s="228">
        <f>IF(AND(V$11&gt;=(12*(YEAR('Renovation Budget'!$F$30)-YEAR(Assumptions!$F$11))+(MONTH('Renovation Budget'!$F$30)-MONTH(Assumptions!$F$11))),V$11&lt;=((12*(YEAR('Renovation Budget'!$F$30)-YEAR(Assumptions!$F$11))+(MONTH('Renovation Budget'!$F$30)-MONTH(Assumptions!$F$11)))+'Renovation Budget'!$G$30-1)),-'Renovation Budget'!$C$30/'Renovation Budget'!$G$30,0)</f>
        <v/>
      </c>
      <c r="W99" s="228">
        <f>IF(AND(W$11&gt;=(12*(YEAR('Renovation Budget'!$F$30)-YEAR(Assumptions!$F$11))+(MONTH('Renovation Budget'!$F$30)-MONTH(Assumptions!$F$11))),W$11&lt;=((12*(YEAR('Renovation Budget'!$F$30)-YEAR(Assumptions!$F$11))+(MONTH('Renovation Budget'!$F$30)-MONTH(Assumptions!$F$11)))+'Renovation Budget'!$G$30-1)),-'Renovation Budget'!$C$30/'Renovation Budget'!$G$30,0)</f>
        <v/>
      </c>
      <c r="X99" s="228">
        <f>IF(AND(X$11&gt;=(12*(YEAR('Renovation Budget'!$F$30)-YEAR(Assumptions!$F$11))+(MONTH('Renovation Budget'!$F$30)-MONTH(Assumptions!$F$11))),X$11&lt;=((12*(YEAR('Renovation Budget'!$F$30)-YEAR(Assumptions!$F$11))+(MONTH('Renovation Budget'!$F$30)-MONTH(Assumptions!$F$11)))+'Renovation Budget'!$G$30-1)),-'Renovation Budget'!$C$30/'Renovation Budget'!$G$30,0)</f>
        <v/>
      </c>
      <c r="Y99" s="228">
        <f>IF(AND(Y$11&gt;=(12*(YEAR('Renovation Budget'!$F$30)-YEAR(Assumptions!$F$11))+(MONTH('Renovation Budget'!$F$30)-MONTH(Assumptions!$F$11))),Y$11&lt;=((12*(YEAR('Renovation Budget'!$F$30)-YEAR(Assumptions!$F$11))+(MONTH('Renovation Budget'!$F$30)-MONTH(Assumptions!$F$11)))+'Renovation Budget'!$G$30-1)),-'Renovation Budget'!$C$30/'Renovation Budget'!$G$30,0)</f>
        <v/>
      </c>
      <c r="Z99" s="228">
        <f>IF(AND(Z$11&gt;=(12*(YEAR('Renovation Budget'!$F$30)-YEAR(Assumptions!$F$11))+(MONTH('Renovation Budget'!$F$30)-MONTH(Assumptions!$F$11))),Z$11&lt;=((12*(YEAR('Renovation Budget'!$F$30)-YEAR(Assumptions!$F$11))+(MONTH('Renovation Budget'!$F$30)-MONTH(Assumptions!$F$11)))+'Renovation Budget'!$G$30-1)),-'Renovation Budget'!$C$30/'Renovation Budget'!$G$30,0)</f>
        <v/>
      </c>
      <c r="AA99" s="228">
        <f>IF(AND(AA$11&gt;=(12*(YEAR('Renovation Budget'!$F$30)-YEAR(Assumptions!$F$11))+(MONTH('Renovation Budget'!$F$30)-MONTH(Assumptions!$F$11))),AA$11&lt;=((12*(YEAR('Renovation Budget'!$F$30)-YEAR(Assumptions!$F$11))+(MONTH('Renovation Budget'!$F$30)-MONTH(Assumptions!$F$11)))+'Renovation Budget'!$G$30-1)),-'Renovation Budget'!$C$30/'Renovation Budget'!$G$30,0)</f>
        <v/>
      </c>
      <c r="AB99" s="228">
        <f>IF(AND(AB$11&gt;=(12*(YEAR('Renovation Budget'!$F$30)-YEAR(Assumptions!$F$11))+(MONTH('Renovation Budget'!$F$30)-MONTH(Assumptions!$F$11))),AB$11&lt;=((12*(YEAR('Renovation Budget'!$F$30)-YEAR(Assumptions!$F$11))+(MONTH('Renovation Budget'!$F$30)-MONTH(Assumptions!$F$11)))+'Renovation Budget'!$G$30-1)),-'Renovation Budget'!$C$30/'Renovation Budget'!$G$30,0)</f>
        <v/>
      </c>
      <c r="AC99" s="228">
        <f>IF(AND(AC$11&gt;=(12*(YEAR('Renovation Budget'!$F$30)-YEAR(Assumptions!$F$11))+(MONTH('Renovation Budget'!$F$30)-MONTH(Assumptions!$F$11))),AC$11&lt;=((12*(YEAR('Renovation Budget'!$F$30)-YEAR(Assumptions!$F$11))+(MONTH('Renovation Budget'!$F$30)-MONTH(Assumptions!$F$11)))+'Renovation Budget'!$G$30-1)),-'Renovation Budget'!$C$30/'Renovation Budget'!$G$30,0)</f>
        <v/>
      </c>
      <c r="AD99" s="228">
        <f>IF(AND(AD$11&gt;=(12*(YEAR('Renovation Budget'!$F$30)-YEAR(Assumptions!$F$11))+(MONTH('Renovation Budget'!$F$30)-MONTH(Assumptions!$F$11))),AD$11&lt;=((12*(YEAR('Renovation Budget'!$F$30)-YEAR(Assumptions!$F$11))+(MONTH('Renovation Budget'!$F$30)-MONTH(Assumptions!$F$11)))+'Renovation Budget'!$G$30-1)),-'Renovation Budget'!$C$30/'Renovation Budget'!$G$30,0)</f>
        <v/>
      </c>
      <c r="AE99" s="228">
        <f>IF(AND(AE$11&gt;=(12*(YEAR('Renovation Budget'!$F$30)-YEAR(Assumptions!$F$11))+(MONTH('Renovation Budget'!$F$30)-MONTH(Assumptions!$F$11))),AE$11&lt;=((12*(YEAR('Renovation Budget'!$F$30)-YEAR(Assumptions!$F$11))+(MONTH('Renovation Budget'!$F$30)-MONTH(Assumptions!$F$11)))+'Renovation Budget'!$G$30-1)),-'Renovation Budget'!$C$30/'Renovation Budget'!$G$30,0)</f>
        <v/>
      </c>
      <c r="AF99" s="228">
        <f>IF(AND(AF$11&gt;=(12*(YEAR('Renovation Budget'!$F$30)-YEAR(Assumptions!$F$11))+(MONTH('Renovation Budget'!$F$30)-MONTH(Assumptions!$F$11))),AF$11&lt;=((12*(YEAR('Renovation Budget'!$F$30)-YEAR(Assumptions!$F$11))+(MONTH('Renovation Budget'!$F$30)-MONTH(Assumptions!$F$11)))+'Renovation Budget'!$G$30-1)),-'Renovation Budget'!$C$30/'Renovation Budget'!$G$30,0)</f>
        <v/>
      </c>
      <c r="AG99" s="228">
        <f>IF(AND(AG$11&gt;=(12*(YEAR('Renovation Budget'!$F$30)-YEAR(Assumptions!$F$11))+(MONTH('Renovation Budget'!$F$30)-MONTH(Assumptions!$F$11))),AG$11&lt;=((12*(YEAR('Renovation Budget'!$F$30)-YEAR(Assumptions!$F$11))+(MONTH('Renovation Budget'!$F$30)-MONTH(Assumptions!$F$11)))+'Renovation Budget'!$G$30-1)),-'Renovation Budget'!$C$30/'Renovation Budget'!$G$30,0)</f>
        <v/>
      </c>
      <c r="AH99" s="228">
        <f>IF(AND(AH$11&gt;=(12*(YEAR('Renovation Budget'!$F$30)-YEAR(Assumptions!$F$11))+(MONTH('Renovation Budget'!$F$30)-MONTH(Assumptions!$F$11))),AH$11&lt;=((12*(YEAR('Renovation Budget'!$F$30)-YEAR(Assumptions!$F$11))+(MONTH('Renovation Budget'!$F$30)-MONTH(Assumptions!$F$11)))+'Renovation Budget'!$G$30-1)),-'Renovation Budget'!$C$30/'Renovation Budget'!$G$30,0)</f>
        <v/>
      </c>
      <c r="AI99" s="228">
        <f>IF(AND(AI$11&gt;=(12*(YEAR('Renovation Budget'!$F$30)-YEAR(Assumptions!$F$11))+(MONTH('Renovation Budget'!$F$30)-MONTH(Assumptions!$F$11))),AI$11&lt;=((12*(YEAR('Renovation Budget'!$F$30)-YEAR(Assumptions!$F$11))+(MONTH('Renovation Budget'!$F$30)-MONTH(Assumptions!$F$11)))+'Renovation Budget'!$G$30-1)),-'Renovation Budget'!$C$30/'Renovation Budget'!$G$30,0)</f>
        <v/>
      </c>
      <c r="AJ99" s="228">
        <f>IF(AND(AJ$11&gt;=(12*(YEAR('Renovation Budget'!$F$30)-YEAR(Assumptions!$F$11))+(MONTH('Renovation Budget'!$F$30)-MONTH(Assumptions!$F$11))),AJ$11&lt;=((12*(YEAR('Renovation Budget'!$F$30)-YEAR(Assumptions!$F$11))+(MONTH('Renovation Budget'!$F$30)-MONTH(Assumptions!$F$11)))+'Renovation Budget'!$G$30-1)),-'Renovation Budget'!$C$30/'Renovation Budget'!$G$30,0)</f>
        <v/>
      </c>
      <c r="AK99" s="228">
        <f>IF(AND(AK$11&gt;=(12*(YEAR('Renovation Budget'!$F$30)-YEAR(Assumptions!$F$11))+(MONTH('Renovation Budget'!$F$30)-MONTH(Assumptions!$F$11))),AK$11&lt;=((12*(YEAR('Renovation Budget'!$F$30)-YEAR(Assumptions!$F$11))+(MONTH('Renovation Budget'!$F$30)-MONTH(Assumptions!$F$11)))+'Renovation Budget'!$G$30-1)),-'Renovation Budget'!$C$30/'Renovation Budget'!$G$30,0)</f>
        <v/>
      </c>
      <c r="AL99" s="228">
        <f>IF(AND(AL$11&gt;=(12*(YEAR('Renovation Budget'!$F$30)-YEAR(Assumptions!$F$11))+(MONTH('Renovation Budget'!$F$30)-MONTH(Assumptions!$F$11))),AL$11&lt;=((12*(YEAR('Renovation Budget'!$F$30)-YEAR(Assumptions!$F$11))+(MONTH('Renovation Budget'!$F$30)-MONTH(Assumptions!$F$11)))+'Renovation Budget'!$G$30-1)),-'Renovation Budget'!$C$30/'Renovation Budget'!$G$30,0)</f>
        <v/>
      </c>
      <c r="AM99" s="228">
        <f>IF(AND(AM$11&gt;=(12*(YEAR('Renovation Budget'!$F$30)-YEAR(Assumptions!$F$11))+(MONTH('Renovation Budget'!$F$30)-MONTH(Assumptions!$F$11))),AM$11&lt;=((12*(YEAR('Renovation Budget'!$F$30)-YEAR(Assumptions!$F$11))+(MONTH('Renovation Budget'!$F$30)-MONTH(Assumptions!$F$11)))+'Renovation Budget'!$G$30-1)),-'Renovation Budget'!$C$30/'Renovation Budget'!$G$30,0)</f>
        <v/>
      </c>
      <c r="AN99" s="228">
        <f>IF(AND(AN$11&gt;=(12*(YEAR('Renovation Budget'!$F$30)-YEAR(Assumptions!$F$11))+(MONTH('Renovation Budget'!$F$30)-MONTH(Assumptions!$F$11))),AN$11&lt;=((12*(YEAR('Renovation Budget'!$F$30)-YEAR(Assumptions!$F$11))+(MONTH('Renovation Budget'!$F$30)-MONTH(Assumptions!$F$11)))+'Renovation Budget'!$G$30-1)),-'Renovation Budget'!$C$30/'Renovation Budget'!$G$30,0)</f>
        <v/>
      </c>
      <c r="AO99" s="228">
        <f>IF(AND(AO$11&gt;=(12*(YEAR('Renovation Budget'!$F$30)-YEAR(Assumptions!$F$11))+(MONTH('Renovation Budget'!$F$30)-MONTH(Assumptions!$F$11))),AO$11&lt;=((12*(YEAR('Renovation Budget'!$F$30)-YEAR(Assumptions!$F$11))+(MONTH('Renovation Budget'!$F$30)-MONTH(Assumptions!$F$11)))+'Renovation Budget'!$G$30-1)),-'Renovation Budget'!$C$30/'Renovation Budget'!$G$30,0)</f>
        <v/>
      </c>
      <c r="AP99" s="228">
        <f>IF(AND(AP$11&gt;=(12*(YEAR('Renovation Budget'!$F$30)-YEAR(Assumptions!$F$11))+(MONTH('Renovation Budget'!$F$30)-MONTH(Assumptions!$F$11))),AP$11&lt;=((12*(YEAR('Renovation Budget'!$F$30)-YEAR(Assumptions!$F$11))+(MONTH('Renovation Budget'!$F$30)-MONTH(Assumptions!$F$11)))+'Renovation Budget'!$G$30-1)),-'Renovation Budget'!$C$30/'Renovation Budget'!$G$30,0)</f>
        <v/>
      </c>
      <c r="AQ99" s="228">
        <f>IF(AND(AQ$11&gt;=(12*(YEAR('Renovation Budget'!$F$30)-YEAR(Assumptions!$F$11))+(MONTH('Renovation Budget'!$F$30)-MONTH(Assumptions!$F$11))),AQ$11&lt;=((12*(YEAR('Renovation Budget'!$F$30)-YEAR(Assumptions!$F$11))+(MONTH('Renovation Budget'!$F$30)-MONTH(Assumptions!$F$11)))+'Renovation Budget'!$G$30-1)),-'Renovation Budget'!$C$30/'Renovation Budget'!$G$30,0)</f>
        <v/>
      </c>
      <c r="AR99" s="228">
        <f>IF(AND(AR$11&gt;=(12*(YEAR('Renovation Budget'!$F$30)-YEAR(Assumptions!$F$11))+(MONTH('Renovation Budget'!$F$30)-MONTH(Assumptions!$F$11))),AR$11&lt;=((12*(YEAR('Renovation Budget'!$F$30)-YEAR(Assumptions!$F$11))+(MONTH('Renovation Budget'!$F$30)-MONTH(Assumptions!$F$11)))+'Renovation Budget'!$G$30-1)),-'Renovation Budget'!$C$30/'Renovation Budget'!$G$30,0)</f>
        <v/>
      </c>
      <c r="AS99" s="228">
        <f>IF(AND(AS$11&gt;=(12*(YEAR('Renovation Budget'!$F$30)-YEAR(Assumptions!$F$11))+(MONTH('Renovation Budget'!$F$30)-MONTH(Assumptions!$F$11))),AS$11&lt;=((12*(YEAR('Renovation Budget'!$F$30)-YEAR(Assumptions!$F$11))+(MONTH('Renovation Budget'!$F$30)-MONTH(Assumptions!$F$11)))+'Renovation Budget'!$G$30-1)),-'Renovation Budget'!$C$30/'Renovation Budget'!$G$30,0)</f>
        <v/>
      </c>
      <c r="AT99" s="228">
        <f>IF(AND(AT$11&gt;=(12*(YEAR('Renovation Budget'!$F$30)-YEAR(Assumptions!$F$11))+(MONTH('Renovation Budget'!$F$30)-MONTH(Assumptions!$F$11))),AT$11&lt;=((12*(YEAR('Renovation Budget'!$F$30)-YEAR(Assumptions!$F$11))+(MONTH('Renovation Budget'!$F$30)-MONTH(Assumptions!$F$11)))+'Renovation Budget'!$G$30-1)),-'Renovation Budget'!$C$30/'Renovation Budget'!$G$30,0)</f>
        <v/>
      </c>
      <c r="AU99" s="228">
        <f>IF(AND(AU$11&gt;=(12*(YEAR('Renovation Budget'!$F$30)-YEAR(Assumptions!$F$11))+(MONTH('Renovation Budget'!$F$30)-MONTH(Assumptions!$F$11))),AU$11&lt;=((12*(YEAR('Renovation Budget'!$F$30)-YEAR(Assumptions!$F$11))+(MONTH('Renovation Budget'!$F$30)-MONTH(Assumptions!$F$11)))+'Renovation Budget'!$G$30-1)),-'Renovation Budget'!$C$30/'Renovation Budget'!$G$30,0)</f>
        <v/>
      </c>
      <c r="AV99" s="228">
        <f>IF(AND(AV$11&gt;=(12*(YEAR('Renovation Budget'!$F$30)-YEAR(Assumptions!$F$11))+(MONTH('Renovation Budget'!$F$30)-MONTH(Assumptions!$F$11))),AV$11&lt;=((12*(YEAR('Renovation Budget'!$F$30)-YEAR(Assumptions!$F$11))+(MONTH('Renovation Budget'!$F$30)-MONTH(Assumptions!$F$11)))+'Renovation Budget'!$G$30-1)),-'Renovation Budget'!$C$30/'Renovation Budget'!$G$30,0)</f>
        <v/>
      </c>
      <c r="AW99" s="228">
        <f>IF(AND(AW$11&gt;=(12*(YEAR('Renovation Budget'!$F$30)-YEAR(Assumptions!$F$11))+(MONTH('Renovation Budget'!$F$30)-MONTH(Assumptions!$F$11))),AW$11&lt;=((12*(YEAR('Renovation Budget'!$F$30)-YEAR(Assumptions!$F$11))+(MONTH('Renovation Budget'!$F$30)-MONTH(Assumptions!$F$11)))+'Renovation Budget'!$G$30-1)),-'Renovation Budget'!$C$30/'Renovation Budget'!$G$30,0)</f>
        <v/>
      </c>
      <c r="AX99" s="228">
        <f>IF(AND(AX$11&gt;=(12*(YEAR('Renovation Budget'!$F$30)-YEAR(Assumptions!$F$11))+(MONTH('Renovation Budget'!$F$30)-MONTH(Assumptions!$F$11))),AX$11&lt;=((12*(YEAR('Renovation Budget'!$F$30)-YEAR(Assumptions!$F$11))+(MONTH('Renovation Budget'!$F$30)-MONTH(Assumptions!$F$11)))+'Renovation Budget'!$G$30-1)),-'Renovation Budget'!$C$30/'Renovation Budget'!$G$30,0)</f>
        <v/>
      </c>
      <c r="AY99" s="228">
        <f>IF(AND(AY$11&gt;=(12*(YEAR('Renovation Budget'!$F$30)-YEAR(Assumptions!$F$11))+(MONTH('Renovation Budget'!$F$30)-MONTH(Assumptions!$F$11))),AY$11&lt;=((12*(YEAR('Renovation Budget'!$F$30)-YEAR(Assumptions!$F$11))+(MONTH('Renovation Budget'!$F$30)-MONTH(Assumptions!$F$11)))+'Renovation Budget'!$G$30-1)),-'Renovation Budget'!$C$30/'Renovation Budget'!$G$30,0)</f>
        <v/>
      </c>
      <c r="AZ99" s="228">
        <f>IF(AND(AZ$11&gt;=(12*(YEAR('Renovation Budget'!$F$30)-YEAR(Assumptions!$F$11))+(MONTH('Renovation Budget'!$F$30)-MONTH(Assumptions!$F$11))),AZ$11&lt;=((12*(YEAR('Renovation Budget'!$F$30)-YEAR(Assumptions!$F$11))+(MONTH('Renovation Budget'!$F$30)-MONTH(Assumptions!$F$11)))+'Renovation Budget'!$G$30-1)),-'Renovation Budget'!$C$30/'Renovation Budget'!$G$30,0)</f>
        <v/>
      </c>
      <c r="BA99" s="228">
        <f>IF(AND(BA$11&gt;=(12*(YEAR('Renovation Budget'!$F$30)-YEAR(Assumptions!$F$11))+(MONTH('Renovation Budget'!$F$30)-MONTH(Assumptions!$F$11))),BA$11&lt;=((12*(YEAR('Renovation Budget'!$F$30)-YEAR(Assumptions!$F$11))+(MONTH('Renovation Budget'!$F$30)-MONTH(Assumptions!$F$11)))+'Renovation Budget'!$G$30-1)),-'Renovation Budget'!$C$30/'Renovation Budget'!$G$30,0)</f>
        <v/>
      </c>
      <c r="BB99" s="228">
        <f>IF(AND(BB$11&gt;=(12*(YEAR('Renovation Budget'!$F$30)-YEAR(Assumptions!$F$11))+(MONTH('Renovation Budget'!$F$30)-MONTH(Assumptions!$F$11))),BB$11&lt;=((12*(YEAR('Renovation Budget'!$F$30)-YEAR(Assumptions!$F$11))+(MONTH('Renovation Budget'!$F$30)-MONTH(Assumptions!$F$11)))+'Renovation Budget'!$G$30-1)),-'Renovation Budget'!$C$30/'Renovation Budget'!$G$30,0)</f>
        <v/>
      </c>
      <c r="BC99" s="228">
        <f>IF(AND(BC$11&gt;=(12*(YEAR('Renovation Budget'!$F$30)-YEAR(Assumptions!$F$11))+(MONTH('Renovation Budget'!$F$30)-MONTH(Assumptions!$F$11))),BC$11&lt;=((12*(YEAR('Renovation Budget'!$F$30)-YEAR(Assumptions!$F$11))+(MONTH('Renovation Budget'!$F$30)-MONTH(Assumptions!$F$11)))+'Renovation Budget'!$G$30-1)),-'Renovation Budget'!$C$30/'Renovation Budget'!$G$30,0)</f>
        <v/>
      </c>
      <c r="BD99" s="228">
        <f>IF(AND(BD$11&gt;=(12*(YEAR('Renovation Budget'!$F$30)-YEAR(Assumptions!$F$11))+(MONTH('Renovation Budget'!$F$30)-MONTH(Assumptions!$F$11))),BD$11&lt;=((12*(YEAR('Renovation Budget'!$F$30)-YEAR(Assumptions!$F$11))+(MONTH('Renovation Budget'!$F$30)-MONTH(Assumptions!$F$11)))+'Renovation Budget'!$G$30-1)),-'Renovation Budget'!$C$30/'Renovation Budget'!$G$30,0)</f>
        <v/>
      </c>
      <c r="BE99" s="228">
        <f>IF(AND(BE$11&gt;=(12*(YEAR('Renovation Budget'!$F$30)-YEAR(Assumptions!$F$11))+(MONTH('Renovation Budget'!$F$30)-MONTH(Assumptions!$F$11))),BE$11&lt;=((12*(YEAR('Renovation Budget'!$F$30)-YEAR(Assumptions!$F$11))+(MONTH('Renovation Budget'!$F$30)-MONTH(Assumptions!$F$11)))+'Renovation Budget'!$G$30-1)),-'Renovation Budget'!$C$30/'Renovation Budget'!$G$30,0)</f>
        <v/>
      </c>
      <c r="BF99" s="228">
        <f>IF(AND(BF$11&gt;=(12*(YEAR('Renovation Budget'!$F$30)-YEAR(Assumptions!$F$11))+(MONTH('Renovation Budget'!$F$30)-MONTH(Assumptions!$F$11))),BF$11&lt;=((12*(YEAR('Renovation Budget'!$F$30)-YEAR(Assumptions!$F$11))+(MONTH('Renovation Budget'!$F$30)-MONTH(Assumptions!$F$11)))+'Renovation Budget'!$G$30-1)),-'Renovation Budget'!$C$30/'Renovation Budget'!$G$30,0)</f>
        <v/>
      </c>
      <c r="BG99" s="228">
        <f>IF(AND(BG$11&gt;=(12*(YEAR('Renovation Budget'!$F$30)-YEAR(Assumptions!$F$11))+(MONTH('Renovation Budget'!$F$30)-MONTH(Assumptions!$F$11))),BG$11&lt;=((12*(YEAR('Renovation Budget'!$F$30)-YEAR(Assumptions!$F$11))+(MONTH('Renovation Budget'!$F$30)-MONTH(Assumptions!$F$11)))+'Renovation Budget'!$G$30-1)),-'Renovation Budget'!$C$30/'Renovation Budget'!$G$30,0)</f>
        <v/>
      </c>
      <c r="BH99" s="228">
        <f>IF(AND(BH$11&gt;=(12*(YEAR('Renovation Budget'!$F$30)-YEAR(Assumptions!$F$11))+(MONTH('Renovation Budget'!$F$30)-MONTH(Assumptions!$F$11))),BH$11&lt;=((12*(YEAR('Renovation Budget'!$F$30)-YEAR(Assumptions!$F$11))+(MONTH('Renovation Budget'!$F$30)-MONTH(Assumptions!$F$11)))+'Renovation Budget'!$G$30-1)),-'Renovation Budget'!$C$30/'Renovation Budget'!$G$30,0)</f>
        <v/>
      </c>
      <c r="BI99" s="228">
        <f>IF(AND(BI$11&gt;=(12*(YEAR('Renovation Budget'!$F$30)-YEAR(Assumptions!$F$11))+(MONTH('Renovation Budget'!$F$30)-MONTH(Assumptions!$F$11))),BI$11&lt;=((12*(YEAR('Renovation Budget'!$F$30)-YEAR(Assumptions!$F$11))+(MONTH('Renovation Budget'!$F$30)-MONTH(Assumptions!$F$11)))+'Renovation Budget'!$G$30-1)),-'Renovation Budget'!$C$30/'Renovation Budget'!$G$30,0)</f>
        <v/>
      </c>
      <c r="BJ99" s="228">
        <f>IF(AND(BJ$11&gt;=(12*(YEAR('Renovation Budget'!$F$30)-YEAR(Assumptions!$F$11))+(MONTH('Renovation Budget'!$F$30)-MONTH(Assumptions!$F$11))),BJ$11&lt;=((12*(YEAR('Renovation Budget'!$F$30)-YEAR(Assumptions!$F$11))+(MONTH('Renovation Budget'!$F$30)-MONTH(Assumptions!$F$11)))+'Renovation Budget'!$G$30-1)),-'Renovation Budget'!$C$30/'Renovation Budget'!$G$30,0)</f>
        <v/>
      </c>
      <c r="BK99" s="228">
        <f>IF(AND(BK$11&gt;=(12*(YEAR('Renovation Budget'!$F$30)-YEAR(Assumptions!$F$11))+(MONTH('Renovation Budget'!$F$30)-MONTH(Assumptions!$F$11))),BK$11&lt;=((12*(YEAR('Renovation Budget'!$F$30)-YEAR(Assumptions!$F$11))+(MONTH('Renovation Budget'!$F$30)-MONTH(Assumptions!$F$11)))+'Renovation Budget'!$G$30-1)),-'Renovation Budget'!$C$30/'Renovation Budget'!$G$30,0)</f>
        <v/>
      </c>
      <c r="BL99" s="228">
        <f>IF(AND(BL$11&gt;=(12*(YEAR('Renovation Budget'!$F$30)-YEAR(Assumptions!$F$11))+(MONTH('Renovation Budget'!$F$30)-MONTH(Assumptions!$F$11))),BL$11&lt;=((12*(YEAR('Renovation Budget'!$F$30)-YEAR(Assumptions!$F$11))+(MONTH('Renovation Budget'!$F$30)-MONTH(Assumptions!$F$11)))+'Renovation Budget'!$G$30-1)),-'Renovation Budget'!$C$30/'Renovation Budget'!$G$30,0)</f>
        <v/>
      </c>
      <c r="BM99" s="228">
        <f>IF(AND(BM$11&gt;=(12*(YEAR('Renovation Budget'!$F$30)-YEAR(Assumptions!$F$11))+(MONTH('Renovation Budget'!$F$30)-MONTH(Assumptions!$F$11))),BM$11&lt;=((12*(YEAR('Renovation Budget'!$F$30)-YEAR(Assumptions!$F$11))+(MONTH('Renovation Budget'!$F$30)-MONTH(Assumptions!$F$11)))+'Renovation Budget'!$G$30-1)),-'Renovation Budget'!$C$30/'Renovation Budget'!$G$30,0)</f>
        <v/>
      </c>
      <c r="BN99" s="228">
        <f>IF(AND(BN$11&gt;=(12*(YEAR('Renovation Budget'!$F$30)-YEAR(Assumptions!$F$11))+(MONTH('Renovation Budget'!$F$30)-MONTH(Assumptions!$F$11))),BN$11&lt;=((12*(YEAR('Renovation Budget'!$F$30)-YEAR(Assumptions!$F$11))+(MONTH('Renovation Budget'!$F$30)-MONTH(Assumptions!$F$11)))+'Renovation Budget'!$G$30-1)),-'Renovation Budget'!$C$30/'Renovation Budget'!$G$30,0)</f>
        <v/>
      </c>
      <c r="BO99" s="228">
        <f>IF(AND(BO$11&gt;=(12*(YEAR('Renovation Budget'!$F$30)-YEAR(Assumptions!$F$11))+(MONTH('Renovation Budget'!$F$30)-MONTH(Assumptions!$F$11))),BO$11&lt;=((12*(YEAR('Renovation Budget'!$F$30)-YEAR(Assumptions!$F$11))+(MONTH('Renovation Budget'!$F$30)-MONTH(Assumptions!$F$11)))+'Renovation Budget'!$G$30-1)),-'Renovation Budget'!$C$30/'Renovation Budget'!$G$30,0)</f>
        <v/>
      </c>
      <c r="BP99" s="228">
        <f>IF(AND(BP$11&gt;=(12*(YEAR('Renovation Budget'!$F$30)-YEAR(Assumptions!$F$11))+(MONTH('Renovation Budget'!$F$30)-MONTH(Assumptions!$F$11))),BP$11&lt;=((12*(YEAR('Renovation Budget'!$F$30)-YEAR(Assumptions!$F$11))+(MONTH('Renovation Budget'!$F$30)-MONTH(Assumptions!$F$11)))+'Renovation Budget'!$G$30-1)),-'Renovation Budget'!$C$30/'Renovation Budget'!$G$30,0)</f>
        <v/>
      </c>
      <c r="BQ99" s="228">
        <f>IF(AND(BQ$11&gt;=(12*(YEAR('Renovation Budget'!$F$30)-YEAR(Assumptions!$F$11))+(MONTH('Renovation Budget'!$F$30)-MONTH(Assumptions!$F$11))),BQ$11&lt;=((12*(YEAR('Renovation Budget'!$F$30)-YEAR(Assumptions!$F$11))+(MONTH('Renovation Budget'!$F$30)-MONTH(Assumptions!$F$11)))+'Renovation Budget'!$G$30-1)),-'Renovation Budget'!$C$30/'Renovation Budget'!$G$30,0)</f>
        <v/>
      </c>
      <c r="BR99" s="228">
        <f>IF(AND(BR$11&gt;=(12*(YEAR('Renovation Budget'!$F$30)-YEAR(Assumptions!$F$11))+(MONTH('Renovation Budget'!$F$30)-MONTH(Assumptions!$F$11))),BR$11&lt;=((12*(YEAR('Renovation Budget'!$F$30)-YEAR(Assumptions!$F$11))+(MONTH('Renovation Budget'!$F$30)-MONTH(Assumptions!$F$11)))+'Renovation Budget'!$G$30-1)),-'Renovation Budget'!$C$30/'Renovation Budget'!$G$30,0)</f>
        <v/>
      </c>
      <c r="BS99" s="228">
        <f>IF(AND(BS$11&gt;=(12*(YEAR('Renovation Budget'!$F$30)-YEAR(Assumptions!$F$11))+(MONTH('Renovation Budget'!$F$30)-MONTH(Assumptions!$F$11))),BS$11&lt;=((12*(YEAR('Renovation Budget'!$F$30)-YEAR(Assumptions!$F$11))+(MONTH('Renovation Budget'!$F$30)-MONTH(Assumptions!$F$11)))+'Renovation Budget'!$G$30-1)),-'Renovation Budget'!$C$30/'Renovation Budget'!$G$30,0)</f>
        <v/>
      </c>
      <c r="BT99" s="228">
        <f>IF(AND(BT$11&gt;=(12*(YEAR('Renovation Budget'!$F$30)-YEAR(Assumptions!$F$11))+(MONTH('Renovation Budget'!$F$30)-MONTH(Assumptions!$F$11))),BT$11&lt;=((12*(YEAR('Renovation Budget'!$F$30)-YEAR(Assumptions!$F$11))+(MONTH('Renovation Budget'!$F$30)-MONTH(Assumptions!$F$11)))+'Renovation Budget'!$G$30-1)),-'Renovation Budget'!$C$30/'Renovation Budget'!$G$30,0)</f>
        <v/>
      </c>
      <c r="BU99" s="228">
        <f>IF(AND(BU$11&gt;=(12*(YEAR('Renovation Budget'!$F$30)-YEAR(Assumptions!$F$11))+(MONTH('Renovation Budget'!$F$30)-MONTH(Assumptions!$F$11))),BU$11&lt;=((12*(YEAR('Renovation Budget'!$F$30)-YEAR(Assumptions!$F$11))+(MONTH('Renovation Budget'!$F$30)-MONTH(Assumptions!$F$11)))+'Renovation Budget'!$G$30-1)),-'Renovation Budget'!$C$30/'Renovation Budget'!$G$30,0)</f>
        <v/>
      </c>
      <c r="BV99" s="228">
        <f>IF(AND(BV$11&gt;=(12*(YEAR('Renovation Budget'!$F$30)-YEAR(Assumptions!$F$11))+(MONTH('Renovation Budget'!$F$30)-MONTH(Assumptions!$F$11))),BV$11&lt;=((12*(YEAR('Renovation Budget'!$F$30)-YEAR(Assumptions!$F$11))+(MONTH('Renovation Budget'!$F$30)-MONTH(Assumptions!$F$11)))+'Renovation Budget'!$G$30-1)),-'Renovation Budget'!$C$30/'Renovation Budget'!$G$30,0)</f>
        <v/>
      </c>
      <c r="BW99" s="228">
        <f>IF(AND(BW$11&gt;=(12*(YEAR('Renovation Budget'!$F$30)-YEAR(Assumptions!$F$11))+(MONTH('Renovation Budget'!$F$30)-MONTH(Assumptions!$F$11))),BW$11&lt;=((12*(YEAR('Renovation Budget'!$F$30)-YEAR(Assumptions!$F$11))+(MONTH('Renovation Budget'!$F$30)-MONTH(Assumptions!$F$11)))+'Renovation Budget'!$G$30-1)),-'Renovation Budget'!$C$30/'Renovation Budget'!$G$30,0)</f>
        <v/>
      </c>
      <c r="BX99" s="228">
        <f>IF(AND(BX$11&gt;=(12*(YEAR('Renovation Budget'!$F$30)-YEAR(Assumptions!$F$11))+(MONTH('Renovation Budget'!$F$30)-MONTH(Assumptions!$F$11))),BX$11&lt;=((12*(YEAR('Renovation Budget'!$F$30)-YEAR(Assumptions!$F$11))+(MONTH('Renovation Budget'!$F$30)-MONTH(Assumptions!$F$11)))+'Renovation Budget'!$G$30-1)),-'Renovation Budget'!$C$30/'Renovation Budget'!$G$30,0)</f>
        <v/>
      </c>
      <c r="BY99" s="228">
        <f>IF(AND(BY$11&gt;=(12*(YEAR('Renovation Budget'!$F$30)-YEAR(Assumptions!$F$11))+(MONTH('Renovation Budget'!$F$30)-MONTH(Assumptions!$F$11))),BY$11&lt;=((12*(YEAR('Renovation Budget'!$F$30)-YEAR(Assumptions!$F$11))+(MONTH('Renovation Budget'!$F$30)-MONTH(Assumptions!$F$11)))+'Renovation Budget'!$G$30-1)),-'Renovation Budget'!$C$30/'Renovation Budget'!$G$30,0)</f>
        <v/>
      </c>
      <c r="BZ99" s="228">
        <f>IF(AND(BZ$11&gt;=(12*(YEAR('Renovation Budget'!$F$30)-YEAR(Assumptions!$F$11))+(MONTH('Renovation Budget'!$F$30)-MONTH(Assumptions!$F$11))),BZ$11&lt;=((12*(YEAR('Renovation Budget'!$F$30)-YEAR(Assumptions!$F$11))+(MONTH('Renovation Budget'!$F$30)-MONTH(Assumptions!$F$11)))+'Renovation Budget'!$G$30-1)),-'Renovation Budget'!$C$30/'Renovation Budget'!$G$30,0)</f>
        <v/>
      </c>
      <c r="CA99" s="228">
        <f>IF(AND(CA$11&gt;=(12*(YEAR('Renovation Budget'!$F$30)-YEAR(Assumptions!$F$11))+(MONTH('Renovation Budget'!$F$30)-MONTH(Assumptions!$F$11))),CA$11&lt;=((12*(YEAR('Renovation Budget'!$F$30)-YEAR(Assumptions!$F$11))+(MONTH('Renovation Budget'!$F$30)-MONTH(Assumptions!$F$11)))+'Renovation Budget'!$G$30-1)),-'Renovation Budget'!$C$30/'Renovation Budget'!$G$30,0)</f>
        <v/>
      </c>
      <c r="CB99" s="228">
        <f>IF(AND(CB$11&gt;=(12*(YEAR('Renovation Budget'!$F$30)-YEAR(Assumptions!$F$11))+(MONTH('Renovation Budget'!$F$30)-MONTH(Assumptions!$F$11))),CB$11&lt;=((12*(YEAR('Renovation Budget'!$F$30)-YEAR(Assumptions!$F$11))+(MONTH('Renovation Budget'!$F$30)-MONTH(Assumptions!$F$11)))+'Renovation Budget'!$G$30-1)),-'Renovation Budget'!$C$30/'Renovation Budget'!$G$30,0)</f>
        <v/>
      </c>
      <c r="CC99" s="228">
        <f>IF(AND(CC$11&gt;=(12*(YEAR('Renovation Budget'!$F$30)-YEAR(Assumptions!$F$11))+(MONTH('Renovation Budget'!$F$30)-MONTH(Assumptions!$F$11))),CC$11&lt;=((12*(YEAR('Renovation Budget'!$F$30)-YEAR(Assumptions!$F$11))+(MONTH('Renovation Budget'!$F$30)-MONTH(Assumptions!$F$11)))+'Renovation Budget'!$G$30-1)),-'Renovation Budget'!$C$30/'Renovation Budget'!$G$30,0)</f>
        <v/>
      </c>
      <c r="CD99" s="228">
        <f>IF(AND(CD$11&gt;=(12*(YEAR('Renovation Budget'!$F$30)-YEAR(Assumptions!$F$11))+(MONTH('Renovation Budget'!$F$30)-MONTH(Assumptions!$F$11))),CD$11&lt;=((12*(YEAR('Renovation Budget'!$F$30)-YEAR(Assumptions!$F$11))+(MONTH('Renovation Budget'!$F$30)-MONTH(Assumptions!$F$11)))+'Renovation Budget'!$G$30-1)),-'Renovation Budget'!$C$30/'Renovation Budget'!$G$30,0)</f>
        <v/>
      </c>
      <c r="CE99" s="228">
        <f>IF(AND(CE$11&gt;=(12*(YEAR('Renovation Budget'!$F$30)-YEAR(Assumptions!$F$11))+(MONTH('Renovation Budget'!$F$30)-MONTH(Assumptions!$F$11))),CE$11&lt;=((12*(YEAR('Renovation Budget'!$F$30)-YEAR(Assumptions!$F$11))+(MONTH('Renovation Budget'!$F$30)-MONTH(Assumptions!$F$11)))+'Renovation Budget'!$G$30-1)),-'Renovation Budget'!$C$30/'Renovation Budget'!$G$30,0)</f>
        <v/>
      </c>
      <c r="CF99" s="228">
        <f>IF(AND(CF$11&gt;=(12*(YEAR('Renovation Budget'!$F$30)-YEAR(Assumptions!$F$11))+(MONTH('Renovation Budget'!$F$30)-MONTH(Assumptions!$F$11))),CF$11&lt;=((12*(YEAR('Renovation Budget'!$F$30)-YEAR(Assumptions!$F$11))+(MONTH('Renovation Budget'!$F$30)-MONTH(Assumptions!$F$11)))+'Renovation Budget'!$G$30-1)),-'Renovation Budget'!$C$30/'Renovation Budget'!$G$30,0)</f>
        <v/>
      </c>
      <c r="CG99" s="228">
        <f>IF(AND(CG$11&gt;=(12*(YEAR('Renovation Budget'!$F$30)-YEAR(Assumptions!$F$11))+(MONTH('Renovation Budget'!$F$30)-MONTH(Assumptions!$F$11))),CG$11&lt;=((12*(YEAR('Renovation Budget'!$F$30)-YEAR(Assumptions!$F$11))+(MONTH('Renovation Budget'!$F$30)-MONTH(Assumptions!$F$11)))+'Renovation Budget'!$G$30-1)),-'Renovation Budget'!$C$30/'Renovation Budget'!$G$30,0)</f>
        <v/>
      </c>
      <c r="CH99" s="228">
        <f>IF(AND(CH$11&gt;=(12*(YEAR('Renovation Budget'!$F$30)-YEAR(Assumptions!$F$11))+(MONTH('Renovation Budget'!$F$30)-MONTH(Assumptions!$F$11))),CH$11&lt;=((12*(YEAR('Renovation Budget'!$F$30)-YEAR(Assumptions!$F$11))+(MONTH('Renovation Budget'!$F$30)-MONTH(Assumptions!$F$11)))+'Renovation Budget'!$G$30-1)),-'Renovation Budget'!$C$30/'Renovation Budget'!$G$30,0)</f>
        <v/>
      </c>
      <c r="CI99" s="228">
        <f>IF(AND(CI$11&gt;=(12*(YEAR('Renovation Budget'!$F$30)-YEAR(Assumptions!$F$11))+(MONTH('Renovation Budget'!$F$30)-MONTH(Assumptions!$F$11))),CI$11&lt;=((12*(YEAR('Renovation Budget'!$F$30)-YEAR(Assumptions!$F$11))+(MONTH('Renovation Budget'!$F$30)-MONTH(Assumptions!$F$11)))+'Renovation Budget'!$G$30-1)),-'Renovation Budget'!$C$30/'Renovation Budget'!$G$30,0)</f>
        <v/>
      </c>
      <c r="CJ99" s="228">
        <f>IF(AND(CJ$11&gt;=(12*(YEAR('Renovation Budget'!$F$30)-YEAR(Assumptions!$F$11))+(MONTH('Renovation Budget'!$F$30)-MONTH(Assumptions!$F$11))),CJ$11&lt;=((12*(YEAR('Renovation Budget'!$F$30)-YEAR(Assumptions!$F$11))+(MONTH('Renovation Budget'!$F$30)-MONTH(Assumptions!$F$11)))+'Renovation Budget'!$G$30-1)),-'Renovation Budget'!$C$30/'Renovation Budget'!$G$30,0)</f>
        <v/>
      </c>
      <c r="CK99" s="228">
        <f>IF(AND(CK$11&gt;=(12*(YEAR('Renovation Budget'!$F$30)-YEAR(Assumptions!$F$11))+(MONTH('Renovation Budget'!$F$30)-MONTH(Assumptions!$F$11))),CK$11&lt;=((12*(YEAR('Renovation Budget'!$F$30)-YEAR(Assumptions!$F$11))+(MONTH('Renovation Budget'!$F$30)-MONTH(Assumptions!$F$11)))+'Renovation Budget'!$G$30-1)),-'Renovation Budget'!$C$30/'Renovation Budget'!$G$30,0)</f>
        <v/>
      </c>
      <c r="CL99" s="228">
        <f>IF(AND(CL$11&gt;=(12*(YEAR('Renovation Budget'!$F$30)-YEAR(Assumptions!$F$11))+(MONTH('Renovation Budget'!$F$30)-MONTH(Assumptions!$F$11))),CL$11&lt;=((12*(YEAR('Renovation Budget'!$F$30)-YEAR(Assumptions!$F$11))+(MONTH('Renovation Budget'!$F$30)-MONTH(Assumptions!$F$11)))+'Renovation Budget'!$G$30-1)),-'Renovation Budget'!$C$30/'Renovation Budget'!$G$30,0)</f>
        <v/>
      </c>
      <c r="CM99" s="228">
        <f>IF(AND(CM$11&gt;=(12*(YEAR('Renovation Budget'!$F$30)-YEAR(Assumptions!$F$11))+(MONTH('Renovation Budget'!$F$30)-MONTH(Assumptions!$F$11))),CM$11&lt;=((12*(YEAR('Renovation Budget'!$F$30)-YEAR(Assumptions!$F$11))+(MONTH('Renovation Budget'!$F$30)-MONTH(Assumptions!$F$11)))+'Renovation Budget'!$G$30-1)),-'Renovation Budget'!$C$30/'Renovation Budget'!$G$30,0)</f>
        <v/>
      </c>
      <c r="CN99" s="228">
        <f>IF(AND(CN$11&gt;=(12*(YEAR('Renovation Budget'!$F$30)-YEAR(Assumptions!$F$11))+(MONTH('Renovation Budget'!$F$30)-MONTH(Assumptions!$F$11))),CN$11&lt;=((12*(YEAR('Renovation Budget'!$F$30)-YEAR(Assumptions!$F$11))+(MONTH('Renovation Budget'!$F$30)-MONTH(Assumptions!$F$11)))+'Renovation Budget'!$G$30-1)),-'Renovation Budget'!$C$30/'Renovation Budget'!$G$30,0)</f>
        <v/>
      </c>
      <c r="CO99" s="228">
        <f>IF(AND(CO$11&gt;=(12*(YEAR('Renovation Budget'!$F$30)-YEAR(Assumptions!$F$11))+(MONTH('Renovation Budget'!$F$30)-MONTH(Assumptions!$F$11))),CO$11&lt;=((12*(YEAR('Renovation Budget'!$F$30)-YEAR(Assumptions!$F$11))+(MONTH('Renovation Budget'!$F$30)-MONTH(Assumptions!$F$11)))+'Renovation Budget'!$G$30-1)),-'Renovation Budget'!$C$30/'Renovation Budget'!$G$30,0)</f>
        <v/>
      </c>
      <c r="CP99" s="228">
        <f>IF(AND(CP$11&gt;=(12*(YEAR('Renovation Budget'!$F$30)-YEAR(Assumptions!$F$11))+(MONTH('Renovation Budget'!$F$30)-MONTH(Assumptions!$F$11))),CP$11&lt;=((12*(YEAR('Renovation Budget'!$F$30)-YEAR(Assumptions!$F$11))+(MONTH('Renovation Budget'!$F$30)-MONTH(Assumptions!$F$11)))+'Renovation Budget'!$G$30-1)),-'Renovation Budget'!$C$30/'Renovation Budget'!$G$30,0)</f>
        <v/>
      </c>
      <c r="CQ99" s="228">
        <f>IF(AND(CQ$11&gt;=(12*(YEAR('Renovation Budget'!$F$30)-YEAR(Assumptions!$F$11))+(MONTH('Renovation Budget'!$F$30)-MONTH(Assumptions!$F$11))),CQ$11&lt;=((12*(YEAR('Renovation Budget'!$F$30)-YEAR(Assumptions!$F$11))+(MONTH('Renovation Budget'!$F$30)-MONTH(Assumptions!$F$11)))+'Renovation Budget'!$G$30-1)),-'Renovation Budget'!$C$30/'Renovation Budget'!$G$30,0)</f>
        <v/>
      </c>
      <c r="CR99" s="228">
        <f>IF(AND(CR$11&gt;=(12*(YEAR('Renovation Budget'!$F$30)-YEAR(Assumptions!$F$11))+(MONTH('Renovation Budget'!$F$30)-MONTH(Assumptions!$F$11))),CR$11&lt;=((12*(YEAR('Renovation Budget'!$F$30)-YEAR(Assumptions!$F$11))+(MONTH('Renovation Budget'!$F$30)-MONTH(Assumptions!$F$11)))+'Renovation Budget'!$G$30-1)),-'Renovation Budget'!$C$30/'Renovation Budget'!$G$30,0)</f>
        <v/>
      </c>
      <c r="CS99" s="228">
        <f>IF(AND(CS$11&gt;=(12*(YEAR('Renovation Budget'!$F$30)-YEAR(Assumptions!$F$11))+(MONTH('Renovation Budget'!$F$30)-MONTH(Assumptions!$F$11))),CS$11&lt;=((12*(YEAR('Renovation Budget'!$F$30)-YEAR(Assumptions!$F$11))+(MONTH('Renovation Budget'!$F$30)-MONTH(Assumptions!$F$11)))+'Renovation Budget'!$G$30-1)),-'Renovation Budget'!$C$30/'Renovation Budget'!$G$30,0)</f>
        <v/>
      </c>
      <c r="CT99" s="228">
        <f>IF(AND(CT$11&gt;=(12*(YEAR('Renovation Budget'!$F$30)-YEAR(Assumptions!$F$11))+(MONTH('Renovation Budget'!$F$30)-MONTH(Assumptions!$F$11))),CT$11&lt;=((12*(YEAR('Renovation Budget'!$F$30)-YEAR(Assumptions!$F$11))+(MONTH('Renovation Budget'!$F$30)-MONTH(Assumptions!$F$11)))+'Renovation Budget'!$G$30-1)),-'Renovation Budget'!$C$30/'Renovation Budget'!$G$30,0)</f>
        <v/>
      </c>
      <c r="CU99" s="228">
        <f>IF(AND(CU$11&gt;=(12*(YEAR('Renovation Budget'!$F$30)-YEAR(Assumptions!$F$11))+(MONTH('Renovation Budget'!$F$30)-MONTH(Assumptions!$F$11))),CU$11&lt;=((12*(YEAR('Renovation Budget'!$F$30)-YEAR(Assumptions!$F$11))+(MONTH('Renovation Budget'!$F$30)-MONTH(Assumptions!$F$11)))+'Renovation Budget'!$G$30-1)),-'Renovation Budget'!$C$30/'Renovation Budget'!$G$30,0)</f>
        <v/>
      </c>
      <c r="CV99" s="228">
        <f>IF(AND(CV$11&gt;=(12*(YEAR('Renovation Budget'!$F$30)-YEAR(Assumptions!$F$11))+(MONTH('Renovation Budget'!$F$30)-MONTH(Assumptions!$F$11))),CV$11&lt;=((12*(YEAR('Renovation Budget'!$F$30)-YEAR(Assumptions!$F$11))+(MONTH('Renovation Budget'!$F$30)-MONTH(Assumptions!$F$11)))+'Renovation Budget'!$G$30-1)),-'Renovation Budget'!$C$30/'Renovation Budget'!$G$30,0)</f>
        <v/>
      </c>
      <c r="CW99" s="228">
        <f>IF(AND(CW$11&gt;=(12*(YEAR('Renovation Budget'!$F$30)-YEAR(Assumptions!$F$11))+(MONTH('Renovation Budget'!$F$30)-MONTH(Assumptions!$F$11))),CW$11&lt;=((12*(YEAR('Renovation Budget'!$F$30)-YEAR(Assumptions!$F$11))+(MONTH('Renovation Budget'!$F$30)-MONTH(Assumptions!$F$11)))+'Renovation Budget'!$G$30-1)),-'Renovation Budget'!$C$30/'Renovation Budget'!$G$30,0)</f>
        <v/>
      </c>
      <c r="CX99" s="228">
        <f>IF(AND(CX$11&gt;=(12*(YEAR('Renovation Budget'!$F$30)-YEAR(Assumptions!$F$11))+(MONTH('Renovation Budget'!$F$30)-MONTH(Assumptions!$F$11))),CX$11&lt;=((12*(YEAR('Renovation Budget'!$F$30)-YEAR(Assumptions!$F$11))+(MONTH('Renovation Budget'!$F$30)-MONTH(Assumptions!$F$11)))+'Renovation Budget'!$G$30-1)),-'Renovation Budget'!$C$30/'Renovation Budget'!$G$30,0)</f>
        <v/>
      </c>
      <c r="CY99" s="228">
        <f>IF(AND(CY$11&gt;=(12*(YEAR('Renovation Budget'!$F$30)-YEAR(Assumptions!$F$11))+(MONTH('Renovation Budget'!$F$30)-MONTH(Assumptions!$F$11))),CY$11&lt;=((12*(YEAR('Renovation Budget'!$F$30)-YEAR(Assumptions!$F$11))+(MONTH('Renovation Budget'!$F$30)-MONTH(Assumptions!$F$11)))+'Renovation Budget'!$G$30-1)),-'Renovation Budget'!$C$30/'Renovation Budget'!$G$30,0)</f>
        <v/>
      </c>
      <c r="CZ99" s="228">
        <f>IF(AND(CZ$11&gt;=(12*(YEAR('Renovation Budget'!$F$30)-YEAR(Assumptions!$F$11))+(MONTH('Renovation Budget'!$F$30)-MONTH(Assumptions!$F$11))),CZ$11&lt;=((12*(YEAR('Renovation Budget'!$F$30)-YEAR(Assumptions!$F$11))+(MONTH('Renovation Budget'!$F$30)-MONTH(Assumptions!$F$11)))+'Renovation Budget'!$G$30-1)),-'Renovation Budget'!$C$30/'Renovation Budget'!$G$30,0)</f>
        <v/>
      </c>
      <c r="DA99" s="228">
        <f>IF(AND(DA$11&gt;=(12*(YEAR('Renovation Budget'!$F$30)-YEAR(Assumptions!$F$11))+(MONTH('Renovation Budget'!$F$30)-MONTH(Assumptions!$F$11))),DA$11&lt;=((12*(YEAR('Renovation Budget'!$F$30)-YEAR(Assumptions!$F$11))+(MONTH('Renovation Budget'!$F$30)-MONTH(Assumptions!$F$11)))+'Renovation Budget'!$G$30-1)),-'Renovation Budget'!$C$30/'Renovation Budget'!$G$30,0)</f>
        <v/>
      </c>
      <c r="DB99" s="228">
        <f>IF(AND(DB$11&gt;=(12*(YEAR('Renovation Budget'!$F$30)-YEAR(Assumptions!$F$11))+(MONTH('Renovation Budget'!$F$30)-MONTH(Assumptions!$F$11))),DB$11&lt;=((12*(YEAR('Renovation Budget'!$F$30)-YEAR(Assumptions!$F$11))+(MONTH('Renovation Budget'!$F$30)-MONTH(Assumptions!$F$11)))+'Renovation Budget'!$G$30-1)),-'Renovation Budget'!$C$30/'Renovation Budget'!$G$30,0)</f>
        <v/>
      </c>
      <c r="DC99" s="228">
        <f>IF(AND(DC$11&gt;=(12*(YEAR('Renovation Budget'!$F$30)-YEAR(Assumptions!$F$11))+(MONTH('Renovation Budget'!$F$30)-MONTH(Assumptions!$F$11))),DC$11&lt;=((12*(YEAR('Renovation Budget'!$F$30)-YEAR(Assumptions!$F$11))+(MONTH('Renovation Budget'!$F$30)-MONTH(Assumptions!$F$11)))+'Renovation Budget'!$G$30-1)),-'Renovation Budget'!$C$30/'Renovation Budget'!$G$30,0)</f>
        <v/>
      </c>
      <c r="DD99" s="228">
        <f>IF(AND(DD$11&gt;=(12*(YEAR('Renovation Budget'!$F$30)-YEAR(Assumptions!$F$11))+(MONTH('Renovation Budget'!$F$30)-MONTH(Assumptions!$F$11))),DD$11&lt;=((12*(YEAR('Renovation Budget'!$F$30)-YEAR(Assumptions!$F$11))+(MONTH('Renovation Budget'!$F$30)-MONTH(Assumptions!$F$11)))+'Renovation Budget'!$G$30-1)),-'Renovation Budget'!$C$30/'Renovation Budget'!$G$30,0)</f>
        <v/>
      </c>
      <c r="DE99" s="228">
        <f>IF(AND(DE$11&gt;=(12*(YEAR('Renovation Budget'!$F$30)-YEAR(Assumptions!$F$11))+(MONTH('Renovation Budget'!$F$30)-MONTH(Assumptions!$F$11))),DE$11&lt;=((12*(YEAR('Renovation Budget'!$F$30)-YEAR(Assumptions!$F$11))+(MONTH('Renovation Budget'!$F$30)-MONTH(Assumptions!$F$11)))+'Renovation Budget'!$G$30-1)),-'Renovation Budget'!$C$30/'Renovation Budget'!$G$30,0)</f>
        <v/>
      </c>
      <c r="DF99" s="228">
        <f>IF(AND(DF$11&gt;=(12*(YEAR('Renovation Budget'!$F$30)-YEAR(Assumptions!$F$11))+(MONTH('Renovation Budget'!$F$30)-MONTH(Assumptions!$F$11))),DF$11&lt;=((12*(YEAR('Renovation Budget'!$F$30)-YEAR(Assumptions!$F$11))+(MONTH('Renovation Budget'!$F$30)-MONTH(Assumptions!$F$11)))+'Renovation Budget'!$G$30-1)),-'Renovation Budget'!$C$30/'Renovation Budget'!$G$30,0)</f>
        <v/>
      </c>
      <c r="DG99" s="228">
        <f>IF(AND(DG$11&gt;=(12*(YEAR('Renovation Budget'!$F$30)-YEAR(Assumptions!$F$11))+(MONTH('Renovation Budget'!$F$30)-MONTH(Assumptions!$F$11))),DG$11&lt;=((12*(YEAR('Renovation Budget'!$F$30)-YEAR(Assumptions!$F$11))+(MONTH('Renovation Budget'!$F$30)-MONTH(Assumptions!$F$11)))+'Renovation Budget'!$G$30-1)),-'Renovation Budget'!$C$30/'Renovation Budget'!$G$30,0)</f>
        <v/>
      </c>
      <c r="DH99" s="228">
        <f>IF(AND(DH$11&gt;=(12*(YEAR('Renovation Budget'!$F$30)-YEAR(Assumptions!$F$11))+(MONTH('Renovation Budget'!$F$30)-MONTH(Assumptions!$F$11))),DH$11&lt;=((12*(YEAR('Renovation Budget'!$F$30)-YEAR(Assumptions!$F$11))+(MONTH('Renovation Budget'!$F$30)-MONTH(Assumptions!$F$11)))+'Renovation Budget'!$G$30-1)),-'Renovation Budget'!$C$30/'Renovation Budget'!$G$30,0)</f>
        <v/>
      </c>
      <c r="DI99" s="228">
        <f>IF(AND(DI$11&gt;=(12*(YEAR('Renovation Budget'!$F$30)-YEAR(Assumptions!$F$11))+(MONTH('Renovation Budget'!$F$30)-MONTH(Assumptions!$F$11))),DI$11&lt;=((12*(YEAR('Renovation Budget'!$F$30)-YEAR(Assumptions!$F$11))+(MONTH('Renovation Budget'!$F$30)-MONTH(Assumptions!$F$11)))+'Renovation Budget'!$G$30-1)),-'Renovation Budget'!$C$30/'Renovation Budget'!$G$30,0)</f>
        <v/>
      </c>
      <c r="DJ99" s="228">
        <f>IF(AND(DJ$11&gt;=(12*(YEAR('Renovation Budget'!$F$30)-YEAR(Assumptions!$F$11))+(MONTH('Renovation Budget'!$F$30)-MONTH(Assumptions!$F$11))),DJ$11&lt;=((12*(YEAR('Renovation Budget'!$F$30)-YEAR(Assumptions!$F$11))+(MONTH('Renovation Budget'!$F$30)-MONTH(Assumptions!$F$11)))+'Renovation Budget'!$G$30-1)),-'Renovation Budget'!$C$30/'Renovation Budget'!$G$30,0)</f>
        <v/>
      </c>
      <c r="DK99" s="228">
        <f>IF(AND(DK$11&gt;=(12*(YEAR('Renovation Budget'!$F$30)-YEAR(Assumptions!$F$11))+(MONTH('Renovation Budget'!$F$30)-MONTH(Assumptions!$F$11))),DK$11&lt;=((12*(YEAR('Renovation Budget'!$F$30)-YEAR(Assumptions!$F$11))+(MONTH('Renovation Budget'!$F$30)-MONTH(Assumptions!$F$11)))+'Renovation Budget'!$G$30-1)),-'Renovation Budget'!$C$30/'Renovation Budget'!$G$30,0)</f>
        <v/>
      </c>
      <c r="DL99" s="228">
        <f>IF(AND(DL$11&gt;=(12*(YEAR('Renovation Budget'!$F$30)-YEAR(Assumptions!$F$11))+(MONTH('Renovation Budget'!$F$30)-MONTH(Assumptions!$F$11))),DL$11&lt;=((12*(YEAR('Renovation Budget'!$F$30)-YEAR(Assumptions!$F$11))+(MONTH('Renovation Budget'!$F$30)-MONTH(Assumptions!$F$11)))+'Renovation Budget'!$G$30-1)),-'Renovation Budget'!$C$30/'Renovation Budget'!$G$30,0)</f>
        <v/>
      </c>
      <c r="DM99" s="228">
        <f>IF(AND(DM$11&gt;=(12*(YEAR('Renovation Budget'!$F$30)-YEAR(Assumptions!$F$11))+(MONTH('Renovation Budget'!$F$30)-MONTH(Assumptions!$F$11))),DM$11&lt;=((12*(YEAR('Renovation Budget'!$F$30)-YEAR(Assumptions!$F$11))+(MONTH('Renovation Budget'!$F$30)-MONTH(Assumptions!$F$11)))+'Renovation Budget'!$G$30-1)),-'Renovation Budget'!$C$30/'Renovation Budget'!$G$30,0)</f>
        <v/>
      </c>
      <c r="DN99" s="228">
        <f>IF(AND(DN$11&gt;=(12*(YEAR('Renovation Budget'!$F$30)-YEAR(Assumptions!$F$11))+(MONTH('Renovation Budget'!$F$30)-MONTH(Assumptions!$F$11))),DN$11&lt;=((12*(YEAR('Renovation Budget'!$F$30)-YEAR(Assumptions!$F$11))+(MONTH('Renovation Budget'!$F$30)-MONTH(Assumptions!$F$11)))+'Renovation Budget'!$G$30-1)),-'Renovation Budget'!$C$30/'Renovation Budget'!$G$30,0)</f>
        <v/>
      </c>
      <c r="DO99" s="228">
        <f>IF(AND(DO$11&gt;=(12*(YEAR('Renovation Budget'!$F$30)-YEAR(Assumptions!$F$11))+(MONTH('Renovation Budget'!$F$30)-MONTH(Assumptions!$F$11))),DO$11&lt;=((12*(YEAR('Renovation Budget'!$F$30)-YEAR(Assumptions!$F$11))+(MONTH('Renovation Budget'!$F$30)-MONTH(Assumptions!$F$11)))+'Renovation Budget'!$G$30-1)),-'Renovation Budget'!$C$30/'Renovation Budget'!$G$30,0)</f>
        <v/>
      </c>
      <c r="DP99" s="228">
        <f>IF(AND(DP$11&gt;=(12*(YEAR('Renovation Budget'!$F$30)-YEAR(Assumptions!$F$11))+(MONTH('Renovation Budget'!$F$30)-MONTH(Assumptions!$F$11))),DP$11&lt;=((12*(YEAR('Renovation Budget'!$F$30)-YEAR(Assumptions!$F$11))+(MONTH('Renovation Budget'!$F$30)-MONTH(Assumptions!$F$11)))+'Renovation Budget'!$G$30-1)),-'Renovation Budget'!$C$30/'Renovation Budget'!$G$30,0)</f>
        <v/>
      </c>
      <c r="DQ99" s="228">
        <f>IF(AND(DQ$11&gt;=(12*(YEAR('Renovation Budget'!$F$30)-YEAR(Assumptions!$F$11))+(MONTH('Renovation Budget'!$F$30)-MONTH(Assumptions!$F$11))),DQ$11&lt;=((12*(YEAR('Renovation Budget'!$F$30)-YEAR(Assumptions!$F$11))+(MONTH('Renovation Budget'!$F$30)-MONTH(Assumptions!$F$11)))+'Renovation Budget'!$G$30-1)),-'Renovation Budget'!$C$30/'Renovation Budget'!$G$30,0)</f>
        <v/>
      </c>
      <c r="DR99" s="228">
        <f>IF(AND(DR$11&gt;=(12*(YEAR('Renovation Budget'!$F$30)-YEAR(Assumptions!$F$11))+(MONTH('Renovation Budget'!$F$30)-MONTH(Assumptions!$F$11))),DR$11&lt;=((12*(YEAR('Renovation Budget'!$F$30)-YEAR(Assumptions!$F$11))+(MONTH('Renovation Budget'!$F$30)-MONTH(Assumptions!$F$11)))+'Renovation Budget'!$G$30-1)),-'Renovation Budget'!$C$30/'Renovation Budget'!$G$30,0)</f>
        <v/>
      </c>
      <c r="DS99" s="228">
        <f>IF(AND(DS$11&gt;=(12*(YEAR('Renovation Budget'!$F$30)-YEAR(Assumptions!$F$11))+(MONTH('Renovation Budget'!$F$30)-MONTH(Assumptions!$F$11))),DS$11&lt;=((12*(YEAR('Renovation Budget'!$F$30)-YEAR(Assumptions!$F$11))+(MONTH('Renovation Budget'!$F$30)-MONTH(Assumptions!$F$11)))+'Renovation Budget'!$G$30-1)),-'Renovation Budget'!$C$30/'Renovation Budget'!$G$30,0)</f>
        <v/>
      </c>
      <c r="DT99" s="228">
        <f>IF(AND(DT$11&gt;=(12*(YEAR('Renovation Budget'!$F$30)-YEAR(Assumptions!$F$11))+(MONTH('Renovation Budget'!$F$30)-MONTH(Assumptions!$F$11))),DT$11&lt;=((12*(YEAR('Renovation Budget'!$F$30)-YEAR(Assumptions!$F$11))+(MONTH('Renovation Budget'!$F$30)-MONTH(Assumptions!$F$11)))+'Renovation Budget'!$G$30-1)),-'Renovation Budget'!$C$30/'Renovation Budget'!$G$30,0)</f>
        <v/>
      </c>
    </row>
    <row r="100" ht="15" customHeight="1" s="148">
      <c r="A100" s="112" t="inlineStr">
        <is>
          <t>Operating Deficit</t>
        </is>
      </c>
      <c r="C100" s="228">
        <f>SUM(D100:DT100)</f>
        <v/>
      </c>
      <c r="D100" s="228">
        <f>IF(AND(D$11&gt;=(12*(YEAR('Renovation Budget'!$F$31)-YEAR(Assumptions!$F$11))+(MONTH('Renovation Budget'!$F$31)-MONTH(Assumptions!$F$11))),D$11&lt;=((12*(YEAR('Renovation Budget'!$F$31)-YEAR(Assumptions!$F$11))+(MONTH('Renovation Budget'!$F$31)-MONTH(Assumptions!$F$11)))+'Renovation Budget'!$G$31-1)),-'Renovation Budget'!$C$31/'Renovation Budget'!$G$31,0)</f>
        <v/>
      </c>
      <c r="E100" s="228">
        <f>IF(AND(E$11&gt;=(12*(YEAR('Renovation Budget'!$F$31)-YEAR(Assumptions!$F$11))+(MONTH('Renovation Budget'!$F$31)-MONTH(Assumptions!$F$11))),E$11&lt;=((12*(YEAR('Renovation Budget'!$F$31)-YEAR(Assumptions!$F$11))+(MONTH('Renovation Budget'!$F$31)-MONTH(Assumptions!$F$11)))+'Renovation Budget'!$G$31-1)),-'Renovation Budget'!$C$31/'Renovation Budget'!$G$31,0)</f>
        <v/>
      </c>
      <c r="F100" s="228">
        <f>IF(AND(F$11&gt;=(12*(YEAR('Renovation Budget'!$F$31)-YEAR(Assumptions!$F$11))+(MONTH('Renovation Budget'!$F$31)-MONTH(Assumptions!$F$11))),F$11&lt;=((12*(YEAR('Renovation Budget'!$F$31)-YEAR(Assumptions!$F$11))+(MONTH('Renovation Budget'!$F$31)-MONTH(Assumptions!$F$11)))+'Renovation Budget'!$G$31-1)),-'Renovation Budget'!$C$31/'Renovation Budget'!$G$31,0)</f>
        <v/>
      </c>
      <c r="G100" s="228">
        <f>IF(AND(G$11&gt;=(12*(YEAR('Renovation Budget'!$F$31)-YEAR(Assumptions!$F$11))+(MONTH('Renovation Budget'!$F$31)-MONTH(Assumptions!$F$11))),G$11&lt;=((12*(YEAR('Renovation Budget'!$F$31)-YEAR(Assumptions!$F$11))+(MONTH('Renovation Budget'!$F$31)-MONTH(Assumptions!$F$11)))+'Renovation Budget'!$G$31-1)),-'Renovation Budget'!$C$31/'Renovation Budget'!$G$31,0)</f>
        <v/>
      </c>
      <c r="H100" s="228">
        <f>IF(AND(H$11&gt;=(12*(YEAR('Renovation Budget'!$F$31)-YEAR(Assumptions!$F$11))+(MONTH('Renovation Budget'!$F$31)-MONTH(Assumptions!$F$11))),H$11&lt;=((12*(YEAR('Renovation Budget'!$F$31)-YEAR(Assumptions!$F$11))+(MONTH('Renovation Budget'!$F$31)-MONTH(Assumptions!$F$11)))+'Renovation Budget'!$G$31-1)),-'Renovation Budget'!$C$31/'Renovation Budget'!$G$31,0)</f>
        <v/>
      </c>
      <c r="I100" s="228">
        <f>IF(AND(I$11&gt;=(12*(YEAR('Renovation Budget'!$F$31)-YEAR(Assumptions!$F$11))+(MONTH('Renovation Budget'!$F$31)-MONTH(Assumptions!$F$11))),I$11&lt;=((12*(YEAR('Renovation Budget'!$F$31)-YEAR(Assumptions!$F$11))+(MONTH('Renovation Budget'!$F$31)-MONTH(Assumptions!$F$11)))+'Renovation Budget'!$G$31-1)),-'Renovation Budget'!$C$31/'Renovation Budget'!$G$31,0)</f>
        <v/>
      </c>
      <c r="J100" s="228">
        <f>IF(AND(J$11&gt;=(12*(YEAR('Renovation Budget'!$F$31)-YEAR(Assumptions!$F$11))+(MONTH('Renovation Budget'!$F$31)-MONTH(Assumptions!$F$11))),J$11&lt;=((12*(YEAR('Renovation Budget'!$F$31)-YEAR(Assumptions!$F$11))+(MONTH('Renovation Budget'!$F$31)-MONTH(Assumptions!$F$11)))+'Renovation Budget'!$G$31-1)),-'Renovation Budget'!$C$31/'Renovation Budget'!$G$31,0)</f>
        <v/>
      </c>
      <c r="K100" s="228">
        <f>IF(AND(K$11&gt;=(12*(YEAR('Renovation Budget'!$F$31)-YEAR(Assumptions!$F$11))+(MONTH('Renovation Budget'!$F$31)-MONTH(Assumptions!$F$11))),K$11&lt;=((12*(YEAR('Renovation Budget'!$F$31)-YEAR(Assumptions!$F$11))+(MONTH('Renovation Budget'!$F$31)-MONTH(Assumptions!$F$11)))+'Renovation Budget'!$G$31-1)),-'Renovation Budget'!$C$31/'Renovation Budget'!$G$31,0)</f>
        <v/>
      </c>
      <c r="L100" s="228">
        <f>IF(AND(L$11&gt;=(12*(YEAR('Renovation Budget'!$F$31)-YEAR(Assumptions!$F$11))+(MONTH('Renovation Budget'!$F$31)-MONTH(Assumptions!$F$11))),L$11&lt;=((12*(YEAR('Renovation Budget'!$F$31)-YEAR(Assumptions!$F$11))+(MONTH('Renovation Budget'!$F$31)-MONTH(Assumptions!$F$11)))+'Renovation Budget'!$G$31-1)),-'Renovation Budget'!$C$31/'Renovation Budget'!$G$31,0)</f>
        <v/>
      </c>
      <c r="M100" s="228">
        <f>IF(AND(M$11&gt;=(12*(YEAR('Renovation Budget'!$F$31)-YEAR(Assumptions!$F$11))+(MONTH('Renovation Budget'!$F$31)-MONTH(Assumptions!$F$11))),M$11&lt;=((12*(YEAR('Renovation Budget'!$F$31)-YEAR(Assumptions!$F$11))+(MONTH('Renovation Budget'!$F$31)-MONTH(Assumptions!$F$11)))+'Renovation Budget'!$G$31-1)),-'Renovation Budget'!$C$31/'Renovation Budget'!$G$31,0)</f>
        <v/>
      </c>
      <c r="N100" s="228">
        <f>IF(AND(N$11&gt;=(12*(YEAR('Renovation Budget'!$F$31)-YEAR(Assumptions!$F$11))+(MONTH('Renovation Budget'!$F$31)-MONTH(Assumptions!$F$11))),N$11&lt;=((12*(YEAR('Renovation Budget'!$F$31)-YEAR(Assumptions!$F$11))+(MONTH('Renovation Budget'!$F$31)-MONTH(Assumptions!$F$11)))+'Renovation Budget'!$G$31-1)),-'Renovation Budget'!$C$31/'Renovation Budget'!$G$31,0)</f>
        <v/>
      </c>
      <c r="O100" s="228">
        <f>IF(AND(O$11&gt;=(12*(YEAR('Renovation Budget'!$F$31)-YEAR(Assumptions!$F$11))+(MONTH('Renovation Budget'!$F$31)-MONTH(Assumptions!$F$11))),O$11&lt;=((12*(YEAR('Renovation Budget'!$F$31)-YEAR(Assumptions!$F$11))+(MONTH('Renovation Budget'!$F$31)-MONTH(Assumptions!$F$11)))+'Renovation Budget'!$G$31-1)),-'Renovation Budget'!$C$31/'Renovation Budget'!$G$31,0)</f>
        <v/>
      </c>
      <c r="P100" s="228">
        <f>IF(AND(P$11&gt;=(12*(YEAR('Renovation Budget'!$F$31)-YEAR(Assumptions!$F$11))+(MONTH('Renovation Budget'!$F$31)-MONTH(Assumptions!$F$11))),P$11&lt;=((12*(YEAR('Renovation Budget'!$F$31)-YEAR(Assumptions!$F$11))+(MONTH('Renovation Budget'!$F$31)-MONTH(Assumptions!$F$11)))+'Renovation Budget'!$G$31-1)),-'Renovation Budget'!$C$31/'Renovation Budget'!$G$31,0)</f>
        <v/>
      </c>
      <c r="Q100" s="228">
        <f>IF(AND(Q$11&gt;=(12*(YEAR('Renovation Budget'!$F$31)-YEAR(Assumptions!$F$11))+(MONTH('Renovation Budget'!$F$31)-MONTH(Assumptions!$F$11))),Q$11&lt;=((12*(YEAR('Renovation Budget'!$F$31)-YEAR(Assumptions!$F$11))+(MONTH('Renovation Budget'!$F$31)-MONTH(Assumptions!$F$11)))+'Renovation Budget'!$G$31-1)),-'Renovation Budget'!$C$31/'Renovation Budget'!$G$31,0)</f>
        <v/>
      </c>
      <c r="R100" s="228">
        <f>IF(AND(R$11&gt;=(12*(YEAR('Renovation Budget'!$F$31)-YEAR(Assumptions!$F$11))+(MONTH('Renovation Budget'!$F$31)-MONTH(Assumptions!$F$11))),R$11&lt;=((12*(YEAR('Renovation Budget'!$F$31)-YEAR(Assumptions!$F$11))+(MONTH('Renovation Budget'!$F$31)-MONTH(Assumptions!$F$11)))+'Renovation Budget'!$G$31-1)),-'Renovation Budget'!$C$31/'Renovation Budget'!$G$31,0)</f>
        <v/>
      </c>
      <c r="S100" s="228">
        <f>IF(AND(S$11&gt;=(12*(YEAR('Renovation Budget'!$F$31)-YEAR(Assumptions!$F$11))+(MONTH('Renovation Budget'!$F$31)-MONTH(Assumptions!$F$11))),S$11&lt;=((12*(YEAR('Renovation Budget'!$F$31)-YEAR(Assumptions!$F$11))+(MONTH('Renovation Budget'!$F$31)-MONTH(Assumptions!$F$11)))+'Renovation Budget'!$G$31-1)),-'Renovation Budget'!$C$31/'Renovation Budget'!$G$31,0)</f>
        <v/>
      </c>
      <c r="T100" s="228">
        <f>IF(AND(T$11&gt;=(12*(YEAR('Renovation Budget'!$F$31)-YEAR(Assumptions!$F$11))+(MONTH('Renovation Budget'!$F$31)-MONTH(Assumptions!$F$11))),T$11&lt;=((12*(YEAR('Renovation Budget'!$F$31)-YEAR(Assumptions!$F$11))+(MONTH('Renovation Budget'!$F$31)-MONTH(Assumptions!$F$11)))+'Renovation Budget'!$G$31-1)),-'Renovation Budget'!$C$31/'Renovation Budget'!$G$31,0)</f>
        <v/>
      </c>
      <c r="U100" s="228">
        <f>IF(AND(U$11&gt;=(12*(YEAR('Renovation Budget'!$F$31)-YEAR(Assumptions!$F$11))+(MONTH('Renovation Budget'!$F$31)-MONTH(Assumptions!$F$11))),U$11&lt;=((12*(YEAR('Renovation Budget'!$F$31)-YEAR(Assumptions!$F$11))+(MONTH('Renovation Budget'!$F$31)-MONTH(Assumptions!$F$11)))+'Renovation Budget'!$G$31-1)),-'Renovation Budget'!$C$31/'Renovation Budget'!$G$31,0)</f>
        <v/>
      </c>
      <c r="V100" s="228">
        <f>IF(AND(V$11&gt;=(12*(YEAR('Renovation Budget'!$F$31)-YEAR(Assumptions!$F$11))+(MONTH('Renovation Budget'!$F$31)-MONTH(Assumptions!$F$11))),V$11&lt;=((12*(YEAR('Renovation Budget'!$F$31)-YEAR(Assumptions!$F$11))+(MONTH('Renovation Budget'!$F$31)-MONTH(Assumptions!$F$11)))+'Renovation Budget'!$G$31-1)),-'Renovation Budget'!$C$31/'Renovation Budget'!$G$31,0)</f>
        <v/>
      </c>
      <c r="W100" s="228">
        <f>IF(AND(W$11&gt;=(12*(YEAR('Renovation Budget'!$F$31)-YEAR(Assumptions!$F$11))+(MONTH('Renovation Budget'!$F$31)-MONTH(Assumptions!$F$11))),W$11&lt;=((12*(YEAR('Renovation Budget'!$F$31)-YEAR(Assumptions!$F$11))+(MONTH('Renovation Budget'!$F$31)-MONTH(Assumptions!$F$11)))+'Renovation Budget'!$G$31-1)),-'Renovation Budget'!$C$31/'Renovation Budget'!$G$31,0)</f>
        <v/>
      </c>
      <c r="X100" s="228">
        <f>IF(AND(X$11&gt;=(12*(YEAR('Renovation Budget'!$F$31)-YEAR(Assumptions!$F$11))+(MONTH('Renovation Budget'!$F$31)-MONTH(Assumptions!$F$11))),X$11&lt;=((12*(YEAR('Renovation Budget'!$F$31)-YEAR(Assumptions!$F$11))+(MONTH('Renovation Budget'!$F$31)-MONTH(Assumptions!$F$11)))+'Renovation Budget'!$G$31-1)),-'Renovation Budget'!$C$31/'Renovation Budget'!$G$31,0)</f>
        <v/>
      </c>
      <c r="Y100" s="228">
        <f>IF(AND(Y$11&gt;=(12*(YEAR('Renovation Budget'!$F$31)-YEAR(Assumptions!$F$11))+(MONTH('Renovation Budget'!$F$31)-MONTH(Assumptions!$F$11))),Y$11&lt;=((12*(YEAR('Renovation Budget'!$F$31)-YEAR(Assumptions!$F$11))+(MONTH('Renovation Budget'!$F$31)-MONTH(Assumptions!$F$11)))+'Renovation Budget'!$G$31-1)),-'Renovation Budget'!$C$31/'Renovation Budget'!$G$31,0)</f>
        <v/>
      </c>
      <c r="Z100" s="228">
        <f>IF(AND(Z$11&gt;=(12*(YEAR('Renovation Budget'!$F$31)-YEAR(Assumptions!$F$11))+(MONTH('Renovation Budget'!$F$31)-MONTH(Assumptions!$F$11))),Z$11&lt;=((12*(YEAR('Renovation Budget'!$F$31)-YEAR(Assumptions!$F$11))+(MONTH('Renovation Budget'!$F$31)-MONTH(Assumptions!$F$11)))+'Renovation Budget'!$G$31-1)),-'Renovation Budget'!$C$31/'Renovation Budget'!$G$31,0)</f>
        <v/>
      </c>
      <c r="AA100" s="228">
        <f>IF(AND(AA$11&gt;=(12*(YEAR('Renovation Budget'!$F$31)-YEAR(Assumptions!$F$11))+(MONTH('Renovation Budget'!$F$31)-MONTH(Assumptions!$F$11))),AA$11&lt;=((12*(YEAR('Renovation Budget'!$F$31)-YEAR(Assumptions!$F$11))+(MONTH('Renovation Budget'!$F$31)-MONTH(Assumptions!$F$11)))+'Renovation Budget'!$G$31-1)),-'Renovation Budget'!$C$31/'Renovation Budget'!$G$31,0)</f>
        <v/>
      </c>
      <c r="AB100" s="228">
        <f>IF(AND(AB$11&gt;=(12*(YEAR('Renovation Budget'!$F$31)-YEAR(Assumptions!$F$11))+(MONTH('Renovation Budget'!$F$31)-MONTH(Assumptions!$F$11))),AB$11&lt;=((12*(YEAR('Renovation Budget'!$F$31)-YEAR(Assumptions!$F$11))+(MONTH('Renovation Budget'!$F$31)-MONTH(Assumptions!$F$11)))+'Renovation Budget'!$G$31-1)),-'Renovation Budget'!$C$31/'Renovation Budget'!$G$31,0)</f>
        <v/>
      </c>
      <c r="AC100" s="228">
        <f>IF(AND(AC$11&gt;=(12*(YEAR('Renovation Budget'!$F$31)-YEAR(Assumptions!$F$11))+(MONTH('Renovation Budget'!$F$31)-MONTH(Assumptions!$F$11))),AC$11&lt;=((12*(YEAR('Renovation Budget'!$F$31)-YEAR(Assumptions!$F$11))+(MONTH('Renovation Budget'!$F$31)-MONTH(Assumptions!$F$11)))+'Renovation Budget'!$G$31-1)),-'Renovation Budget'!$C$31/'Renovation Budget'!$G$31,0)</f>
        <v/>
      </c>
      <c r="AD100" s="228">
        <f>IF(AND(AD$11&gt;=(12*(YEAR('Renovation Budget'!$F$31)-YEAR(Assumptions!$F$11))+(MONTH('Renovation Budget'!$F$31)-MONTH(Assumptions!$F$11))),AD$11&lt;=((12*(YEAR('Renovation Budget'!$F$31)-YEAR(Assumptions!$F$11))+(MONTH('Renovation Budget'!$F$31)-MONTH(Assumptions!$F$11)))+'Renovation Budget'!$G$31-1)),-'Renovation Budget'!$C$31/'Renovation Budget'!$G$31,0)</f>
        <v/>
      </c>
      <c r="AE100" s="228">
        <f>IF(AND(AE$11&gt;=(12*(YEAR('Renovation Budget'!$F$31)-YEAR(Assumptions!$F$11))+(MONTH('Renovation Budget'!$F$31)-MONTH(Assumptions!$F$11))),AE$11&lt;=((12*(YEAR('Renovation Budget'!$F$31)-YEAR(Assumptions!$F$11))+(MONTH('Renovation Budget'!$F$31)-MONTH(Assumptions!$F$11)))+'Renovation Budget'!$G$31-1)),-'Renovation Budget'!$C$31/'Renovation Budget'!$G$31,0)</f>
        <v/>
      </c>
      <c r="AF100" s="228">
        <f>IF(AND(AF$11&gt;=(12*(YEAR('Renovation Budget'!$F$31)-YEAR(Assumptions!$F$11))+(MONTH('Renovation Budget'!$F$31)-MONTH(Assumptions!$F$11))),AF$11&lt;=((12*(YEAR('Renovation Budget'!$F$31)-YEAR(Assumptions!$F$11))+(MONTH('Renovation Budget'!$F$31)-MONTH(Assumptions!$F$11)))+'Renovation Budget'!$G$31-1)),-'Renovation Budget'!$C$31/'Renovation Budget'!$G$31,0)</f>
        <v/>
      </c>
      <c r="AG100" s="228">
        <f>IF(AND(AG$11&gt;=(12*(YEAR('Renovation Budget'!$F$31)-YEAR(Assumptions!$F$11))+(MONTH('Renovation Budget'!$F$31)-MONTH(Assumptions!$F$11))),AG$11&lt;=((12*(YEAR('Renovation Budget'!$F$31)-YEAR(Assumptions!$F$11))+(MONTH('Renovation Budget'!$F$31)-MONTH(Assumptions!$F$11)))+'Renovation Budget'!$G$31-1)),-'Renovation Budget'!$C$31/'Renovation Budget'!$G$31,0)</f>
        <v/>
      </c>
      <c r="AH100" s="228">
        <f>IF(AND(AH$11&gt;=(12*(YEAR('Renovation Budget'!$F$31)-YEAR(Assumptions!$F$11))+(MONTH('Renovation Budget'!$F$31)-MONTH(Assumptions!$F$11))),AH$11&lt;=((12*(YEAR('Renovation Budget'!$F$31)-YEAR(Assumptions!$F$11))+(MONTH('Renovation Budget'!$F$31)-MONTH(Assumptions!$F$11)))+'Renovation Budget'!$G$31-1)),-'Renovation Budget'!$C$31/'Renovation Budget'!$G$31,0)</f>
        <v/>
      </c>
      <c r="AI100" s="228">
        <f>IF(AND(AI$11&gt;=(12*(YEAR('Renovation Budget'!$F$31)-YEAR(Assumptions!$F$11))+(MONTH('Renovation Budget'!$F$31)-MONTH(Assumptions!$F$11))),AI$11&lt;=((12*(YEAR('Renovation Budget'!$F$31)-YEAR(Assumptions!$F$11))+(MONTH('Renovation Budget'!$F$31)-MONTH(Assumptions!$F$11)))+'Renovation Budget'!$G$31-1)),-'Renovation Budget'!$C$31/'Renovation Budget'!$G$31,0)</f>
        <v/>
      </c>
      <c r="AJ100" s="228">
        <f>IF(AND(AJ$11&gt;=(12*(YEAR('Renovation Budget'!$F$31)-YEAR(Assumptions!$F$11))+(MONTH('Renovation Budget'!$F$31)-MONTH(Assumptions!$F$11))),AJ$11&lt;=((12*(YEAR('Renovation Budget'!$F$31)-YEAR(Assumptions!$F$11))+(MONTH('Renovation Budget'!$F$31)-MONTH(Assumptions!$F$11)))+'Renovation Budget'!$G$31-1)),-'Renovation Budget'!$C$31/'Renovation Budget'!$G$31,0)</f>
        <v/>
      </c>
      <c r="AK100" s="228">
        <f>IF(AND(AK$11&gt;=(12*(YEAR('Renovation Budget'!$F$31)-YEAR(Assumptions!$F$11))+(MONTH('Renovation Budget'!$F$31)-MONTH(Assumptions!$F$11))),AK$11&lt;=((12*(YEAR('Renovation Budget'!$F$31)-YEAR(Assumptions!$F$11))+(MONTH('Renovation Budget'!$F$31)-MONTH(Assumptions!$F$11)))+'Renovation Budget'!$G$31-1)),-'Renovation Budget'!$C$31/'Renovation Budget'!$G$31,0)</f>
        <v/>
      </c>
      <c r="AL100" s="228">
        <f>IF(AND(AL$11&gt;=(12*(YEAR('Renovation Budget'!$F$31)-YEAR(Assumptions!$F$11))+(MONTH('Renovation Budget'!$F$31)-MONTH(Assumptions!$F$11))),AL$11&lt;=((12*(YEAR('Renovation Budget'!$F$31)-YEAR(Assumptions!$F$11))+(MONTH('Renovation Budget'!$F$31)-MONTH(Assumptions!$F$11)))+'Renovation Budget'!$G$31-1)),-'Renovation Budget'!$C$31/'Renovation Budget'!$G$31,0)</f>
        <v/>
      </c>
      <c r="AM100" s="228">
        <f>IF(AND(AM$11&gt;=(12*(YEAR('Renovation Budget'!$F$31)-YEAR(Assumptions!$F$11))+(MONTH('Renovation Budget'!$F$31)-MONTH(Assumptions!$F$11))),AM$11&lt;=((12*(YEAR('Renovation Budget'!$F$31)-YEAR(Assumptions!$F$11))+(MONTH('Renovation Budget'!$F$31)-MONTH(Assumptions!$F$11)))+'Renovation Budget'!$G$31-1)),-'Renovation Budget'!$C$31/'Renovation Budget'!$G$31,0)</f>
        <v/>
      </c>
      <c r="AN100" s="228">
        <f>IF(AND(AN$11&gt;=(12*(YEAR('Renovation Budget'!$F$31)-YEAR(Assumptions!$F$11))+(MONTH('Renovation Budget'!$F$31)-MONTH(Assumptions!$F$11))),AN$11&lt;=((12*(YEAR('Renovation Budget'!$F$31)-YEAR(Assumptions!$F$11))+(MONTH('Renovation Budget'!$F$31)-MONTH(Assumptions!$F$11)))+'Renovation Budget'!$G$31-1)),-'Renovation Budget'!$C$31/'Renovation Budget'!$G$31,0)</f>
        <v/>
      </c>
      <c r="AO100" s="228">
        <f>IF(AND(AO$11&gt;=(12*(YEAR('Renovation Budget'!$F$31)-YEAR(Assumptions!$F$11))+(MONTH('Renovation Budget'!$F$31)-MONTH(Assumptions!$F$11))),AO$11&lt;=((12*(YEAR('Renovation Budget'!$F$31)-YEAR(Assumptions!$F$11))+(MONTH('Renovation Budget'!$F$31)-MONTH(Assumptions!$F$11)))+'Renovation Budget'!$G$31-1)),-'Renovation Budget'!$C$31/'Renovation Budget'!$G$31,0)</f>
        <v/>
      </c>
      <c r="AP100" s="228">
        <f>IF(AND(AP$11&gt;=(12*(YEAR('Renovation Budget'!$F$31)-YEAR(Assumptions!$F$11))+(MONTH('Renovation Budget'!$F$31)-MONTH(Assumptions!$F$11))),AP$11&lt;=((12*(YEAR('Renovation Budget'!$F$31)-YEAR(Assumptions!$F$11))+(MONTH('Renovation Budget'!$F$31)-MONTH(Assumptions!$F$11)))+'Renovation Budget'!$G$31-1)),-'Renovation Budget'!$C$31/'Renovation Budget'!$G$31,0)</f>
        <v/>
      </c>
      <c r="AQ100" s="228">
        <f>IF(AND(AQ$11&gt;=(12*(YEAR('Renovation Budget'!$F$31)-YEAR(Assumptions!$F$11))+(MONTH('Renovation Budget'!$F$31)-MONTH(Assumptions!$F$11))),AQ$11&lt;=((12*(YEAR('Renovation Budget'!$F$31)-YEAR(Assumptions!$F$11))+(MONTH('Renovation Budget'!$F$31)-MONTH(Assumptions!$F$11)))+'Renovation Budget'!$G$31-1)),-'Renovation Budget'!$C$31/'Renovation Budget'!$G$31,0)</f>
        <v/>
      </c>
      <c r="AR100" s="228">
        <f>IF(AND(AR$11&gt;=(12*(YEAR('Renovation Budget'!$F$31)-YEAR(Assumptions!$F$11))+(MONTH('Renovation Budget'!$F$31)-MONTH(Assumptions!$F$11))),AR$11&lt;=((12*(YEAR('Renovation Budget'!$F$31)-YEAR(Assumptions!$F$11))+(MONTH('Renovation Budget'!$F$31)-MONTH(Assumptions!$F$11)))+'Renovation Budget'!$G$31-1)),-'Renovation Budget'!$C$31/'Renovation Budget'!$G$31,0)</f>
        <v/>
      </c>
      <c r="AS100" s="228">
        <f>IF(AND(AS$11&gt;=(12*(YEAR('Renovation Budget'!$F$31)-YEAR(Assumptions!$F$11))+(MONTH('Renovation Budget'!$F$31)-MONTH(Assumptions!$F$11))),AS$11&lt;=((12*(YEAR('Renovation Budget'!$F$31)-YEAR(Assumptions!$F$11))+(MONTH('Renovation Budget'!$F$31)-MONTH(Assumptions!$F$11)))+'Renovation Budget'!$G$31-1)),-'Renovation Budget'!$C$31/'Renovation Budget'!$G$31,0)</f>
        <v/>
      </c>
      <c r="AT100" s="228">
        <f>IF(AND(AT$11&gt;=(12*(YEAR('Renovation Budget'!$F$31)-YEAR(Assumptions!$F$11))+(MONTH('Renovation Budget'!$F$31)-MONTH(Assumptions!$F$11))),AT$11&lt;=((12*(YEAR('Renovation Budget'!$F$31)-YEAR(Assumptions!$F$11))+(MONTH('Renovation Budget'!$F$31)-MONTH(Assumptions!$F$11)))+'Renovation Budget'!$G$31-1)),-'Renovation Budget'!$C$31/'Renovation Budget'!$G$31,0)</f>
        <v/>
      </c>
      <c r="AU100" s="228">
        <f>IF(AND(AU$11&gt;=(12*(YEAR('Renovation Budget'!$F$31)-YEAR(Assumptions!$F$11))+(MONTH('Renovation Budget'!$F$31)-MONTH(Assumptions!$F$11))),AU$11&lt;=((12*(YEAR('Renovation Budget'!$F$31)-YEAR(Assumptions!$F$11))+(MONTH('Renovation Budget'!$F$31)-MONTH(Assumptions!$F$11)))+'Renovation Budget'!$G$31-1)),-'Renovation Budget'!$C$31/'Renovation Budget'!$G$31,0)</f>
        <v/>
      </c>
      <c r="AV100" s="228">
        <f>IF(AND(AV$11&gt;=(12*(YEAR('Renovation Budget'!$F$31)-YEAR(Assumptions!$F$11))+(MONTH('Renovation Budget'!$F$31)-MONTH(Assumptions!$F$11))),AV$11&lt;=((12*(YEAR('Renovation Budget'!$F$31)-YEAR(Assumptions!$F$11))+(MONTH('Renovation Budget'!$F$31)-MONTH(Assumptions!$F$11)))+'Renovation Budget'!$G$31-1)),-'Renovation Budget'!$C$31/'Renovation Budget'!$G$31,0)</f>
        <v/>
      </c>
      <c r="AW100" s="228">
        <f>IF(AND(AW$11&gt;=(12*(YEAR('Renovation Budget'!$F$31)-YEAR(Assumptions!$F$11))+(MONTH('Renovation Budget'!$F$31)-MONTH(Assumptions!$F$11))),AW$11&lt;=((12*(YEAR('Renovation Budget'!$F$31)-YEAR(Assumptions!$F$11))+(MONTH('Renovation Budget'!$F$31)-MONTH(Assumptions!$F$11)))+'Renovation Budget'!$G$31-1)),-'Renovation Budget'!$C$31/'Renovation Budget'!$G$31,0)</f>
        <v/>
      </c>
      <c r="AX100" s="228">
        <f>IF(AND(AX$11&gt;=(12*(YEAR('Renovation Budget'!$F$31)-YEAR(Assumptions!$F$11))+(MONTH('Renovation Budget'!$F$31)-MONTH(Assumptions!$F$11))),AX$11&lt;=((12*(YEAR('Renovation Budget'!$F$31)-YEAR(Assumptions!$F$11))+(MONTH('Renovation Budget'!$F$31)-MONTH(Assumptions!$F$11)))+'Renovation Budget'!$G$31-1)),-'Renovation Budget'!$C$31/'Renovation Budget'!$G$31,0)</f>
        <v/>
      </c>
      <c r="AY100" s="228">
        <f>IF(AND(AY$11&gt;=(12*(YEAR('Renovation Budget'!$F$31)-YEAR(Assumptions!$F$11))+(MONTH('Renovation Budget'!$F$31)-MONTH(Assumptions!$F$11))),AY$11&lt;=((12*(YEAR('Renovation Budget'!$F$31)-YEAR(Assumptions!$F$11))+(MONTH('Renovation Budget'!$F$31)-MONTH(Assumptions!$F$11)))+'Renovation Budget'!$G$31-1)),-'Renovation Budget'!$C$31/'Renovation Budget'!$G$31,0)</f>
        <v/>
      </c>
      <c r="AZ100" s="228">
        <f>IF(AND(AZ$11&gt;=(12*(YEAR('Renovation Budget'!$F$31)-YEAR(Assumptions!$F$11))+(MONTH('Renovation Budget'!$F$31)-MONTH(Assumptions!$F$11))),AZ$11&lt;=((12*(YEAR('Renovation Budget'!$F$31)-YEAR(Assumptions!$F$11))+(MONTH('Renovation Budget'!$F$31)-MONTH(Assumptions!$F$11)))+'Renovation Budget'!$G$31-1)),-'Renovation Budget'!$C$31/'Renovation Budget'!$G$31,0)</f>
        <v/>
      </c>
      <c r="BA100" s="228">
        <f>IF(AND(BA$11&gt;=(12*(YEAR('Renovation Budget'!$F$31)-YEAR(Assumptions!$F$11))+(MONTH('Renovation Budget'!$F$31)-MONTH(Assumptions!$F$11))),BA$11&lt;=((12*(YEAR('Renovation Budget'!$F$31)-YEAR(Assumptions!$F$11))+(MONTH('Renovation Budget'!$F$31)-MONTH(Assumptions!$F$11)))+'Renovation Budget'!$G$31-1)),-'Renovation Budget'!$C$31/'Renovation Budget'!$G$31,0)</f>
        <v/>
      </c>
      <c r="BB100" s="228">
        <f>IF(AND(BB$11&gt;=(12*(YEAR('Renovation Budget'!$F$31)-YEAR(Assumptions!$F$11))+(MONTH('Renovation Budget'!$F$31)-MONTH(Assumptions!$F$11))),BB$11&lt;=((12*(YEAR('Renovation Budget'!$F$31)-YEAR(Assumptions!$F$11))+(MONTH('Renovation Budget'!$F$31)-MONTH(Assumptions!$F$11)))+'Renovation Budget'!$G$31-1)),-'Renovation Budget'!$C$31/'Renovation Budget'!$G$31,0)</f>
        <v/>
      </c>
      <c r="BC100" s="228">
        <f>IF(AND(BC$11&gt;=(12*(YEAR('Renovation Budget'!$F$31)-YEAR(Assumptions!$F$11))+(MONTH('Renovation Budget'!$F$31)-MONTH(Assumptions!$F$11))),BC$11&lt;=((12*(YEAR('Renovation Budget'!$F$31)-YEAR(Assumptions!$F$11))+(MONTH('Renovation Budget'!$F$31)-MONTH(Assumptions!$F$11)))+'Renovation Budget'!$G$31-1)),-'Renovation Budget'!$C$31/'Renovation Budget'!$G$31,0)</f>
        <v/>
      </c>
      <c r="BD100" s="228">
        <f>IF(AND(BD$11&gt;=(12*(YEAR('Renovation Budget'!$F$31)-YEAR(Assumptions!$F$11))+(MONTH('Renovation Budget'!$F$31)-MONTH(Assumptions!$F$11))),BD$11&lt;=((12*(YEAR('Renovation Budget'!$F$31)-YEAR(Assumptions!$F$11))+(MONTH('Renovation Budget'!$F$31)-MONTH(Assumptions!$F$11)))+'Renovation Budget'!$G$31-1)),-'Renovation Budget'!$C$31/'Renovation Budget'!$G$31,0)</f>
        <v/>
      </c>
      <c r="BE100" s="228">
        <f>IF(AND(BE$11&gt;=(12*(YEAR('Renovation Budget'!$F$31)-YEAR(Assumptions!$F$11))+(MONTH('Renovation Budget'!$F$31)-MONTH(Assumptions!$F$11))),BE$11&lt;=((12*(YEAR('Renovation Budget'!$F$31)-YEAR(Assumptions!$F$11))+(MONTH('Renovation Budget'!$F$31)-MONTH(Assumptions!$F$11)))+'Renovation Budget'!$G$31-1)),-'Renovation Budget'!$C$31/'Renovation Budget'!$G$31,0)</f>
        <v/>
      </c>
      <c r="BF100" s="228">
        <f>IF(AND(BF$11&gt;=(12*(YEAR('Renovation Budget'!$F$31)-YEAR(Assumptions!$F$11))+(MONTH('Renovation Budget'!$F$31)-MONTH(Assumptions!$F$11))),BF$11&lt;=((12*(YEAR('Renovation Budget'!$F$31)-YEAR(Assumptions!$F$11))+(MONTH('Renovation Budget'!$F$31)-MONTH(Assumptions!$F$11)))+'Renovation Budget'!$G$31-1)),-'Renovation Budget'!$C$31/'Renovation Budget'!$G$31,0)</f>
        <v/>
      </c>
      <c r="BG100" s="228">
        <f>IF(AND(BG$11&gt;=(12*(YEAR('Renovation Budget'!$F$31)-YEAR(Assumptions!$F$11))+(MONTH('Renovation Budget'!$F$31)-MONTH(Assumptions!$F$11))),BG$11&lt;=((12*(YEAR('Renovation Budget'!$F$31)-YEAR(Assumptions!$F$11))+(MONTH('Renovation Budget'!$F$31)-MONTH(Assumptions!$F$11)))+'Renovation Budget'!$G$31-1)),-'Renovation Budget'!$C$31/'Renovation Budget'!$G$31,0)</f>
        <v/>
      </c>
      <c r="BH100" s="228">
        <f>IF(AND(BH$11&gt;=(12*(YEAR('Renovation Budget'!$F$31)-YEAR(Assumptions!$F$11))+(MONTH('Renovation Budget'!$F$31)-MONTH(Assumptions!$F$11))),BH$11&lt;=((12*(YEAR('Renovation Budget'!$F$31)-YEAR(Assumptions!$F$11))+(MONTH('Renovation Budget'!$F$31)-MONTH(Assumptions!$F$11)))+'Renovation Budget'!$G$31-1)),-'Renovation Budget'!$C$31/'Renovation Budget'!$G$31,0)</f>
        <v/>
      </c>
      <c r="BI100" s="228">
        <f>IF(AND(BI$11&gt;=(12*(YEAR('Renovation Budget'!$F$31)-YEAR(Assumptions!$F$11))+(MONTH('Renovation Budget'!$F$31)-MONTH(Assumptions!$F$11))),BI$11&lt;=((12*(YEAR('Renovation Budget'!$F$31)-YEAR(Assumptions!$F$11))+(MONTH('Renovation Budget'!$F$31)-MONTH(Assumptions!$F$11)))+'Renovation Budget'!$G$31-1)),-'Renovation Budget'!$C$31/'Renovation Budget'!$G$31,0)</f>
        <v/>
      </c>
      <c r="BJ100" s="228">
        <f>IF(AND(BJ$11&gt;=(12*(YEAR('Renovation Budget'!$F$31)-YEAR(Assumptions!$F$11))+(MONTH('Renovation Budget'!$F$31)-MONTH(Assumptions!$F$11))),BJ$11&lt;=((12*(YEAR('Renovation Budget'!$F$31)-YEAR(Assumptions!$F$11))+(MONTH('Renovation Budget'!$F$31)-MONTH(Assumptions!$F$11)))+'Renovation Budget'!$G$31-1)),-'Renovation Budget'!$C$31/'Renovation Budget'!$G$31,0)</f>
        <v/>
      </c>
      <c r="BK100" s="228">
        <f>IF(AND(BK$11&gt;=(12*(YEAR('Renovation Budget'!$F$31)-YEAR(Assumptions!$F$11))+(MONTH('Renovation Budget'!$F$31)-MONTH(Assumptions!$F$11))),BK$11&lt;=((12*(YEAR('Renovation Budget'!$F$31)-YEAR(Assumptions!$F$11))+(MONTH('Renovation Budget'!$F$31)-MONTH(Assumptions!$F$11)))+'Renovation Budget'!$G$31-1)),-'Renovation Budget'!$C$31/'Renovation Budget'!$G$31,0)</f>
        <v/>
      </c>
      <c r="BL100" s="228">
        <f>IF(AND(BL$11&gt;=(12*(YEAR('Renovation Budget'!$F$31)-YEAR(Assumptions!$F$11))+(MONTH('Renovation Budget'!$F$31)-MONTH(Assumptions!$F$11))),BL$11&lt;=((12*(YEAR('Renovation Budget'!$F$31)-YEAR(Assumptions!$F$11))+(MONTH('Renovation Budget'!$F$31)-MONTH(Assumptions!$F$11)))+'Renovation Budget'!$G$31-1)),-'Renovation Budget'!$C$31/'Renovation Budget'!$G$31,0)</f>
        <v/>
      </c>
      <c r="BM100" s="228">
        <f>IF(AND(BM$11&gt;=(12*(YEAR('Renovation Budget'!$F$31)-YEAR(Assumptions!$F$11))+(MONTH('Renovation Budget'!$F$31)-MONTH(Assumptions!$F$11))),BM$11&lt;=((12*(YEAR('Renovation Budget'!$F$31)-YEAR(Assumptions!$F$11))+(MONTH('Renovation Budget'!$F$31)-MONTH(Assumptions!$F$11)))+'Renovation Budget'!$G$31-1)),-'Renovation Budget'!$C$31/'Renovation Budget'!$G$31,0)</f>
        <v/>
      </c>
      <c r="BN100" s="228">
        <f>IF(AND(BN$11&gt;=(12*(YEAR('Renovation Budget'!$F$31)-YEAR(Assumptions!$F$11))+(MONTH('Renovation Budget'!$F$31)-MONTH(Assumptions!$F$11))),BN$11&lt;=((12*(YEAR('Renovation Budget'!$F$31)-YEAR(Assumptions!$F$11))+(MONTH('Renovation Budget'!$F$31)-MONTH(Assumptions!$F$11)))+'Renovation Budget'!$G$31-1)),-'Renovation Budget'!$C$31/'Renovation Budget'!$G$31,0)</f>
        <v/>
      </c>
      <c r="BO100" s="228">
        <f>IF(AND(BO$11&gt;=(12*(YEAR('Renovation Budget'!$F$31)-YEAR(Assumptions!$F$11))+(MONTH('Renovation Budget'!$F$31)-MONTH(Assumptions!$F$11))),BO$11&lt;=((12*(YEAR('Renovation Budget'!$F$31)-YEAR(Assumptions!$F$11))+(MONTH('Renovation Budget'!$F$31)-MONTH(Assumptions!$F$11)))+'Renovation Budget'!$G$31-1)),-'Renovation Budget'!$C$31/'Renovation Budget'!$G$31,0)</f>
        <v/>
      </c>
      <c r="BP100" s="228">
        <f>IF(AND(BP$11&gt;=(12*(YEAR('Renovation Budget'!$F$31)-YEAR(Assumptions!$F$11))+(MONTH('Renovation Budget'!$F$31)-MONTH(Assumptions!$F$11))),BP$11&lt;=((12*(YEAR('Renovation Budget'!$F$31)-YEAR(Assumptions!$F$11))+(MONTH('Renovation Budget'!$F$31)-MONTH(Assumptions!$F$11)))+'Renovation Budget'!$G$31-1)),-'Renovation Budget'!$C$31/'Renovation Budget'!$G$31,0)</f>
        <v/>
      </c>
      <c r="BQ100" s="228">
        <f>IF(AND(BQ$11&gt;=(12*(YEAR('Renovation Budget'!$F$31)-YEAR(Assumptions!$F$11))+(MONTH('Renovation Budget'!$F$31)-MONTH(Assumptions!$F$11))),BQ$11&lt;=((12*(YEAR('Renovation Budget'!$F$31)-YEAR(Assumptions!$F$11))+(MONTH('Renovation Budget'!$F$31)-MONTH(Assumptions!$F$11)))+'Renovation Budget'!$G$31-1)),-'Renovation Budget'!$C$31/'Renovation Budget'!$G$31,0)</f>
        <v/>
      </c>
      <c r="BR100" s="228">
        <f>IF(AND(BR$11&gt;=(12*(YEAR('Renovation Budget'!$F$31)-YEAR(Assumptions!$F$11))+(MONTH('Renovation Budget'!$F$31)-MONTH(Assumptions!$F$11))),BR$11&lt;=((12*(YEAR('Renovation Budget'!$F$31)-YEAR(Assumptions!$F$11))+(MONTH('Renovation Budget'!$F$31)-MONTH(Assumptions!$F$11)))+'Renovation Budget'!$G$31-1)),-'Renovation Budget'!$C$31/'Renovation Budget'!$G$31,0)</f>
        <v/>
      </c>
      <c r="BS100" s="228">
        <f>IF(AND(BS$11&gt;=(12*(YEAR('Renovation Budget'!$F$31)-YEAR(Assumptions!$F$11))+(MONTH('Renovation Budget'!$F$31)-MONTH(Assumptions!$F$11))),BS$11&lt;=((12*(YEAR('Renovation Budget'!$F$31)-YEAR(Assumptions!$F$11))+(MONTH('Renovation Budget'!$F$31)-MONTH(Assumptions!$F$11)))+'Renovation Budget'!$G$31-1)),-'Renovation Budget'!$C$31/'Renovation Budget'!$G$31,0)</f>
        <v/>
      </c>
      <c r="BT100" s="228">
        <f>IF(AND(BT$11&gt;=(12*(YEAR('Renovation Budget'!$F$31)-YEAR(Assumptions!$F$11))+(MONTH('Renovation Budget'!$F$31)-MONTH(Assumptions!$F$11))),BT$11&lt;=((12*(YEAR('Renovation Budget'!$F$31)-YEAR(Assumptions!$F$11))+(MONTH('Renovation Budget'!$F$31)-MONTH(Assumptions!$F$11)))+'Renovation Budget'!$G$31-1)),-'Renovation Budget'!$C$31/'Renovation Budget'!$G$31,0)</f>
        <v/>
      </c>
      <c r="BU100" s="228">
        <f>IF(AND(BU$11&gt;=(12*(YEAR('Renovation Budget'!$F$31)-YEAR(Assumptions!$F$11))+(MONTH('Renovation Budget'!$F$31)-MONTH(Assumptions!$F$11))),BU$11&lt;=((12*(YEAR('Renovation Budget'!$F$31)-YEAR(Assumptions!$F$11))+(MONTH('Renovation Budget'!$F$31)-MONTH(Assumptions!$F$11)))+'Renovation Budget'!$G$31-1)),-'Renovation Budget'!$C$31/'Renovation Budget'!$G$31,0)</f>
        <v/>
      </c>
      <c r="BV100" s="228">
        <f>IF(AND(BV$11&gt;=(12*(YEAR('Renovation Budget'!$F$31)-YEAR(Assumptions!$F$11))+(MONTH('Renovation Budget'!$F$31)-MONTH(Assumptions!$F$11))),BV$11&lt;=((12*(YEAR('Renovation Budget'!$F$31)-YEAR(Assumptions!$F$11))+(MONTH('Renovation Budget'!$F$31)-MONTH(Assumptions!$F$11)))+'Renovation Budget'!$G$31-1)),-'Renovation Budget'!$C$31/'Renovation Budget'!$G$31,0)</f>
        <v/>
      </c>
      <c r="BW100" s="228">
        <f>IF(AND(BW$11&gt;=(12*(YEAR('Renovation Budget'!$F$31)-YEAR(Assumptions!$F$11))+(MONTH('Renovation Budget'!$F$31)-MONTH(Assumptions!$F$11))),BW$11&lt;=((12*(YEAR('Renovation Budget'!$F$31)-YEAR(Assumptions!$F$11))+(MONTH('Renovation Budget'!$F$31)-MONTH(Assumptions!$F$11)))+'Renovation Budget'!$G$31-1)),-'Renovation Budget'!$C$31/'Renovation Budget'!$G$31,0)</f>
        <v/>
      </c>
      <c r="BX100" s="228">
        <f>IF(AND(BX$11&gt;=(12*(YEAR('Renovation Budget'!$F$31)-YEAR(Assumptions!$F$11))+(MONTH('Renovation Budget'!$F$31)-MONTH(Assumptions!$F$11))),BX$11&lt;=((12*(YEAR('Renovation Budget'!$F$31)-YEAR(Assumptions!$F$11))+(MONTH('Renovation Budget'!$F$31)-MONTH(Assumptions!$F$11)))+'Renovation Budget'!$G$31-1)),-'Renovation Budget'!$C$31/'Renovation Budget'!$G$31,0)</f>
        <v/>
      </c>
      <c r="BY100" s="228">
        <f>IF(AND(BY$11&gt;=(12*(YEAR('Renovation Budget'!$F$31)-YEAR(Assumptions!$F$11))+(MONTH('Renovation Budget'!$F$31)-MONTH(Assumptions!$F$11))),BY$11&lt;=((12*(YEAR('Renovation Budget'!$F$31)-YEAR(Assumptions!$F$11))+(MONTH('Renovation Budget'!$F$31)-MONTH(Assumptions!$F$11)))+'Renovation Budget'!$G$31-1)),-'Renovation Budget'!$C$31/'Renovation Budget'!$G$31,0)</f>
        <v/>
      </c>
      <c r="BZ100" s="228">
        <f>IF(AND(BZ$11&gt;=(12*(YEAR('Renovation Budget'!$F$31)-YEAR(Assumptions!$F$11))+(MONTH('Renovation Budget'!$F$31)-MONTH(Assumptions!$F$11))),BZ$11&lt;=((12*(YEAR('Renovation Budget'!$F$31)-YEAR(Assumptions!$F$11))+(MONTH('Renovation Budget'!$F$31)-MONTH(Assumptions!$F$11)))+'Renovation Budget'!$G$31-1)),-'Renovation Budget'!$C$31/'Renovation Budget'!$G$31,0)</f>
        <v/>
      </c>
      <c r="CA100" s="228">
        <f>IF(AND(CA$11&gt;=(12*(YEAR('Renovation Budget'!$F$31)-YEAR(Assumptions!$F$11))+(MONTH('Renovation Budget'!$F$31)-MONTH(Assumptions!$F$11))),CA$11&lt;=((12*(YEAR('Renovation Budget'!$F$31)-YEAR(Assumptions!$F$11))+(MONTH('Renovation Budget'!$F$31)-MONTH(Assumptions!$F$11)))+'Renovation Budget'!$G$31-1)),-'Renovation Budget'!$C$31/'Renovation Budget'!$G$31,0)</f>
        <v/>
      </c>
      <c r="CB100" s="228">
        <f>IF(AND(CB$11&gt;=(12*(YEAR('Renovation Budget'!$F$31)-YEAR(Assumptions!$F$11))+(MONTH('Renovation Budget'!$F$31)-MONTH(Assumptions!$F$11))),CB$11&lt;=((12*(YEAR('Renovation Budget'!$F$31)-YEAR(Assumptions!$F$11))+(MONTH('Renovation Budget'!$F$31)-MONTH(Assumptions!$F$11)))+'Renovation Budget'!$G$31-1)),-'Renovation Budget'!$C$31/'Renovation Budget'!$G$31,0)</f>
        <v/>
      </c>
      <c r="CC100" s="228">
        <f>IF(AND(CC$11&gt;=(12*(YEAR('Renovation Budget'!$F$31)-YEAR(Assumptions!$F$11))+(MONTH('Renovation Budget'!$F$31)-MONTH(Assumptions!$F$11))),CC$11&lt;=((12*(YEAR('Renovation Budget'!$F$31)-YEAR(Assumptions!$F$11))+(MONTH('Renovation Budget'!$F$31)-MONTH(Assumptions!$F$11)))+'Renovation Budget'!$G$31-1)),-'Renovation Budget'!$C$31/'Renovation Budget'!$G$31,0)</f>
        <v/>
      </c>
      <c r="CD100" s="228">
        <f>IF(AND(CD$11&gt;=(12*(YEAR('Renovation Budget'!$F$31)-YEAR(Assumptions!$F$11))+(MONTH('Renovation Budget'!$F$31)-MONTH(Assumptions!$F$11))),CD$11&lt;=((12*(YEAR('Renovation Budget'!$F$31)-YEAR(Assumptions!$F$11))+(MONTH('Renovation Budget'!$F$31)-MONTH(Assumptions!$F$11)))+'Renovation Budget'!$G$31-1)),-'Renovation Budget'!$C$31/'Renovation Budget'!$G$31,0)</f>
        <v/>
      </c>
      <c r="CE100" s="228">
        <f>IF(AND(CE$11&gt;=(12*(YEAR('Renovation Budget'!$F$31)-YEAR(Assumptions!$F$11))+(MONTH('Renovation Budget'!$F$31)-MONTH(Assumptions!$F$11))),CE$11&lt;=((12*(YEAR('Renovation Budget'!$F$31)-YEAR(Assumptions!$F$11))+(MONTH('Renovation Budget'!$F$31)-MONTH(Assumptions!$F$11)))+'Renovation Budget'!$G$31-1)),-'Renovation Budget'!$C$31/'Renovation Budget'!$G$31,0)</f>
        <v/>
      </c>
      <c r="CF100" s="228">
        <f>IF(AND(CF$11&gt;=(12*(YEAR('Renovation Budget'!$F$31)-YEAR(Assumptions!$F$11))+(MONTH('Renovation Budget'!$F$31)-MONTH(Assumptions!$F$11))),CF$11&lt;=((12*(YEAR('Renovation Budget'!$F$31)-YEAR(Assumptions!$F$11))+(MONTH('Renovation Budget'!$F$31)-MONTH(Assumptions!$F$11)))+'Renovation Budget'!$G$31-1)),-'Renovation Budget'!$C$31/'Renovation Budget'!$G$31,0)</f>
        <v/>
      </c>
      <c r="CG100" s="228">
        <f>IF(AND(CG$11&gt;=(12*(YEAR('Renovation Budget'!$F$31)-YEAR(Assumptions!$F$11))+(MONTH('Renovation Budget'!$F$31)-MONTH(Assumptions!$F$11))),CG$11&lt;=((12*(YEAR('Renovation Budget'!$F$31)-YEAR(Assumptions!$F$11))+(MONTH('Renovation Budget'!$F$31)-MONTH(Assumptions!$F$11)))+'Renovation Budget'!$G$31-1)),-'Renovation Budget'!$C$31/'Renovation Budget'!$G$31,0)</f>
        <v/>
      </c>
      <c r="CH100" s="228">
        <f>IF(AND(CH$11&gt;=(12*(YEAR('Renovation Budget'!$F$31)-YEAR(Assumptions!$F$11))+(MONTH('Renovation Budget'!$F$31)-MONTH(Assumptions!$F$11))),CH$11&lt;=((12*(YEAR('Renovation Budget'!$F$31)-YEAR(Assumptions!$F$11))+(MONTH('Renovation Budget'!$F$31)-MONTH(Assumptions!$F$11)))+'Renovation Budget'!$G$31-1)),-'Renovation Budget'!$C$31/'Renovation Budget'!$G$31,0)</f>
        <v/>
      </c>
      <c r="CI100" s="228">
        <f>IF(AND(CI$11&gt;=(12*(YEAR('Renovation Budget'!$F$31)-YEAR(Assumptions!$F$11))+(MONTH('Renovation Budget'!$F$31)-MONTH(Assumptions!$F$11))),CI$11&lt;=((12*(YEAR('Renovation Budget'!$F$31)-YEAR(Assumptions!$F$11))+(MONTH('Renovation Budget'!$F$31)-MONTH(Assumptions!$F$11)))+'Renovation Budget'!$G$31-1)),-'Renovation Budget'!$C$31/'Renovation Budget'!$G$31,0)</f>
        <v/>
      </c>
      <c r="CJ100" s="228">
        <f>IF(AND(CJ$11&gt;=(12*(YEAR('Renovation Budget'!$F$31)-YEAR(Assumptions!$F$11))+(MONTH('Renovation Budget'!$F$31)-MONTH(Assumptions!$F$11))),CJ$11&lt;=((12*(YEAR('Renovation Budget'!$F$31)-YEAR(Assumptions!$F$11))+(MONTH('Renovation Budget'!$F$31)-MONTH(Assumptions!$F$11)))+'Renovation Budget'!$G$31-1)),-'Renovation Budget'!$C$31/'Renovation Budget'!$G$31,0)</f>
        <v/>
      </c>
      <c r="CK100" s="228">
        <f>IF(AND(CK$11&gt;=(12*(YEAR('Renovation Budget'!$F$31)-YEAR(Assumptions!$F$11))+(MONTH('Renovation Budget'!$F$31)-MONTH(Assumptions!$F$11))),CK$11&lt;=((12*(YEAR('Renovation Budget'!$F$31)-YEAR(Assumptions!$F$11))+(MONTH('Renovation Budget'!$F$31)-MONTH(Assumptions!$F$11)))+'Renovation Budget'!$G$31-1)),-'Renovation Budget'!$C$31/'Renovation Budget'!$G$31,0)</f>
        <v/>
      </c>
      <c r="CL100" s="228">
        <f>IF(AND(CL$11&gt;=(12*(YEAR('Renovation Budget'!$F$31)-YEAR(Assumptions!$F$11))+(MONTH('Renovation Budget'!$F$31)-MONTH(Assumptions!$F$11))),CL$11&lt;=((12*(YEAR('Renovation Budget'!$F$31)-YEAR(Assumptions!$F$11))+(MONTH('Renovation Budget'!$F$31)-MONTH(Assumptions!$F$11)))+'Renovation Budget'!$G$31-1)),-'Renovation Budget'!$C$31/'Renovation Budget'!$G$31,0)</f>
        <v/>
      </c>
      <c r="CM100" s="228">
        <f>IF(AND(CM$11&gt;=(12*(YEAR('Renovation Budget'!$F$31)-YEAR(Assumptions!$F$11))+(MONTH('Renovation Budget'!$F$31)-MONTH(Assumptions!$F$11))),CM$11&lt;=((12*(YEAR('Renovation Budget'!$F$31)-YEAR(Assumptions!$F$11))+(MONTH('Renovation Budget'!$F$31)-MONTH(Assumptions!$F$11)))+'Renovation Budget'!$G$31-1)),-'Renovation Budget'!$C$31/'Renovation Budget'!$G$31,0)</f>
        <v/>
      </c>
      <c r="CN100" s="228">
        <f>IF(AND(CN$11&gt;=(12*(YEAR('Renovation Budget'!$F$31)-YEAR(Assumptions!$F$11))+(MONTH('Renovation Budget'!$F$31)-MONTH(Assumptions!$F$11))),CN$11&lt;=((12*(YEAR('Renovation Budget'!$F$31)-YEAR(Assumptions!$F$11))+(MONTH('Renovation Budget'!$F$31)-MONTH(Assumptions!$F$11)))+'Renovation Budget'!$G$31-1)),-'Renovation Budget'!$C$31/'Renovation Budget'!$G$31,0)</f>
        <v/>
      </c>
      <c r="CO100" s="228">
        <f>IF(AND(CO$11&gt;=(12*(YEAR('Renovation Budget'!$F$31)-YEAR(Assumptions!$F$11))+(MONTH('Renovation Budget'!$F$31)-MONTH(Assumptions!$F$11))),CO$11&lt;=((12*(YEAR('Renovation Budget'!$F$31)-YEAR(Assumptions!$F$11))+(MONTH('Renovation Budget'!$F$31)-MONTH(Assumptions!$F$11)))+'Renovation Budget'!$G$31-1)),-'Renovation Budget'!$C$31/'Renovation Budget'!$G$31,0)</f>
        <v/>
      </c>
      <c r="CP100" s="228">
        <f>IF(AND(CP$11&gt;=(12*(YEAR('Renovation Budget'!$F$31)-YEAR(Assumptions!$F$11))+(MONTH('Renovation Budget'!$F$31)-MONTH(Assumptions!$F$11))),CP$11&lt;=((12*(YEAR('Renovation Budget'!$F$31)-YEAR(Assumptions!$F$11))+(MONTH('Renovation Budget'!$F$31)-MONTH(Assumptions!$F$11)))+'Renovation Budget'!$G$31-1)),-'Renovation Budget'!$C$31/'Renovation Budget'!$G$31,0)</f>
        <v/>
      </c>
      <c r="CQ100" s="228">
        <f>IF(AND(CQ$11&gt;=(12*(YEAR('Renovation Budget'!$F$31)-YEAR(Assumptions!$F$11))+(MONTH('Renovation Budget'!$F$31)-MONTH(Assumptions!$F$11))),CQ$11&lt;=((12*(YEAR('Renovation Budget'!$F$31)-YEAR(Assumptions!$F$11))+(MONTH('Renovation Budget'!$F$31)-MONTH(Assumptions!$F$11)))+'Renovation Budget'!$G$31-1)),-'Renovation Budget'!$C$31/'Renovation Budget'!$G$31,0)</f>
        <v/>
      </c>
      <c r="CR100" s="228">
        <f>IF(AND(CR$11&gt;=(12*(YEAR('Renovation Budget'!$F$31)-YEAR(Assumptions!$F$11))+(MONTH('Renovation Budget'!$F$31)-MONTH(Assumptions!$F$11))),CR$11&lt;=((12*(YEAR('Renovation Budget'!$F$31)-YEAR(Assumptions!$F$11))+(MONTH('Renovation Budget'!$F$31)-MONTH(Assumptions!$F$11)))+'Renovation Budget'!$G$31-1)),-'Renovation Budget'!$C$31/'Renovation Budget'!$G$31,0)</f>
        <v/>
      </c>
      <c r="CS100" s="228">
        <f>IF(AND(CS$11&gt;=(12*(YEAR('Renovation Budget'!$F$31)-YEAR(Assumptions!$F$11))+(MONTH('Renovation Budget'!$F$31)-MONTH(Assumptions!$F$11))),CS$11&lt;=((12*(YEAR('Renovation Budget'!$F$31)-YEAR(Assumptions!$F$11))+(MONTH('Renovation Budget'!$F$31)-MONTH(Assumptions!$F$11)))+'Renovation Budget'!$G$31-1)),-'Renovation Budget'!$C$31/'Renovation Budget'!$G$31,0)</f>
        <v/>
      </c>
      <c r="CT100" s="228">
        <f>IF(AND(CT$11&gt;=(12*(YEAR('Renovation Budget'!$F$31)-YEAR(Assumptions!$F$11))+(MONTH('Renovation Budget'!$F$31)-MONTH(Assumptions!$F$11))),CT$11&lt;=((12*(YEAR('Renovation Budget'!$F$31)-YEAR(Assumptions!$F$11))+(MONTH('Renovation Budget'!$F$31)-MONTH(Assumptions!$F$11)))+'Renovation Budget'!$G$31-1)),-'Renovation Budget'!$C$31/'Renovation Budget'!$G$31,0)</f>
        <v/>
      </c>
      <c r="CU100" s="228">
        <f>IF(AND(CU$11&gt;=(12*(YEAR('Renovation Budget'!$F$31)-YEAR(Assumptions!$F$11))+(MONTH('Renovation Budget'!$F$31)-MONTH(Assumptions!$F$11))),CU$11&lt;=((12*(YEAR('Renovation Budget'!$F$31)-YEAR(Assumptions!$F$11))+(MONTH('Renovation Budget'!$F$31)-MONTH(Assumptions!$F$11)))+'Renovation Budget'!$G$31-1)),-'Renovation Budget'!$C$31/'Renovation Budget'!$G$31,0)</f>
        <v/>
      </c>
      <c r="CV100" s="228">
        <f>IF(AND(CV$11&gt;=(12*(YEAR('Renovation Budget'!$F$31)-YEAR(Assumptions!$F$11))+(MONTH('Renovation Budget'!$F$31)-MONTH(Assumptions!$F$11))),CV$11&lt;=((12*(YEAR('Renovation Budget'!$F$31)-YEAR(Assumptions!$F$11))+(MONTH('Renovation Budget'!$F$31)-MONTH(Assumptions!$F$11)))+'Renovation Budget'!$G$31-1)),-'Renovation Budget'!$C$31/'Renovation Budget'!$G$31,0)</f>
        <v/>
      </c>
      <c r="CW100" s="228">
        <f>IF(AND(CW$11&gt;=(12*(YEAR('Renovation Budget'!$F$31)-YEAR(Assumptions!$F$11))+(MONTH('Renovation Budget'!$F$31)-MONTH(Assumptions!$F$11))),CW$11&lt;=((12*(YEAR('Renovation Budget'!$F$31)-YEAR(Assumptions!$F$11))+(MONTH('Renovation Budget'!$F$31)-MONTH(Assumptions!$F$11)))+'Renovation Budget'!$G$31-1)),-'Renovation Budget'!$C$31/'Renovation Budget'!$G$31,0)</f>
        <v/>
      </c>
      <c r="CX100" s="228">
        <f>IF(AND(CX$11&gt;=(12*(YEAR('Renovation Budget'!$F$31)-YEAR(Assumptions!$F$11))+(MONTH('Renovation Budget'!$F$31)-MONTH(Assumptions!$F$11))),CX$11&lt;=((12*(YEAR('Renovation Budget'!$F$31)-YEAR(Assumptions!$F$11))+(MONTH('Renovation Budget'!$F$31)-MONTH(Assumptions!$F$11)))+'Renovation Budget'!$G$31-1)),-'Renovation Budget'!$C$31/'Renovation Budget'!$G$31,0)</f>
        <v/>
      </c>
      <c r="CY100" s="228">
        <f>IF(AND(CY$11&gt;=(12*(YEAR('Renovation Budget'!$F$31)-YEAR(Assumptions!$F$11))+(MONTH('Renovation Budget'!$F$31)-MONTH(Assumptions!$F$11))),CY$11&lt;=((12*(YEAR('Renovation Budget'!$F$31)-YEAR(Assumptions!$F$11))+(MONTH('Renovation Budget'!$F$31)-MONTH(Assumptions!$F$11)))+'Renovation Budget'!$G$31-1)),-'Renovation Budget'!$C$31/'Renovation Budget'!$G$31,0)</f>
        <v/>
      </c>
      <c r="CZ100" s="228">
        <f>IF(AND(CZ$11&gt;=(12*(YEAR('Renovation Budget'!$F$31)-YEAR(Assumptions!$F$11))+(MONTH('Renovation Budget'!$F$31)-MONTH(Assumptions!$F$11))),CZ$11&lt;=((12*(YEAR('Renovation Budget'!$F$31)-YEAR(Assumptions!$F$11))+(MONTH('Renovation Budget'!$F$31)-MONTH(Assumptions!$F$11)))+'Renovation Budget'!$G$31-1)),-'Renovation Budget'!$C$31/'Renovation Budget'!$G$31,0)</f>
        <v/>
      </c>
      <c r="DA100" s="228">
        <f>IF(AND(DA$11&gt;=(12*(YEAR('Renovation Budget'!$F$31)-YEAR(Assumptions!$F$11))+(MONTH('Renovation Budget'!$F$31)-MONTH(Assumptions!$F$11))),DA$11&lt;=((12*(YEAR('Renovation Budget'!$F$31)-YEAR(Assumptions!$F$11))+(MONTH('Renovation Budget'!$F$31)-MONTH(Assumptions!$F$11)))+'Renovation Budget'!$G$31-1)),-'Renovation Budget'!$C$31/'Renovation Budget'!$G$31,0)</f>
        <v/>
      </c>
      <c r="DB100" s="228">
        <f>IF(AND(DB$11&gt;=(12*(YEAR('Renovation Budget'!$F$31)-YEAR(Assumptions!$F$11))+(MONTH('Renovation Budget'!$F$31)-MONTH(Assumptions!$F$11))),DB$11&lt;=((12*(YEAR('Renovation Budget'!$F$31)-YEAR(Assumptions!$F$11))+(MONTH('Renovation Budget'!$F$31)-MONTH(Assumptions!$F$11)))+'Renovation Budget'!$G$31-1)),-'Renovation Budget'!$C$31/'Renovation Budget'!$G$31,0)</f>
        <v/>
      </c>
      <c r="DC100" s="228">
        <f>IF(AND(DC$11&gt;=(12*(YEAR('Renovation Budget'!$F$31)-YEAR(Assumptions!$F$11))+(MONTH('Renovation Budget'!$F$31)-MONTH(Assumptions!$F$11))),DC$11&lt;=((12*(YEAR('Renovation Budget'!$F$31)-YEAR(Assumptions!$F$11))+(MONTH('Renovation Budget'!$F$31)-MONTH(Assumptions!$F$11)))+'Renovation Budget'!$G$31-1)),-'Renovation Budget'!$C$31/'Renovation Budget'!$G$31,0)</f>
        <v/>
      </c>
      <c r="DD100" s="228">
        <f>IF(AND(DD$11&gt;=(12*(YEAR('Renovation Budget'!$F$31)-YEAR(Assumptions!$F$11))+(MONTH('Renovation Budget'!$F$31)-MONTH(Assumptions!$F$11))),DD$11&lt;=((12*(YEAR('Renovation Budget'!$F$31)-YEAR(Assumptions!$F$11))+(MONTH('Renovation Budget'!$F$31)-MONTH(Assumptions!$F$11)))+'Renovation Budget'!$G$31-1)),-'Renovation Budget'!$C$31/'Renovation Budget'!$G$31,0)</f>
        <v/>
      </c>
      <c r="DE100" s="228">
        <f>IF(AND(DE$11&gt;=(12*(YEAR('Renovation Budget'!$F$31)-YEAR(Assumptions!$F$11))+(MONTH('Renovation Budget'!$F$31)-MONTH(Assumptions!$F$11))),DE$11&lt;=((12*(YEAR('Renovation Budget'!$F$31)-YEAR(Assumptions!$F$11))+(MONTH('Renovation Budget'!$F$31)-MONTH(Assumptions!$F$11)))+'Renovation Budget'!$G$31-1)),-'Renovation Budget'!$C$31/'Renovation Budget'!$G$31,0)</f>
        <v/>
      </c>
      <c r="DF100" s="228">
        <f>IF(AND(DF$11&gt;=(12*(YEAR('Renovation Budget'!$F$31)-YEAR(Assumptions!$F$11))+(MONTH('Renovation Budget'!$F$31)-MONTH(Assumptions!$F$11))),DF$11&lt;=((12*(YEAR('Renovation Budget'!$F$31)-YEAR(Assumptions!$F$11))+(MONTH('Renovation Budget'!$F$31)-MONTH(Assumptions!$F$11)))+'Renovation Budget'!$G$31-1)),-'Renovation Budget'!$C$31/'Renovation Budget'!$G$31,0)</f>
        <v/>
      </c>
      <c r="DG100" s="228">
        <f>IF(AND(DG$11&gt;=(12*(YEAR('Renovation Budget'!$F$31)-YEAR(Assumptions!$F$11))+(MONTH('Renovation Budget'!$F$31)-MONTH(Assumptions!$F$11))),DG$11&lt;=((12*(YEAR('Renovation Budget'!$F$31)-YEAR(Assumptions!$F$11))+(MONTH('Renovation Budget'!$F$31)-MONTH(Assumptions!$F$11)))+'Renovation Budget'!$G$31-1)),-'Renovation Budget'!$C$31/'Renovation Budget'!$G$31,0)</f>
        <v/>
      </c>
      <c r="DH100" s="228">
        <f>IF(AND(DH$11&gt;=(12*(YEAR('Renovation Budget'!$F$31)-YEAR(Assumptions!$F$11))+(MONTH('Renovation Budget'!$F$31)-MONTH(Assumptions!$F$11))),DH$11&lt;=((12*(YEAR('Renovation Budget'!$F$31)-YEAR(Assumptions!$F$11))+(MONTH('Renovation Budget'!$F$31)-MONTH(Assumptions!$F$11)))+'Renovation Budget'!$G$31-1)),-'Renovation Budget'!$C$31/'Renovation Budget'!$G$31,0)</f>
        <v/>
      </c>
      <c r="DI100" s="228">
        <f>IF(AND(DI$11&gt;=(12*(YEAR('Renovation Budget'!$F$31)-YEAR(Assumptions!$F$11))+(MONTH('Renovation Budget'!$F$31)-MONTH(Assumptions!$F$11))),DI$11&lt;=((12*(YEAR('Renovation Budget'!$F$31)-YEAR(Assumptions!$F$11))+(MONTH('Renovation Budget'!$F$31)-MONTH(Assumptions!$F$11)))+'Renovation Budget'!$G$31-1)),-'Renovation Budget'!$C$31/'Renovation Budget'!$G$31,0)</f>
        <v/>
      </c>
      <c r="DJ100" s="228">
        <f>IF(AND(DJ$11&gt;=(12*(YEAR('Renovation Budget'!$F$31)-YEAR(Assumptions!$F$11))+(MONTH('Renovation Budget'!$F$31)-MONTH(Assumptions!$F$11))),DJ$11&lt;=((12*(YEAR('Renovation Budget'!$F$31)-YEAR(Assumptions!$F$11))+(MONTH('Renovation Budget'!$F$31)-MONTH(Assumptions!$F$11)))+'Renovation Budget'!$G$31-1)),-'Renovation Budget'!$C$31/'Renovation Budget'!$G$31,0)</f>
        <v/>
      </c>
      <c r="DK100" s="228">
        <f>IF(AND(DK$11&gt;=(12*(YEAR('Renovation Budget'!$F$31)-YEAR(Assumptions!$F$11))+(MONTH('Renovation Budget'!$F$31)-MONTH(Assumptions!$F$11))),DK$11&lt;=((12*(YEAR('Renovation Budget'!$F$31)-YEAR(Assumptions!$F$11))+(MONTH('Renovation Budget'!$F$31)-MONTH(Assumptions!$F$11)))+'Renovation Budget'!$G$31-1)),-'Renovation Budget'!$C$31/'Renovation Budget'!$G$31,0)</f>
        <v/>
      </c>
      <c r="DL100" s="228">
        <f>IF(AND(DL$11&gt;=(12*(YEAR('Renovation Budget'!$F$31)-YEAR(Assumptions!$F$11))+(MONTH('Renovation Budget'!$F$31)-MONTH(Assumptions!$F$11))),DL$11&lt;=((12*(YEAR('Renovation Budget'!$F$31)-YEAR(Assumptions!$F$11))+(MONTH('Renovation Budget'!$F$31)-MONTH(Assumptions!$F$11)))+'Renovation Budget'!$G$31-1)),-'Renovation Budget'!$C$31/'Renovation Budget'!$G$31,0)</f>
        <v/>
      </c>
      <c r="DM100" s="228">
        <f>IF(AND(DM$11&gt;=(12*(YEAR('Renovation Budget'!$F$31)-YEAR(Assumptions!$F$11))+(MONTH('Renovation Budget'!$F$31)-MONTH(Assumptions!$F$11))),DM$11&lt;=((12*(YEAR('Renovation Budget'!$F$31)-YEAR(Assumptions!$F$11))+(MONTH('Renovation Budget'!$F$31)-MONTH(Assumptions!$F$11)))+'Renovation Budget'!$G$31-1)),-'Renovation Budget'!$C$31/'Renovation Budget'!$G$31,0)</f>
        <v/>
      </c>
      <c r="DN100" s="228">
        <f>IF(AND(DN$11&gt;=(12*(YEAR('Renovation Budget'!$F$31)-YEAR(Assumptions!$F$11))+(MONTH('Renovation Budget'!$F$31)-MONTH(Assumptions!$F$11))),DN$11&lt;=((12*(YEAR('Renovation Budget'!$F$31)-YEAR(Assumptions!$F$11))+(MONTH('Renovation Budget'!$F$31)-MONTH(Assumptions!$F$11)))+'Renovation Budget'!$G$31-1)),-'Renovation Budget'!$C$31/'Renovation Budget'!$G$31,0)</f>
        <v/>
      </c>
      <c r="DO100" s="228">
        <f>IF(AND(DO$11&gt;=(12*(YEAR('Renovation Budget'!$F$31)-YEAR(Assumptions!$F$11))+(MONTH('Renovation Budget'!$F$31)-MONTH(Assumptions!$F$11))),DO$11&lt;=((12*(YEAR('Renovation Budget'!$F$31)-YEAR(Assumptions!$F$11))+(MONTH('Renovation Budget'!$F$31)-MONTH(Assumptions!$F$11)))+'Renovation Budget'!$G$31-1)),-'Renovation Budget'!$C$31/'Renovation Budget'!$G$31,0)</f>
        <v/>
      </c>
      <c r="DP100" s="228">
        <f>IF(AND(DP$11&gt;=(12*(YEAR('Renovation Budget'!$F$31)-YEAR(Assumptions!$F$11))+(MONTH('Renovation Budget'!$F$31)-MONTH(Assumptions!$F$11))),DP$11&lt;=((12*(YEAR('Renovation Budget'!$F$31)-YEAR(Assumptions!$F$11))+(MONTH('Renovation Budget'!$F$31)-MONTH(Assumptions!$F$11)))+'Renovation Budget'!$G$31-1)),-'Renovation Budget'!$C$31/'Renovation Budget'!$G$31,0)</f>
        <v/>
      </c>
      <c r="DQ100" s="228">
        <f>IF(AND(DQ$11&gt;=(12*(YEAR('Renovation Budget'!$F$31)-YEAR(Assumptions!$F$11))+(MONTH('Renovation Budget'!$F$31)-MONTH(Assumptions!$F$11))),DQ$11&lt;=((12*(YEAR('Renovation Budget'!$F$31)-YEAR(Assumptions!$F$11))+(MONTH('Renovation Budget'!$F$31)-MONTH(Assumptions!$F$11)))+'Renovation Budget'!$G$31-1)),-'Renovation Budget'!$C$31/'Renovation Budget'!$G$31,0)</f>
        <v/>
      </c>
      <c r="DR100" s="228">
        <f>IF(AND(DR$11&gt;=(12*(YEAR('Renovation Budget'!$F$31)-YEAR(Assumptions!$F$11))+(MONTH('Renovation Budget'!$F$31)-MONTH(Assumptions!$F$11))),DR$11&lt;=((12*(YEAR('Renovation Budget'!$F$31)-YEAR(Assumptions!$F$11))+(MONTH('Renovation Budget'!$F$31)-MONTH(Assumptions!$F$11)))+'Renovation Budget'!$G$31-1)),-'Renovation Budget'!$C$31/'Renovation Budget'!$G$31,0)</f>
        <v/>
      </c>
      <c r="DS100" s="228">
        <f>IF(AND(DS$11&gt;=(12*(YEAR('Renovation Budget'!$F$31)-YEAR(Assumptions!$F$11))+(MONTH('Renovation Budget'!$F$31)-MONTH(Assumptions!$F$11))),DS$11&lt;=((12*(YEAR('Renovation Budget'!$F$31)-YEAR(Assumptions!$F$11))+(MONTH('Renovation Budget'!$F$31)-MONTH(Assumptions!$F$11)))+'Renovation Budget'!$G$31-1)),-'Renovation Budget'!$C$31/'Renovation Budget'!$G$31,0)</f>
        <v/>
      </c>
      <c r="DT100" s="228">
        <f>IF(AND(DT$11&gt;=(12*(YEAR('Renovation Budget'!$F$31)-YEAR(Assumptions!$F$11))+(MONTH('Renovation Budget'!$F$31)-MONTH(Assumptions!$F$11))),DT$11&lt;=((12*(YEAR('Renovation Budget'!$F$31)-YEAR(Assumptions!$F$11))+(MONTH('Renovation Budget'!$F$31)-MONTH(Assumptions!$F$11)))+'Renovation Budget'!$G$31-1)),-'Renovation Budget'!$C$31/'Renovation Budget'!$G$31,0)</f>
        <v/>
      </c>
    </row>
    <row r="101" ht="15" customHeight="1" s="148">
      <c r="A101" s="110" t="inlineStr">
        <is>
          <t>Subtotal- Soft Costs</t>
        </is>
      </c>
      <c r="C101" s="228">
        <f>SUM(D101:DT101)</f>
        <v/>
      </c>
      <c r="D101" s="228">
        <f>SUM(D$96:D$100)</f>
        <v/>
      </c>
      <c r="E101" s="228">
        <f>SUM(E$96:E$100)</f>
        <v/>
      </c>
      <c r="F101" s="228">
        <f>SUM(F$96:F$100)</f>
        <v/>
      </c>
      <c r="G101" s="228">
        <f>SUM(G$96:G$100)</f>
        <v/>
      </c>
      <c r="H101" s="228">
        <f>SUM(H$96:H$100)</f>
        <v/>
      </c>
      <c r="I101" s="228">
        <f>SUM(I$96:I$100)</f>
        <v/>
      </c>
      <c r="J101" s="228">
        <f>SUM(J$96:J$100)</f>
        <v/>
      </c>
      <c r="K101" s="228">
        <f>SUM(K$96:K$100)</f>
        <v/>
      </c>
      <c r="L101" s="228">
        <f>SUM(L$96:L$100)</f>
        <v/>
      </c>
      <c r="M101" s="228">
        <f>SUM(M$96:M$100)</f>
        <v/>
      </c>
      <c r="N101" s="228">
        <f>SUM(N$96:N$100)</f>
        <v/>
      </c>
      <c r="O101" s="228">
        <f>SUM(O$96:O$100)</f>
        <v/>
      </c>
      <c r="P101" s="228">
        <f>SUM(P$96:P$100)</f>
        <v/>
      </c>
      <c r="Q101" s="228">
        <f>SUM(Q$96:Q$100)</f>
        <v/>
      </c>
      <c r="R101" s="228">
        <f>SUM(R$96:R$100)</f>
        <v/>
      </c>
      <c r="S101" s="228">
        <f>SUM(S$96:S$100)</f>
        <v/>
      </c>
      <c r="T101" s="228">
        <f>SUM(T$96:T$100)</f>
        <v/>
      </c>
      <c r="U101" s="228">
        <f>SUM(U$96:U$100)</f>
        <v/>
      </c>
      <c r="V101" s="228">
        <f>SUM(V$96:V$100)</f>
        <v/>
      </c>
      <c r="W101" s="228">
        <f>SUM(W$96:W$100)</f>
        <v/>
      </c>
      <c r="X101" s="228">
        <f>SUM(X$96:X$100)</f>
        <v/>
      </c>
      <c r="Y101" s="228">
        <f>SUM(Y$96:Y$100)</f>
        <v/>
      </c>
      <c r="Z101" s="228">
        <f>SUM(Z$96:Z$100)</f>
        <v/>
      </c>
      <c r="AA101" s="228">
        <f>SUM(AA$96:AA$100)</f>
        <v/>
      </c>
      <c r="AB101" s="228">
        <f>SUM(AB$96:AB$100)</f>
        <v/>
      </c>
      <c r="AC101" s="228">
        <f>SUM(AC$96:AC$100)</f>
        <v/>
      </c>
      <c r="AD101" s="228">
        <f>SUM(AD$96:AD$100)</f>
        <v/>
      </c>
      <c r="AE101" s="228">
        <f>SUM(AE$96:AE$100)</f>
        <v/>
      </c>
      <c r="AF101" s="228">
        <f>SUM(AF$96:AF$100)</f>
        <v/>
      </c>
      <c r="AG101" s="228">
        <f>SUM(AG$96:AG$100)</f>
        <v/>
      </c>
      <c r="AH101" s="228">
        <f>SUM(AH$96:AH$100)</f>
        <v/>
      </c>
      <c r="AI101" s="228">
        <f>SUM(AI$96:AI$100)</f>
        <v/>
      </c>
      <c r="AJ101" s="228">
        <f>SUM(AJ$96:AJ$100)</f>
        <v/>
      </c>
      <c r="AK101" s="228">
        <f>SUM(AK$96:AK$100)</f>
        <v/>
      </c>
      <c r="AL101" s="228">
        <f>SUM(AL$96:AL$100)</f>
        <v/>
      </c>
      <c r="AM101" s="228">
        <f>SUM(AM$96:AM$100)</f>
        <v/>
      </c>
      <c r="AN101" s="228">
        <f>SUM(AN$96:AN$100)</f>
        <v/>
      </c>
      <c r="AO101" s="228">
        <f>SUM(AO$96:AO$100)</f>
        <v/>
      </c>
      <c r="AP101" s="228">
        <f>SUM(AP$96:AP$100)</f>
        <v/>
      </c>
      <c r="AQ101" s="228">
        <f>SUM(AQ$96:AQ$100)</f>
        <v/>
      </c>
      <c r="AR101" s="228">
        <f>SUM(AR$96:AR$100)</f>
        <v/>
      </c>
      <c r="AS101" s="228">
        <f>SUM(AS$96:AS$100)</f>
        <v/>
      </c>
      <c r="AT101" s="228">
        <f>SUM(AT$96:AT$100)</f>
        <v/>
      </c>
      <c r="AU101" s="228">
        <f>SUM(AU$96:AU$100)</f>
        <v/>
      </c>
      <c r="AV101" s="228">
        <f>SUM(AV$96:AV$100)</f>
        <v/>
      </c>
      <c r="AW101" s="228">
        <f>SUM(AW$96:AW$100)</f>
        <v/>
      </c>
      <c r="AX101" s="228">
        <f>SUM(AX$96:AX$100)</f>
        <v/>
      </c>
      <c r="AY101" s="228">
        <f>SUM(AY$96:AY$100)</f>
        <v/>
      </c>
      <c r="AZ101" s="228">
        <f>SUM(AZ$96:AZ$100)</f>
        <v/>
      </c>
      <c r="BA101" s="228">
        <f>SUM(BA$96:BA$100)</f>
        <v/>
      </c>
      <c r="BB101" s="228">
        <f>SUM(BB$96:BB$100)</f>
        <v/>
      </c>
      <c r="BC101" s="228">
        <f>SUM(BC$96:BC$100)</f>
        <v/>
      </c>
      <c r="BD101" s="228">
        <f>SUM(BD$96:BD$100)</f>
        <v/>
      </c>
      <c r="BE101" s="228">
        <f>SUM(BE$96:BE$100)</f>
        <v/>
      </c>
      <c r="BF101" s="228">
        <f>SUM(BF$96:BF$100)</f>
        <v/>
      </c>
      <c r="BG101" s="228">
        <f>SUM(BG$96:BG$100)</f>
        <v/>
      </c>
      <c r="BH101" s="228">
        <f>SUM(BH$96:BH$100)</f>
        <v/>
      </c>
      <c r="BI101" s="228">
        <f>SUM(BI$96:BI$100)</f>
        <v/>
      </c>
      <c r="BJ101" s="228">
        <f>SUM(BJ$96:BJ$100)</f>
        <v/>
      </c>
      <c r="BK101" s="228">
        <f>SUM(BK$96:BK$100)</f>
        <v/>
      </c>
      <c r="BL101" s="228">
        <f>SUM(BL$96:BL$100)</f>
        <v/>
      </c>
      <c r="BM101" s="228">
        <f>SUM(BM$96:BM$100)</f>
        <v/>
      </c>
      <c r="BN101" s="228">
        <f>SUM(BN$96:BN$100)</f>
        <v/>
      </c>
      <c r="BO101" s="228">
        <f>SUM(BO$96:BO$100)</f>
        <v/>
      </c>
      <c r="BP101" s="228">
        <f>SUM(BP$96:BP$100)</f>
        <v/>
      </c>
      <c r="BQ101" s="228">
        <f>SUM(BQ$96:BQ$100)</f>
        <v/>
      </c>
      <c r="BR101" s="228">
        <f>SUM(BR$96:BR$100)</f>
        <v/>
      </c>
      <c r="BS101" s="228">
        <f>SUM(BS$96:BS$100)</f>
        <v/>
      </c>
      <c r="BT101" s="228">
        <f>SUM(BT$96:BT$100)</f>
        <v/>
      </c>
      <c r="BU101" s="228">
        <f>SUM(BU$96:BU$100)</f>
        <v/>
      </c>
      <c r="BV101" s="228">
        <f>SUM(BV$96:BV$100)</f>
        <v/>
      </c>
      <c r="BW101" s="228">
        <f>SUM(BW$96:BW$100)</f>
        <v/>
      </c>
      <c r="BX101" s="228">
        <f>SUM(BX$96:BX$100)</f>
        <v/>
      </c>
      <c r="BY101" s="228">
        <f>SUM(BY$96:BY$100)</f>
        <v/>
      </c>
      <c r="BZ101" s="228">
        <f>SUM(BZ$96:BZ$100)</f>
        <v/>
      </c>
      <c r="CA101" s="228">
        <f>SUM(CA$96:CA$100)</f>
        <v/>
      </c>
      <c r="CB101" s="228">
        <f>SUM(CB$96:CB$100)</f>
        <v/>
      </c>
      <c r="CC101" s="228">
        <f>SUM(CC$96:CC$100)</f>
        <v/>
      </c>
      <c r="CD101" s="228">
        <f>SUM(CD$96:CD$100)</f>
        <v/>
      </c>
      <c r="CE101" s="228">
        <f>SUM(CE$96:CE$100)</f>
        <v/>
      </c>
      <c r="CF101" s="228">
        <f>SUM(CF$96:CF$100)</f>
        <v/>
      </c>
      <c r="CG101" s="228">
        <f>SUM(CG$96:CG$100)</f>
        <v/>
      </c>
      <c r="CH101" s="228">
        <f>SUM(CH$96:CH$100)</f>
        <v/>
      </c>
      <c r="CI101" s="228">
        <f>SUM(CI$96:CI$100)</f>
        <v/>
      </c>
      <c r="CJ101" s="228">
        <f>SUM(CJ$96:CJ$100)</f>
        <v/>
      </c>
      <c r="CK101" s="228">
        <f>SUM(CK$96:CK$100)</f>
        <v/>
      </c>
      <c r="CL101" s="228">
        <f>SUM(CL$96:CL$100)</f>
        <v/>
      </c>
      <c r="CM101" s="228">
        <f>SUM(CM$96:CM$100)</f>
        <v/>
      </c>
      <c r="CN101" s="228">
        <f>SUM(CN$96:CN$100)</f>
        <v/>
      </c>
      <c r="CO101" s="228">
        <f>SUM(CO$96:CO$100)</f>
        <v/>
      </c>
      <c r="CP101" s="228">
        <f>SUM(CP$96:CP$100)</f>
        <v/>
      </c>
      <c r="CQ101" s="228">
        <f>SUM(CQ$96:CQ$100)</f>
        <v/>
      </c>
      <c r="CR101" s="228">
        <f>SUM(CR$96:CR$100)</f>
        <v/>
      </c>
      <c r="CS101" s="228">
        <f>SUM(CS$96:CS$100)</f>
        <v/>
      </c>
      <c r="CT101" s="228">
        <f>SUM(CT$96:CT$100)</f>
        <v/>
      </c>
      <c r="CU101" s="228">
        <f>SUM(CU$96:CU$100)</f>
        <v/>
      </c>
      <c r="CV101" s="228">
        <f>SUM(CV$96:CV$100)</f>
        <v/>
      </c>
      <c r="CW101" s="228">
        <f>SUM(CW$96:CW$100)</f>
        <v/>
      </c>
      <c r="CX101" s="228">
        <f>SUM(CX$96:CX$100)</f>
        <v/>
      </c>
      <c r="CY101" s="228">
        <f>SUM(CY$96:CY$100)</f>
        <v/>
      </c>
      <c r="CZ101" s="228">
        <f>SUM(CZ$96:CZ$100)</f>
        <v/>
      </c>
      <c r="DA101" s="228">
        <f>SUM(DA$96:DA$100)</f>
        <v/>
      </c>
      <c r="DB101" s="228">
        <f>SUM(DB$96:DB$100)</f>
        <v/>
      </c>
      <c r="DC101" s="228">
        <f>SUM(DC$96:DC$100)</f>
        <v/>
      </c>
      <c r="DD101" s="228">
        <f>SUM(DD$96:DD$100)</f>
        <v/>
      </c>
      <c r="DE101" s="228">
        <f>SUM(DE$96:DE$100)</f>
        <v/>
      </c>
      <c r="DF101" s="228">
        <f>SUM(DF$96:DF$100)</f>
        <v/>
      </c>
      <c r="DG101" s="228">
        <f>SUM(DG$96:DG$100)</f>
        <v/>
      </c>
      <c r="DH101" s="228">
        <f>SUM(DH$96:DH$100)</f>
        <v/>
      </c>
      <c r="DI101" s="228">
        <f>SUM(DI$96:DI$100)</f>
        <v/>
      </c>
      <c r="DJ101" s="228">
        <f>SUM(DJ$96:DJ$100)</f>
        <v/>
      </c>
      <c r="DK101" s="228">
        <f>SUM(DK$96:DK$100)</f>
        <v/>
      </c>
      <c r="DL101" s="228">
        <f>SUM(DL$96:DL$100)</f>
        <v/>
      </c>
      <c r="DM101" s="228">
        <f>SUM(DM$96:DM$100)</f>
        <v/>
      </c>
      <c r="DN101" s="228">
        <f>SUM(DN$96:DN$100)</f>
        <v/>
      </c>
      <c r="DO101" s="228">
        <f>SUM(DO$96:DO$100)</f>
        <v/>
      </c>
      <c r="DP101" s="228">
        <f>SUM(DP$96:DP$100)</f>
        <v/>
      </c>
      <c r="DQ101" s="228">
        <f>SUM(DQ$96:DQ$100)</f>
        <v/>
      </c>
      <c r="DR101" s="228">
        <f>SUM(DR$96:DR$100)</f>
        <v/>
      </c>
      <c r="DS101" s="228">
        <f>SUM(DS$96:DS$100)</f>
        <v/>
      </c>
      <c r="DT101" s="228">
        <f>SUM(DT$96:DT$100)</f>
        <v/>
      </c>
    </row>
    <row r="103" ht="15" customHeight="1" s="148">
      <c r="A103" s="110" t="inlineStr">
        <is>
          <t>Renovation Total</t>
        </is>
      </c>
      <c r="C103" s="228">
        <f>SUM(D103:DT103)</f>
        <v/>
      </c>
      <c r="D103" s="228">
        <f>D$93+D$101</f>
        <v/>
      </c>
      <c r="E103" s="228">
        <f>E$93+E$101</f>
        <v/>
      </c>
      <c r="F103" s="228">
        <f>F$93+F$101</f>
        <v/>
      </c>
      <c r="G103" s="228">
        <f>G$93+G$101</f>
        <v/>
      </c>
      <c r="H103" s="228">
        <f>H$93+H$101</f>
        <v/>
      </c>
      <c r="I103" s="228">
        <f>I$93+I$101</f>
        <v/>
      </c>
      <c r="J103" s="228">
        <f>J$93+J$101</f>
        <v/>
      </c>
      <c r="K103" s="228">
        <f>K$93+K$101</f>
        <v/>
      </c>
      <c r="L103" s="228">
        <f>L$93+L$101</f>
        <v/>
      </c>
      <c r="M103" s="228">
        <f>M$93+M$101</f>
        <v/>
      </c>
      <c r="N103" s="228">
        <f>N$93+N$101</f>
        <v/>
      </c>
      <c r="O103" s="228">
        <f>O$93+O$101</f>
        <v/>
      </c>
      <c r="P103" s="228">
        <f>P$93+P$101</f>
        <v/>
      </c>
      <c r="Q103" s="228">
        <f>Q$93+Q$101</f>
        <v/>
      </c>
      <c r="R103" s="228">
        <f>R$93+R$101</f>
        <v/>
      </c>
      <c r="S103" s="228">
        <f>S$93+S$101</f>
        <v/>
      </c>
      <c r="T103" s="228">
        <f>T$93+T$101</f>
        <v/>
      </c>
      <c r="U103" s="228">
        <f>U$93+U$101</f>
        <v/>
      </c>
      <c r="V103" s="228">
        <f>V$93+V$101</f>
        <v/>
      </c>
      <c r="W103" s="228">
        <f>W$93+W$101</f>
        <v/>
      </c>
      <c r="X103" s="228">
        <f>X$93+X$101</f>
        <v/>
      </c>
      <c r="Y103" s="228">
        <f>Y$93+Y$101</f>
        <v/>
      </c>
      <c r="Z103" s="228">
        <f>Z$93+Z$101</f>
        <v/>
      </c>
      <c r="AA103" s="228">
        <f>AA$93+AA$101</f>
        <v/>
      </c>
      <c r="AB103" s="228">
        <f>AB$93+AB$101</f>
        <v/>
      </c>
      <c r="AC103" s="228">
        <f>AC$93+AC$101</f>
        <v/>
      </c>
      <c r="AD103" s="228">
        <f>AD$93+AD$101</f>
        <v/>
      </c>
      <c r="AE103" s="228">
        <f>AE$93+AE$101</f>
        <v/>
      </c>
      <c r="AF103" s="228">
        <f>AF$93+AF$101</f>
        <v/>
      </c>
      <c r="AG103" s="228">
        <f>AG$93+AG$101</f>
        <v/>
      </c>
      <c r="AH103" s="228">
        <f>AH$93+AH$101</f>
        <v/>
      </c>
      <c r="AI103" s="228">
        <f>AI$93+AI$101</f>
        <v/>
      </c>
      <c r="AJ103" s="228">
        <f>AJ$93+AJ$101</f>
        <v/>
      </c>
      <c r="AK103" s="228">
        <f>AK$93+AK$101</f>
        <v/>
      </c>
      <c r="AL103" s="228">
        <f>AL$93+AL$101</f>
        <v/>
      </c>
      <c r="AM103" s="228">
        <f>AM$93+AM$101</f>
        <v/>
      </c>
      <c r="AN103" s="228">
        <f>AN$93+AN$101</f>
        <v/>
      </c>
      <c r="AO103" s="228">
        <f>AO$93+AO$101</f>
        <v/>
      </c>
      <c r="AP103" s="228">
        <f>AP$93+AP$101</f>
        <v/>
      </c>
      <c r="AQ103" s="228">
        <f>AQ$93+AQ$101</f>
        <v/>
      </c>
      <c r="AR103" s="228">
        <f>AR$93+AR$101</f>
        <v/>
      </c>
      <c r="AS103" s="228">
        <f>AS$93+AS$101</f>
        <v/>
      </c>
      <c r="AT103" s="228">
        <f>AT$93+AT$101</f>
        <v/>
      </c>
      <c r="AU103" s="228">
        <f>AU$93+AU$101</f>
        <v/>
      </c>
      <c r="AV103" s="228">
        <f>AV$93+AV$101</f>
        <v/>
      </c>
      <c r="AW103" s="228">
        <f>AW$93+AW$101</f>
        <v/>
      </c>
      <c r="AX103" s="228">
        <f>AX$93+AX$101</f>
        <v/>
      </c>
      <c r="AY103" s="228">
        <f>AY$93+AY$101</f>
        <v/>
      </c>
      <c r="AZ103" s="228">
        <f>AZ$93+AZ$101</f>
        <v/>
      </c>
      <c r="BA103" s="228">
        <f>BA$93+BA$101</f>
        <v/>
      </c>
      <c r="BB103" s="228">
        <f>BB$93+BB$101</f>
        <v/>
      </c>
      <c r="BC103" s="228">
        <f>BC$93+BC$101</f>
        <v/>
      </c>
      <c r="BD103" s="228">
        <f>BD$93+BD$101</f>
        <v/>
      </c>
      <c r="BE103" s="228">
        <f>BE$93+BE$101</f>
        <v/>
      </c>
      <c r="BF103" s="228">
        <f>BF$93+BF$101</f>
        <v/>
      </c>
      <c r="BG103" s="228">
        <f>BG$93+BG$101</f>
        <v/>
      </c>
      <c r="BH103" s="228">
        <f>BH$93+BH$101</f>
        <v/>
      </c>
      <c r="BI103" s="228">
        <f>BI$93+BI$101</f>
        <v/>
      </c>
      <c r="BJ103" s="228">
        <f>BJ$93+BJ$101</f>
        <v/>
      </c>
      <c r="BK103" s="228">
        <f>BK$93+BK$101</f>
        <v/>
      </c>
      <c r="BL103" s="228">
        <f>BL$93+BL$101</f>
        <v/>
      </c>
      <c r="BM103" s="228">
        <f>BM$93+BM$101</f>
        <v/>
      </c>
      <c r="BN103" s="228">
        <f>BN$93+BN$101</f>
        <v/>
      </c>
      <c r="BO103" s="228">
        <f>BO$93+BO$101</f>
        <v/>
      </c>
      <c r="BP103" s="228">
        <f>BP$93+BP$101</f>
        <v/>
      </c>
      <c r="BQ103" s="228">
        <f>BQ$93+BQ$101</f>
        <v/>
      </c>
      <c r="BR103" s="228">
        <f>BR$93+BR$101</f>
        <v/>
      </c>
      <c r="BS103" s="228">
        <f>BS$93+BS$101</f>
        <v/>
      </c>
      <c r="BT103" s="228">
        <f>BT$93+BT$101</f>
        <v/>
      </c>
      <c r="BU103" s="228">
        <f>BU$93+BU$101</f>
        <v/>
      </c>
      <c r="BV103" s="228">
        <f>BV$93+BV$101</f>
        <v/>
      </c>
      <c r="BW103" s="228">
        <f>BW$93+BW$101</f>
        <v/>
      </c>
      <c r="BX103" s="228">
        <f>BX$93+BX$101</f>
        <v/>
      </c>
      <c r="BY103" s="228">
        <f>BY$93+BY$101</f>
        <v/>
      </c>
      <c r="BZ103" s="228">
        <f>BZ$93+BZ$101</f>
        <v/>
      </c>
      <c r="CA103" s="228">
        <f>CA$93+CA$101</f>
        <v/>
      </c>
      <c r="CB103" s="228">
        <f>CB$93+CB$101</f>
        <v/>
      </c>
      <c r="CC103" s="228">
        <f>CC$93+CC$101</f>
        <v/>
      </c>
      <c r="CD103" s="228">
        <f>CD$93+CD$101</f>
        <v/>
      </c>
      <c r="CE103" s="228">
        <f>CE$93+CE$101</f>
        <v/>
      </c>
      <c r="CF103" s="228">
        <f>CF$93+CF$101</f>
        <v/>
      </c>
      <c r="CG103" s="228">
        <f>CG$93+CG$101</f>
        <v/>
      </c>
      <c r="CH103" s="228">
        <f>CH$93+CH$101</f>
        <v/>
      </c>
      <c r="CI103" s="228">
        <f>CI$93+CI$101</f>
        <v/>
      </c>
      <c r="CJ103" s="228">
        <f>CJ$93+CJ$101</f>
        <v/>
      </c>
      <c r="CK103" s="228">
        <f>CK$93+CK$101</f>
        <v/>
      </c>
      <c r="CL103" s="228">
        <f>CL$93+CL$101</f>
        <v/>
      </c>
      <c r="CM103" s="228">
        <f>CM$93+CM$101</f>
        <v/>
      </c>
      <c r="CN103" s="228">
        <f>CN$93+CN$101</f>
        <v/>
      </c>
      <c r="CO103" s="228">
        <f>CO$93+CO$101</f>
        <v/>
      </c>
      <c r="CP103" s="228">
        <f>CP$93+CP$101</f>
        <v/>
      </c>
      <c r="CQ103" s="228">
        <f>CQ$93+CQ$101</f>
        <v/>
      </c>
      <c r="CR103" s="228">
        <f>CR$93+CR$101</f>
        <v/>
      </c>
      <c r="CS103" s="228">
        <f>CS$93+CS$101</f>
        <v/>
      </c>
      <c r="CT103" s="228">
        <f>CT$93+CT$101</f>
        <v/>
      </c>
      <c r="CU103" s="228">
        <f>CU$93+CU$101</f>
        <v/>
      </c>
      <c r="CV103" s="228">
        <f>CV$93+CV$101</f>
        <v/>
      </c>
      <c r="CW103" s="228">
        <f>CW$93+CW$101</f>
        <v/>
      </c>
      <c r="CX103" s="228">
        <f>CX$93+CX$101</f>
        <v/>
      </c>
      <c r="CY103" s="228">
        <f>CY$93+CY$101</f>
        <v/>
      </c>
      <c r="CZ103" s="228">
        <f>CZ$93+CZ$101</f>
        <v/>
      </c>
      <c r="DA103" s="228">
        <f>DA$93+DA$101</f>
        <v/>
      </c>
      <c r="DB103" s="228">
        <f>DB$93+DB$101</f>
        <v/>
      </c>
      <c r="DC103" s="228">
        <f>DC$93+DC$101</f>
        <v/>
      </c>
      <c r="DD103" s="228">
        <f>DD$93+DD$101</f>
        <v/>
      </c>
      <c r="DE103" s="228">
        <f>DE$93+DE$101</f>
        <v/>
      </c>
      <c r="DF103" s="228">
        <f>DF$93+DF$101</f>
        <v/>
      </c>
      <c r="DG103" s="228">
        <f>DG$93+DG$101</f>
        <v/>
      </c>
      <c r="DH103" s="228">
        <f>DH$93+DH$101</f>
        <v/>
      </c>
      <c r="DI103" s="228">
        <f>DI$93+DI$101</f>
        <v/>
      </c>
      <c r="DJ103" s="228">
        <f>DJ$93+DJ$101</f>
        <v/>
      </c>
      <c r="DK103" s="228">
        <f>DK$93+DK$101</f>
        <v/>
      </c>
      <c r="DL103" s="228">
        <f>DL$93+DL$101</f>
        <v/>
      </c>
      <c r="DM103" s="228">
        <f>DM$93+DM$101</f>
        <v/>
      </c>
      <c r="DN103" s="228">
        <f>DN$93+DN$101</f>
        <v/>
      </c>
      <c r="DO103" s="228">
        <f>DO$93+DO$101</f>
        <v/>
      </c>
      <c r="DP103" s="228">
        <f>DP$93+DP$101</f>
        <v/>
      </c>
      <c r="DQ103" s="228">
        <f>DQ$93+DQ$101</f>
        <v/>
      </c>
      <c r="DR103" s="228">
        <f>DR$93+DR$101</f>
        <v/>
      </c>
      <c r="DS103" s="228">
        <f>DS$93+DS$101</f>
        <v/>
      </c>
      <c r="DT103" s="228">
        <f>DT$93+DT$101</f>
        <v/>
      </c>
    </row>
    <row r="105" ht="15" customHeight="1" s="148">
      <c r="A105" s="110" t="inlineStr">
        <is>
          <t>Gross Sale Proceeds</t>
        </is>
      </c>
      <c r="C105" s="228">
        <f>SUM(D105:DT105)</f>
        <v/>
      </c>
      <c r="D105" s="228">
        <f>IF(D$11=Assumptions!$E$28,Assumptions!$F$31,0)</f>
        <v/>
      </c>
      <c r="E105" s="228">
        <f>IF(E$11=Assumptions!$E$28,Assumptions!$F$31,0)</f>
        <v/>
      </c>
      <c r="F105" s="228">
        <f>IF(F$11=Assumptions!$E$28,Assumptions!$F$31,0)</f>
        <v/>
      </c>
      <c r="G105" s="228">
        <f>IF(G$11=Assumptions!$E$28,Assumptions!$F$31,0)</f>
        <v/>
      </c>
      <c r="H105" s="228">
        <f>IF(H$11=Assumptions!$E$28,Assumptions!$F$31,0)</f>
        <v/>
      </c>
      <c r="I105" s="228">
        <f>IF(I$11=Assumptions!$E$28,Assumptions!$F$31,0)</f>
        <v/>
      </c>
      <c r="J105" s="228">
        <f>IF(J$11=Assumptions!$E$28,Assumptions!$F$31,0)</f>
        <v/>
      </c>
      <c r="K105" s="228">
        <f>IF(K$11=Assumptions!$E$28,Assumptions!$F$31,0)</f>
        <v/>
      </c>
      <c r="L105" s="228">
        <f>IF(L$11=Assumptions!$E$28,Assumptions!$F$31,0)</f>
        <v/>
      </c>
      <c r="M105" s="228">
        <f>IF(M$11=Assumptions!$E$28,Assumptions!$F$31,0)</f>
        <v/>
      </c>
      <c r="N105" s="228">
        <f>IF(N$11=Assumptions!$E$28,Assumptions!$F$31,0)</f>
        <v/>
      </c>
      <c r="O105" s="228">
        <f>IF(O$11=Assumptions!$E$28,Assumptions!$F$31,0)</f>
        <v/>
      </c>
      <c r="P105" s="228">
        <f>IF(P$11=Assumptions!$E$28,Assumptions!$F$31,0)</f>
        <v/>
      </c>
      <c r="Q105" s="228">
        <f>IF(Q$11=Assumptions!$E$28,Assumptions!$F$31,0)</f>
        <v/>
      </c>
      <c r="R105" s="228">
        <f>IF(R$11=Assumptions!$E$28,Assumptions!$F$31,0)</f>
        <v/>
      </c>
      <c r="S105" s="228">
        <f>IF(S$11=Assumptions!$E$28,Assumptions!$F$31,0)</f>
        <v/>
      </c>
      <c r="T105" s="228">
        <f>IF(T$11=Assumptions!$E$28,Assumptions!$F$31,0)</f>
        <v/>
      </c>
      <c r="U105" s="228">
        <f>IF(U$11=Assumptions!$E$28,Assumptions!$F$31,0)</f>
        <v/>
      </c>
      <c r="V105" s="228">
        <f>IF(V$11=Assumptions!$E$28,Assumptions!$F$31,0)</f>
        <v/>
      </c>
      <c r="W105" s="228">
        <f>IF(W$11=Assumptions!$E$28,Assumptions!$F$31,0)</f>
        <v/>
      </c>
      <c r="X105" s="228">
        <f>IF(X$11=Assumptions!$E$28,Assumptions!$F$31,0)</f>
        <v/>
      </c>
      <c r="Y105" s="228">
        <f>IF(Y$11=Assumptions!$E$28,Assumptions!$F$31,0)</f>
        <v/>
      </c>
      <c r="Z105" s="228">
        <f>IF(Z$11=Assumptions!$E$28,Assumptions!$F$31,0)</f>
        <v/>
      </c>
      <c r="AA105" s="228">
        <f>IF(AA$11=Assumptions!$E$28,Assumptions!$F$31,0)</f>
        <v/>
      </c>
      <c r="AB105" s="228">
        <f>IF(AB$11=Assumptions!$E$28,Assumptions!$F$31,0)</f>
        <v/>
      </c>
      <c r="AC105" s="228">
        <f>IF(AC$11=Assumptions!$E$28,Assumptions!$F$31,0)</f>
        <v/>
      </c>
      <c r="AD105" s="228">
        <f>IF(AD$11=Assumptions!$E$28,Assumptions!$F$31,0)</f>
        <v/>
      </c>
      <c r="AE105" s="228">
        <f>IF(AE$11=Assumptions!$E$28,Assumptions!$F$31,0)</f>
        <v/>
      </c>
      <c r="AF105" s="228">
        <f>IF(AF$11=Assumptions!$E$28,Assumptions!$F$31,0)</f>
        <v/>
      </c>
      <c r="AG105" s="228">
        <f>IF(AG$11=Assumptions!$E$28,Assumptions!$F$31,0)</f>
        <v/>
      </c>
      <c r="AH105" s="228">
        <f>IF(AH$11=Assumptions!$E$28,Assumptions!$F$31,0)</f>
        <v/>
      </c>
      <c r="AI105" s="228">
        <f>IF(AI$11=Assumptions!$E$28,Assumptions!$F$31,0)</f>
        <v/>
      </c>
      <c r="AJ105" s="228">
        <f>IF(AJ$11=Assumptions!$E$28,Assumptions!$F$31,0)</f>
        <v/>
      </c>
      <c r="AK105" s="228">
        <f>IF(AK$11=Assumptions!$E$28,Assumptions!$F$31,0)</f>
        <v/>
      </c>
      <c r="AL105" s="228">
        <f>IF(AL$11=Assumptions!$E$28,Assumptions!$F$31,0)</f>
        <v/>
      </c>
      <c r="AM105" s="228">
        <f>IF(AM$11=Assumptions!$E$28,Assumptions!$F$31,0)</f>
        <v/>
      </c>
      <c r="AN105" s="228">
        <f>IF(AN$11=Assumptions!$E$28,Assumptions!$F$31,0)</f>
        <v/>
      </c>
      <c r="AO105" s="228">
        <f>IF(AO$11=Assumptions!$E$28,Assumptions!$F$31,0)</f>
        <v/>
      </c>
      <c r="AP105" s="228">
        <f>IF(AP$11=Assumptions!$E$28,Assumptions!$F$31,0)</f>
        <v/>
      </c>
      <c r="AQ105" s="228">
        <f>IF(AQ$11=Assumptions!$E$28,Assumptions!$F$31,0)</f>
        <v/>
      </c>
      <c r="AR105" s="228">
        <f>IF(AR$11=Assumptions!$E$28,Assumptions!$F$31,0)</f>
        <v/>
      </c>
      <c r="AS105" s="228">
        <f>IF(AS$11=Assumptions!$E$28,Assumptions!$F$31,0)</f>
        <v/>
      </c>
      <c r="AT105" s="228">
        <f>IF(AT$11=Assumptions!$E$28,Assumptions!$F$31,0)</f>
        <v/>
      </c>
      <c r="AU105" s="228">
        <f>IF(AU$11=Assumptions!$E$28,Assumptions!$F$31,0)</f>
        <v/>
      </c>
      <c r="AV105" s="228">
        <f>IF(AV$11=Assumptions!$E$28,Assumptions!$F$31,0)</f>
        <v/>
      </c>
      <c r="AW105" s="228">
        <f>IF(AW$11=Assumptions!$E$28,Assumptions!$F$31,0)</f>
        <v/>
      </c>
      <c r="AX105" s="228">
        <f>IF(AX$11=Assumptions!$E$28,Assumptions!$F$31,0)</f>
        <v/>
      </c>
      <c r="AY105" s="228">
        <f>IF(AY$11=Assumptions!$E$28,Assumptions!$F$31,0)</f>
        <v/>
      </c>
      <c r="AZ105" s="228">
        <f>IF(AZ$11=Assumptions!$E$28,Assumptions!$F$31,0)</f>
        <v/>
      </c>
      <c r="BA105" s="228">
        <f>IF(BA$11=Assumptions!$E$28,Assumptions!$F$31,0)</f>
        <v/>
      </c>
      <c r="BB105" s="228">
        <f>IF(BB$11=Assumptions!$E$28,Assumptions!$F$31,0)</f>
        <v/>
      </c>
      <c r="BC105" s="228">
        <f>IF(BC$11=Assumptions!$E$28,Assumptions!$F$31,0)</f>
        <v/>
      </c>
      <c r="BD105" s="228">
        <f>IF(BD$11=Assumptions!$E$28,Assumptions!$F$31,0)</f>
        <v/>
      </c>
      <c r="BE105" s="228">
        <f>IF(BE$11=Assumptions!$E$28,Assumptions!$F$31,0)</f>
        <v/>
      </c>
      <c r="BF105" s="228">
        <f>IF(BF$11=Assumptions!$E$28,Assumptions!$F$31,0)</f>
        <v/>
      </c>
      <c r="BG105" s="228">
        <f>IF(BG$11=Assumptions!$E$28,Assumptions!$F$31,0)</f>
        <v/>
      </c>
      <c r="BH105" s="228">
        <f>IF(BH$11=Assumptions!$E$28,Assumptions!$F$31,0)</f>
        <v/>
      </c>
      <c r="BI105" s="228">
        <f>IF(BI$11=Assumptions!$E$28,Assumptions!$F$31,0)</f>
        <v/>
      </c>
      <c r="BJ105" s="228">
        <f>IF(BJ$11=Assumptions!$E$28,Assumptions!$F$31,0)</f>
        <v/>
      </c>
      <c r="BK105" s="228">
        <f>IF(BK$11=Assumptions!$E$28,Assumptions!$F$31,0)</f>
        <v/>
      </c>
      <c r="BL105" s="228">
        <f>IF(BL$11=Assumptions!$E$28,Assumptions!$F$31,0)</f>
        <v/>
      </c>
      <c r="BM105" s="228">
        <f>IF(BM$11=Assumptions!$E$28,Assumptions!$F$31,0)</f>
        <v/>
      </c>
      <c r="BN105" s="228">
        <f>IF(BN$11=Assumptions!$E$28,Assumptions!$F$31,0)</f>
        <v/>
      </c>
      <c r="BO105" s="228">
        <f>IF(BO$11=Assumptions!$E$28,Assumptions!$F$31,0)</f>
        <v/>
      </c>
      <c r="BP105" s="228">
        <f>IF(BP$11=Assumptions!$E$28,Assumptions!$F$31,0)</f>
        <v/>
      </c>
      <c r="BQ105" s="228">
        <f>IF(BQ$11=Assumptions!$E$28,Assumptions!$F$31,0)</f>
        <v/>
      </c>
      <c r="BR105" s="228">
        <f>IF(BR$11=Assumptions!$E$28,Assumptions!$F$31,0)</f>
        <v/>
      </c>
      <c r="BS105" s="228">
        <f>IF(BS$11=Assumptions!$E$28,Assumptions!$F$31,0)</f>
        <v/>
      </c>
      <c r="BT105" s="228">
        <f>IF(BT$11=Assumptions!$E$28,Assumptions!$F$31,0)</f>
        <v/>
      </c>
      <c r="BU105" s="228">
        <f>IF(BU$11=Assumptions!$E$28,Assumptions!$F$31,0)</f>
        <v/>
      </c>
      <c r="BV105" s="228">
        <f>IF(BV$11=Assumptions!$E$28,Assumptions!$F$31,0)</f>
        <v/>
      </c>
      <c r="BW105" s="228">
        <f>IF(BW$11=Assumptions!$E$28,Assumptions!$F$31,0)</f>
        <v/>
      </c>
      <c r="BX105" s="228">
        <f>IF(BX$11=Assumptions!$E$28,Assumptions!$F$31,0)</f>
        <v/>
      </c>
      <c r="BY105" s="228">
        <f>IF(BY$11=Assumptions!$E$28,Assumptions!$F$31,0)</f>
        <v/>
      </c>
      <c r="BZ105" s="228">
        <f>IF(BZ$11=Assumptions!$E$28,Assumptions!$F$31,0)</f>
        <v/>
      </c>
      <c r="CA105" s="228">
        <f>IF(CA$11=Assumptions!$E$28,Assumptions!$F$31,0)</f>
        <v/>
      </c>
      <c r="CB105" s="228">
        <f>IF(CB$11=Assumptions!$E$28,Assumptions!$F$31,0)</f>
        <v/>
      </c>
      <c r="CC105" s="228">
        <f>IF(CC$11=Assumptions!$E$28,Assumptions!$F$31,0)</f>
        <v/>
      </c>
      <c r="CD105" s="228">
        <f>IF(CD$11=Assumptions!$E$28,Assumptions!$F$31,0)</f>
        <v/>
      </c>
      <c r="CE105" s="228">
        <f>IF(CE$11=Assumptions!$E$28,Assumptions!$F$31,0)</f>
        <v/>
      </c>
      <c r="CF105" s="228">
        <f>IF(CF$11=Assumptions!$E$28,Assumptions!$F$31,0)</f>
        <v/>
      </c>
      <c r="CG105" s="228">
        <f>IF(CG$11=Assumptions!$E$28,Assumptions!$F$31,0)</f>
        <v/>
      </c>
      <c r="CH105" s="228">
        <f>IF(CH$11=Assumptions!$E$28,Assumptions!$F$31,0)</f>
        <v/>
      </c>
      <c r="CI105" s="228">
        <f>IF(CI$11=Assumptions!$E$28,Assumptions!$F$31,0)</f>
        <v/>
      </c>
      <c r="CJ105" s="228">
        <f>IF(CJ$11=Assumptions!$E$28,Assumptions!$F$31,0)</f>
        <v/>
      </c>
      <c r="CK105" s="228">
        <f>IF(CK$11=Assumptions!$E$28,Assumptions!$F$31,0)</f>
        <v/>
      </c>
      <c r="CL105" s="228">
        <f>IF(CL$11=Assumptions!$E$28,Assumptions!$F$31,0)</f>
        <v/>
      </c>
      <c r="CM105" s="228">
        <f>IF(CM$11=Assumptions!$E$28,Assumptions!$F$31,0)</f>
        <v/>
      </c>
      <c r="CN105" s="228">
        <f>IF(CN$11=Assumptions!$E$28,Assumptions!$F$31,0)</f>
        <v/>
      </c>
      <c r="CO105" s="228">
        <f>IF(CO$11=Assumptions!$E$28,Assumptions!$F$31,0)</f>
        <v/>
      </c>
      <c r="CP105" s="228">
        <f>IF(CP$11=Assumptions!$E$28,Assumptions!$F$31,0)</f>
        <v/>
      </c>
      <c r="CQ105" s="228">
        <f>IF(CQ$11=Assumptions!$E$28,Assumptions!$F$31,0)</f>
        <v/>
      </c>
      <c r="CR105" s="228">
        <f>IF(CR$11=Assumptions!$E$28,Assumptions!$F$31,0)</f>
        <v/>
      </c>
      <c r="CS105" s="228">
        <f>IF(CS$11=Assumptions!$E$28,Assumptions!$F$31,0)</f>
        <v/>
      </c>
      <c r="CT105" s="228">
        <f>IF(CT$11=Assumptions!$E$28,Assumptions!$F$31,0)</f>
        <v/>
      </c>
      <c r="CU105" s="228">
        <f>IF(CU$11=Assumptions!$E$28,Assumptions!$F$31,0)</f>
        <v/>
      </c>
      <c r="CV105" s="228">
        <f>IF(CV$11=Assumptions!$E$28,Assumptions!$F$31,0)</f>
        <v/>
      </c>
      <c r="CW105" s="228">
        <f>IF(CW$11=Assumptions!$E$28,Assumptions!$F$31,0)</f>
        <v/>
      </c>
      <c r="CX105" s="228">
        <f>IF(CX$11=Assumptions!$E$28,Assumptions!$F$31,0)</f>
        <v/>
      </c>
      <c r="CY105" s="228">
        <f>IF(CY$11=Assumptions!$E$28,Assumptions!$F$31,0)</f>
        <v/>
      </c>
      <c r="CZ105" s="228">
        <f>IF(CZ$11=Assumptions!$E$28,Assumptions!$F$31,0)</f>
        <v/>
      </c>
      <c r="DA105" s="228">
        <f>IF(DA$11=Assumptions!$E$28,Assumptions!$F$31,0)</f>
        <v/>
      </c>
      <c r="DB105" s="228">
        <f>IF(DB$11=Assumptions!$E$28,Assumptions!$F$31,0)</f>
        <v/>
      </c>
      <c r="DC105" s="228">
        <f>IF(DC$11=Assumptions!$E$28,Assumptions!$F$31,0)</f>
        <v/>
      </c>
      <c r="DD105" s="228">
        <f>IF(DD$11=Assumptions!$E$28,Assumptions!$F$31,0)</f>
        <v/>
      </c>
      <c r="DE105" s="228">
        <f>IF(DE$11=Assumptions!$E$28,Assumptions!$F$31,0)</f>
        <v/>
      </c>
      <c r="DF105" s="228">
        <f>IF(DF$11=Assumptions!$E$28,Assumptions!$F$31,0)</f>
        <v/>
      </c>
      <c r="DG105" s="228">
        <f>IF(DG$11=Assumptions!$E$28,Assumptions!$F$31,0)</f>
        <v/>
      </c>
      <c r="DH105" s="228">
        <f>IF(DH$11=Assumptions!$E$28,Assumptions!$F$31,0)</f>
        <v/>
      </c>
      <c r="DI105" s="228">
        <f>IF(DI$11=Assumptions!$E$28,Assumptions!$F$31,0)</f>
        <v/>
      </c>
      <c r="DJ105" s="228">
        <f>IF(DJ$11=Assumptions!$E$28,Assumptions!$F$31,0)</f>
        <v/>
      </c>
      <c r="DK105" s="228">
        <f>IF(DK$11=Assumptions!$E$28,Assumptions!$F$31,0)</f>
        <v/>
      </c>
      <c r="DL105" s="228">
        <f>IF(DL$11=Assumptions!$E$28,Assumptions!$F$31,0)</f>
        <v/>
      </c>
      <c r="DM105" s="228">
        <f>IF(DM$11=Assumptions!$E$28,Assumptions!$F$31,0)</f>
        <v/>
      </c>
      <c r="DN105" s="228">
        <f>IF(DN$11=Assumptions!$E$28,Assumptions!$F$31,0)</f>
        <v/>
      </c>
      <c r="DO105" s="228">
        <f>IF(DO$11=Assumptions!$E$28,Assumptions!$F$31,0)</f>
        <v/>
      </c>
      <c r="DP105" s="228">
        <f>IF(DP$11=Assumptions!$E$28,Assumptions!$F$31,0)</f>
        <v/>
      </c>
      <c r="DQ105" s="228">
        <f>IF(DQ$11=Assumptions!$E$28,Assumptions!$F$31,0)</f>
        <v/>
      </c>
      <c r="DR105" s="228">
        <f>IF(DR$11=Assumptions!$E$28,Assumptions!$F$31,0)</f>
        <v/>
      </c>
      <c r="DS105" s="228">
        <f>IF(DS$11=Assumptions!$E$28,Assumptions!$F$31,0)</f>
        <v/>
      </c>
      <c r="DT105" s="228">
        <f>IF(DT$11=Assumptions!$E$28,Assumptions!$F$31,0)</f>
        <v/>
      </c>
    </row>
    <row r="106" ht="15" customHeight="1" s="148">
      <c r="A106" s="110" t="inlineStr">
        <is>
          <t>Disposition Costs</t>
        </is>
      </c>
      <c r="C106" s="228">
        <f>SUM(D106:DT106)</f>
        <v/>
      </c>
      <c r="D106" s="228">
        <f>IF(D$11=Assumptions!$E$28,-Assumptions!$F$31*Assumptions!$F$33,0)</f>
        <v/>
      </c>
      <c r="E106" s="228">
        <f>IF(E$11=Assumptions!$E$28,-Assumptions!$F$31*Assumptions!$F$33,0)</f>
        <v/>
      </c>
      <c r="F106" s="228">
        <f>IF(F$11=Assumptions!$E$28,-Assumptions!$F$31*Assumptions!$F$33,0)</f>
        <v/>
      </c>
      <c r="G106" s="228">
        <f>IF(G$11=Assumptions!$E$28,-Assumptions!$F$31*Assumptions!$F$33,0)</f>
        <v/>
      </c>
      <c r="H106" s="228">
        <f>IF(H$11=Assumptions!$E$28,-Assumptions!$F$31*Assumptions!$F$33,0)</f>
        <v/>
      </c>
      <c r="I106" s="228">
        <f>IF(I$11=Assumptions!$E$28,-Assumptions!$F$31*Assumptions!$F$33,0)</f>
        <v/>
      </c>
      <c r="J106" s="228">
        <f>IF(J$11=Assumptions!$E$28,-Assumptions!$F$31*Assumptions!$F$33,0)</f>
        <v/>
      </c>
      <c r="K106" s="228">
        <f>IF(K$11=Assumptions!$E$28,-Assumptions!$F$31*Assumptions!$F$33,0)</f>
        <v/>
      </c>
      <c r="L106" s="228">
        <f>IF(L$11=Assumptions!$E$28,-Assumptions!$F$31*Assumptions!$F$33,0)</f>
        <v/>
      </c>
      <c r="M106" s="228">
        <f>IF(M$11=Assumptions!$E$28,-Assumptions!$F$31*Assumptions!$F$33,0)</f>
        <v/>
      </c>
      <c r="N106" s="228">
        <f>IF(N$11=Assumptions!$E$28,-Assumptions!$F$31*Assumptions!$F$33,0)</f>
        <v/>
      </c>
      <c r="O106" s="228">
        <f>IF(O$11=Assumptions!$E$28,-Assumptions!$F$31*Assumptions!$F$33,0)</f>
        <v/>
      </c>
      <c r="P106" s="228">
        <f>IF(P$11=Assumptions!$E$28,-Assumptions!$F$31*Assumptions!$F$33,0)</f>
        <v/>
      </c>
      <c r="Q106" s="228">
        <f>IF(Q$11=Assumptions!$E$28,-Assumptions!$F$31*Assumptions!$F$33,0)</f>
        <v/>
      </c>
      <c r="R106" s="228">
        <f>IF(R$11=Assumptions!$E$28,-Assumptions!$F$31*Assumptions!$F$33,0)</f>
        <v/>
      </c>
      <c r="S106" s="228">
        <f>IF(S$11=Assumptions!$E$28,-Assumptions!$F$31*Assumptions!$F$33,0)</f>
        <v/>
      </c>
      <c r="T106" s="228">
        <f>IF(T$11=Assumptions!$E$28,-Assumptions!$F$31*Assumptions!$F$33,0)</f>
        <v/>
      </c>
      <c r="U106" s="228">
        <f>IF(U$11=Assumptions!$E$28,-Assumptions!$F$31*Assumptions!$F$33,0)</f>
        <v/>
      </c>
      <c r="V106" s="228">
        <f>IF(V$11=Assumptions!$E$28,-Assumptions!$F$31*Assumptions!$F$33,0)</f>
        <v/>
      </c>
      <c r="W106" s="228">
        <f>IF(W$11=Assumptions!$E$28,-Assumptions!$F$31*Assumptions!$F$33,0)</f>
        <v/>
      </c>
      <c r="X106" s="228">
        <f>IF(X$11=Assumptions!$E$28,-Assumptions!$F$31*Assumptions!$F$33,0)</f>
        <v/>
      </c>
      <c r="Y106" s="228">
        <f>IF(Y$11=Assumptions!$E$28,-Assumptions!$F$31*Assumptions!$F$33,0)</f>
        <v/>
      </c>
      <c r="Z106" s="228">
        <f>IF(Z$11=Assumptions!$E$28,-Assumptions!$F$31*Assumptions!$F$33,0)</f>
        <v/>
      </c>
      <c r="AA106" s="228">
        <f>IF(AA$11=Assumptions!$E$28,-Assumptions!$F$31*Assumptions!$F$33,0)</f>
        <v/>
      </c>
      <c r="AB106" s="228">
        <f>IF(AB$11=Assumptions!$E$28,-Assumptions!$F$31*Assumptions!$F$33,0)</f>
        <v/>
      </c>
      <c r="AC106" s="228">
        <f>IF(AC$11=Assumptions!$E$28,-Assumptions!$F$31*Assumptions!$F$33,0)</f>
        <v/>
      </c>
      <c r="AD106" s="228">
        <f>IF(AD$11=Assumptions!$E$28,-Assumptions!$F$31*Assumptions!$F$33,0)</f>
        <v/>
      </c>
      <c r="AE106" s="228">
        <f>IF(AE$11=Assumptions!$E$28,-Assumptions!$F$31*Assumptions!$F$33,0)</f>
        <v/>
      </c>
      <c r="AF106" s="228">
        <f>IF(AF$11=Assumptions!$E$28,-Assumptions!$F$31*Assumptions!$F$33,0)</f>
        <v/>
      </c>
      <c r="AG106" s="228">
        <f>IF(AG$11=Assumptions!$E$28,-Assumptions!$F$31*Assumptions!$F$33,0)</f>
        <v/>
      </c>
      <c r="AH106" s="228">
        <f>IF(AH$11=Assumptions!$E$28,-Assumptions!$F$31*Assumptions!$F$33,0)</f>
        <v/>
      </c>
      <c r="AI106" s="228">
        <f>IF(AI$11=Assumptions!$E$28,-Assumptions!$F$31*Assumptions!$F$33,0)</f>
        <v/>
      </c>
      <c r="AJ106" s="228">
        <f>IF(AJ$11=Assumptions!$E$28,-Assumptions!$F$31*Assumptions!$F$33,0)</f>
        <v/>
      </c>
      <c r="AK106" s="228">
        <f>IF(AK$11=Assumptions!$E$28,-Assumptions!$F$31*Assumptions!$F$33,0)</f>
        <v/>
      </c>
      <c r="AL106" s="228">
        <f>IF(AL$11=Assumptions!$E$28,-Assumptions!$F$31*Assumptions!$F$33,0)</f>
        <v/>
      </c>
      <c r="AM106" s="228">
        <f>IF(AM$11=Assumptions!$E$28,-Assumptions!$F$31*Assumptions!$F$33,0)</f>
        <v/>
      </c>
      <c r="AN106" s="228">
        <f>IF(AN$11=Assumptions!$E$28,-Assumptions!$F$31*Assumptions!$F$33,0)</f>
        <v/>
      </c>
      <c r="AO106" s="228">
        <f>IF(AO$11=Assumptions!$E$28,-Assumptions!$F$31*Assumptions!$F$33,0)</f>
        <v/>
      </c>
      <c r="AP106" s="228">
        <f>IF(AP$11=Assumptions!$E$28,-Assumptions!$F$31*Assumptions!$F$33,0)</f>
        <v/>
      </c>
      <c r="AQ106" s="228">
        <f>IF(AQ$11=Assumptions!$E$28,-Assumptions!$F$31*Assumptions!$F$33,0)</f>
        <v/>
      </c>
      <c r="AR106" s="228">
        <f>IF(AR$11=Assumptions!$E$28,-Assumptions!$F$31*Assumptions!$F$33,0)</f>
        <v/>
      </c>
      <c r="AS106" s="228">
        <f>IF(AS$11=Assumptions!$E$28,-Assumptions!$F$31*Assumptions!$F$33,0)</f>
        <v/>
      </c>
      <c r="AT106" s="228">
        <f>IF(AT$11=Assumptions!$E$28,-Assumptions!$F$31*Assumptions!$F$33,0)</f>
        <v/>
      </c>
      <c r="AU106" s="228">
        <f>IF(AU$11=Assumptions!$E$28,-Assumptions!$F$31*Assumptions!$F$33,0)</f>
        <v/>
      </c>
      <c r="AV106" s="228">
        <f>IF(AV$11=Assumptions!$E$28,-Assumptions!$F$31*Assumptions!$F$33,0)</f>
        <v/>
      </c>
      <c r="AW106" s="228">
        <f>IF(AW$11=Assumptions!$E$28,-Assumptions!$F$31*Assumptions!$F$33,0)</f>
        <v/>
      </c>
      <c r="AX106" s="228">
        <f>IF(AX$11=Assumptions!$E$28,-Assumptions!$F$31*Assumptions!$F$33,0)</f>
        <v/>
      </c>
      <c r="AY106" s="228">
        <f>IF(AY$11=Assumptions!$E$28,-Assumptions!$F$31*Assumptions!$F$33,0)</f>
        <v/>
      </c>
      <c r="AZ106" s="228">
        <f>IF(AZ$11=Assumptions!$E$28,-Assumptions!$F$31*Assumptions!$F$33,0)</f>
        <v/>
      </c>
      <c r="BA106" s="228">
        <f>IF(BA$11=Assumptions!$E$28,-Assumptions!$F$31*Assumptions!$F$33,0)</f>
        <v/>
      </c>
      <c r="BB106" s="228">
        <f>IF(BB$11=Assumptions!$E$28,-Assumptions!$F$31*Assumptions!$F$33,0)</f>
        <v/>
      </c>
      <c r="BC106" s="228">
        <f>IF(BC$11=Assumptions!$E$28,-Assumptions!$F$31*Assumptions!$F$33,0)</f>
        <v/>
      </c>
      <c r="BD106" s="228">
        <f>IF(BD$11=Assumptions!$E$28,-Assumptions!$F$31*Assumptions!$F$33,0)</f>
        <v/>
      </c>
      <c r="BE106" s="228">
        <f>IF(BE$11=Assumptions!$E$28,-Assumptions!$F$31*Assumptions!$F$33,0)</f>
        <v/>
      </c>
      <c r="BF106" s="228">
        <f>IF(BF$11=Assumptions!$E$28,-Assumptions!$F$31*Assumptions!$F$33,0)</f>
        <v/>
      </c>
      <c r="BG106" s="228">
        <f>IF(BG$11=Assumptions!$E$28,-Assumptions!$F$31*Assumptions!$F$33,0)</f>
        <v/>
      </c>
      <c r="BH106" s="228">
        <f>IF(BH$11=Assumptions!$E$28,-Assumptions!$F$31*Assumptions!$F$33,0)</f>
        <v/>
      </c>
      <c r="BI106" s="228">
        <f>IF(BI$11=Assumptions!$E$28,-Assumptions!$F$31*Assumptions!$F$33,0)</f>
        <v/>
      </c>
      <c r="BJ106" s="228">
        <f>IF(BJ$11=Assumptions!$E$28,-Assumptions!$F$31*Assumptions!$F$33,0)</f>
        <v/>
      </c>
      <c r="BK106" s="228">
        <f>IF(BK$11=Assumptions!$E$28,-Assumptions!$F$31*Assumptions!$F$33,0)</f>
        <v/>
      </c>
      <c r="BL106" s="228">
        <f>IF(BL$11=Assumptions!$E$28,-Assumptions!$F$31*Assumptions!$F$33,0)</f>
        <v/>
      </c>
      <c r="BM106" s="228">
        <f>IF(BM$11=Assumptions!$E$28,-Assumptions!$F$31*Assumptions!$F$33,0)</f>
        <v/>
      </c>
      <c r="BN106" s="228">
        <f>IF(BN$11=Assumptions!$E$28,-Assumptions!$F$31*Assumptions!$F$33,0)</f>
        <v/>
      </c>
      <c r="BO106" s="228">
        <f>IF(BO$11=Assumptions!$E$28,-Assumptions!$F$31*Assumptions!$F$33,0)</f>
        <v/>
      </c>
      <c r="BP106" s="228">
        <f>IF(BP$11=Assumptions!$E$28,-Assumptions!$F$31*Assumptions!$F$33,0)</f>
        <v/>
      </c>
      <c r="BQ106" s="228">
        <f>IF(BQ$11=Assumptions!$E$28,-Assumptions!$F$31*Assumptions!$F$33,0)</f>
        <v/>
      </c>
      <c r="BR106" s="228">
        <f>IF(BR$11=Assumptions!$E$28,-Assumptions!$F$31*Assumptions!$F$33,0)</f>
        <v/>
      </c>
      <c r="BS106" s="228">
        <f>IF(BS$11=Assumptions!$E$28,-Assumptions!$F$31*Assumptions!$F$33,0)</f>
        <v/>
      </c>
      <c r="BT106" s="228">
        <f>IF(BT$11=Assumptions!$E$28,-Assumptions!$F$31*Assumptions!$F$33,0)</f>
        <v/>
      </c>
      <c r="BU106" s="228">
        <f>IF(BU$11=Assumptions!$E$28,-Assumptions!$F$31*Assumptions!$F$33,0)</f>
        <v/>
      </c>
      <c r="BV106" s="228">
        <f>IF(BV$11=Assumptions!$E$28,-Assumptions!$F$31*Assumptions!$F$33,0)</f>
        <v/>
      </c>
      <c r="BW106" s="228">
        <f>IF(BW$11=Assumptions!$E$28,-Assumptions!$F$31*Assumptions!$F$33,0)</f>
        <v/>
      </c>
      <c r="BX106" s="228">
        <f>IF(BX$11=Assumptions!$E$28,-Assumptions!$F$31*Assumptions!$F$33,0)</f>
        <v/>
      </c>
      <c r="BY106" s="228">
        <f>IF(BY$11=Assumptions!$E$28,-Assumptions!$F$31*Assumptions!$F$33,0)</f>
        <v/>
      </c>
      <c r="BZ106" s="228">
        <f>IF(BZ$11=Assumptions!$E$28,-Assumptions!$F$31*Assumptions!$F$33,0)</f>
        <v/>
      </c>
      <c r="CA106" s="228">
        <f>IF(CA$11=Assumptions!$E$28,-Assumptions!$F$31*Assumptions!$F$33,0)</f>
        <v/>
      </c>
      <c r="CB106" s="228">
        <f>IF(CB$11=Assumptions!$E$28,-Assumptions!$F$31*Assumptions!$F$33,0)</f>
        <v/>
      </c>
      <c r="CC106" s="228">
        <f>IF(CC$11=Assumptions!$E$28,-Assumptions!$F$31*Assumptions!$F$33,0)</f>
        <v/>
      </c>
      <c r="CD106" s="228">
        <f>IF(CD$11=Assumptions!$E$28,-Assumptions!$F$31*Assumptions!$F$33,0)</f>
        <v/>
      </c>
      <c r="CE106" s="228">
        <f>IF(CE$11=Assumptions!$E$28,-Assumptions!$F$31*Assumptions!$F$33,0)</f>
        <v/>
      </c>
      <c r="CF106" s="228">
        <f>IF(CF$11=Assumptions!$E$28,-Assumptions!$F$31*Assumptions!$F$33,0)</f>
        <v/>
      </c>
      <c r="CG106" s="228">
        <f>IF(CG$11=Assumptions!$E$28,-Assumptions!$F$31*Assumptions!$F$33,0)</f>
        <v/>
      </c>
      <c r="CH106" s="228">
        <f>IF(CH$11=Assumptions!$E$28,-Assumptions!$F$31*Assumptions!$F$33,0)</f>
        <v/>
      </c>
      <c r="CI106" s="228">
        <f>IF(CI$11=Assumptions!$E$28,-Assumptions!$F$31*Assumptions!$F$33,0)</f>
        <v/>
      </c>
      <c r="CJ106" s="228">
        <f>IF(CJ$11=Assumptions!$E$28,-Assumptions!$F$31*Assumptions!$F$33,0)</f>
        <v/>
      </c>
      <c r="CK106" s="228">
        <f>IF(CK$11=Assumptions!$E$28,-Assumptions!$F$31*Assumptions!$F$33,0)</f>
        <v/>
      </c>
      <c r="CL106" s="228">
        <f>IF(CL$11=Assumptions!$E$28,-Assumptions!$F$31*Assumptions!$F$33,0)</f>
        <v/>
      </c>
      <c r="CM106" s="228">
        <f>IF(CM$11=Assumptions!$E$28,-Assumptions!$F$31*Assumptions!$F$33,0)</f>
        <v/>
      </c>
      <c r="CN106" s="228">
        <f>IF(CN$11=Assumptions!$E$28,-Assumptions!$F$31*Assumptions!$F$33,0)</f>
        <v/>
      </c>
      <c r="CO106" s="228">
        <f>IF(CO$11=Assumptions!$E$28,-Assumptions!$F$31*Assumptions!$F$33,0)</f>
        <v/>
      </c>
      <c r="CP106" s="228">
        <f>IF(CP$11=Assumptions!$E$28,-Assumptions!$F$31*Assumptions!$F$33,0)</f>
        <v/>
      </c>
      <c r="CQ106" s="228">
        <f>IF(CQ$11=Assumptions!$E$28,-Assumptions!$F$31*Assumptions!$F$33,0)</f>
        <v/>
      </c>
      <c r="CR106" s="228">
        <f>IF(CR$11=Assumptions!$E$28,-Assumptions!$F$31*Assumptions!$F$33,0)</f>
        <v/>
      </c>
      <c r="CS106" s="228">
        <f>IF(CS$11=Assumptions!$E$28,-Assumptions!$F$31*Assumptions!$F$33,0)</f>
        <v/>
      </c>
      <c r="CT106" s="228">
        <f>IF(CT$11=Assumptions!$E$28,-Assumptions!$F$31*Assumptions!$F$33,0)</f>
        <v/>
      </c>
      <c r="CU106" s="228">
        <f>IF(CU$11=Assumptions!$E$28,-Assumptions!$F$31*Assumptions!$F$33,0)</f>
        <v/>
      </c>
      <c r="CV106" s="228">
        <f>IF(CV$11=Assumptions!$E$28,-Assumptions!$F$31*Assumptions!$F$33,0)</f>
        <v/>
      </c>
      <c r="CW106" s="228">
        <f>IF(CW$11=Assumptions!$E$28,-Assumptions!$F$31*Assumptions!$F$33,0)</f>
        <v/>
      </c>
      <c r="CX106" s="228">
        <f>IF(CX$11=Assumptions!$E$28,-Assumptions!$F$31*Assumptions!$F$33,0)</f>
        <v/>
      </c>
      <c r="CY106" s="228">
        <f>IF(CY$11=Assumptions!$E$28,-Assumptions!$F$31*Assumptions!$F$33,0)</f>
        <v/>
      </c>
      <c r="CZ106" s="228">
        <f>IF(CZ$11=Assumptions!$E$28,-Assumptions!$F$31*Assumptions!$F$33,0)</f>
        <v/>
      </c>
      <c r="DA106" s="228">
        <f>IF(DA$11=Assumptions!$E$28,-Assumptions!$F$31*Assumptions!$F$33,0)</f>
        <v/>
      </c>
      <c r="DB106" s="228">
        <f>IF(DB$11=Assumptions!$E$28,-Assumptions!$F$31*Assumptions!$F$33,0)</f>
        <v/>
      </c>
      <c r="DC106" s="228">
        <f>IF(DC$11=Assumptions!$E$28,-Assumptions!$F$31*Assumptions!$F$33,0)</f>
        <v/>
      </c>
      <c r="DD106" s="228">
        <f>IF(DD$11=Assumptions!$E$28,-Assumptions!$F$31*Assumptions!$F$33,0)</f>
        <v/>
      </c>
      <c r="DE106" s="228">
        <f>IF(DE$11=Assumptions!$E$28,-Assumptions!$F$31*Assumptions!$F$33,0)</f>
        <v/>
      </c>
      <c r="DF106" s="228">
        <f>IF(DF$11=Assumptions!$E$28,-Assumptions!$F$31*Assumptions!$F$33,0)</f>
        <v/>
      </c>
      <c r="DG106" s="228">
        <f>IF(DG$11=Assumptions!$E$28,-Assumptions!$F$31*Assumptions!$F$33,0)</f>
        <v/>
      </c>
      <c r="DH106" s="228">
        <f>IF(DH$11=Assumptions!$E$28,-Assumptions!$F$31*Assumptions!$F$33,0)</f>
        <v/>
      </c>
      <c r="DI106" s="228">
        <f>IF(DI$11=Assumptions!$E$28,-Assumptions!$F$31*Assumptions!$F$33,0)</f>
        <v/>
      </c>
      <c r="DJ106" s="228">
        <f>IF(DJ$11=Assumptions!$E$28,-Assumptions!$F$31*Assumptions!$F$33,0)</f>
        <v/>
      </c>
      <c r="DK106" s="228">
        <f>IF(DK$11=Assumptions!$E$28,-Assumptions!$F$31*Assumptions!$F$33,0)</f>
        <v/>
      </c>
      <c r="DL106" s="228">
        <f>IF(DL$11=Assumptions!$E$28,-Assumptions!$F$31*Assumptions!$F$33,0)</f>
        <v/>
      </c>
      <c r="DM106" s="228">
        <f>IF(DM$11=Assumptions!$E$28,-Assumptions!$F$31*Assumptions!$F$33,0)</f>
        <v/>
      </c>
      <c r="DN106" s="228">
        <f>IF(DN$11=Assumptions!$E$28,-Assumptions!$F$31*Assumptions!$F$33,0)</f>
        <v/>
      </c>
      <c r="DO106" s="228">
        <f>IF(DO$11=Assumptions!$E$28,-Assumptions!$F$31*Assumptions!$F$33,0)</f>
        <v/>
      </c>
      <c r="DP106" s="228">
        <f>IF(DP$11=Assumptions!$E$28,-Assumptions!$F$31*Assumptions!$F$33,0)</f>
        <v/>
      </c>
      <c r="DQ106" s="228">
        <f>IF(DQ$11=Assumptions!$E$28,-Assumptions!$F$31*Assumptions!$F$33,0)</f>
        <v/>
      </c>
      <c r="DR106" s="228">
        <f>IF(DR$11=Assumptions!$E$28,-Assumptions!$F$31*Assumptions!$F$33,0)</f>
        <v/>
      </c>
      <c r="DS106" s="228">
        <f>IF(DS$11=Assumptions!$E$28,-Assumptions!$F$31*Assumptions!$F$33,0)</f>
        <v/>
      </c>
      <c r="DT106" s="228">
        <f>IF(DT$11=Assumptions!$E$28,-Assumptions!$F$31*Assumptions!$F$33,0)</f>
        <v/>
      </c>
    </row>
    <row r="107" ht="15" customHeight="1" s="148">
      <c r="A107" s="110" t="inlineStr">
        <is>
          <t>Total</t>
        </is>
      </c>
      <c r="C107" s="228">
        <f>SUM(D107:DT107)</f>
        <v/>
      </c>
      <c r="D107" s="228">
        <f>D$105+D$106</f>
        <v/>
      </c>
      <c r="E107" s="228">
        <f>E$105+E$106</f>
        <v/>
      </c>
      <c r="F107" s="228">
        <f>F$105+F$106</f>
        <v/>
      </c>
      <c r="G107" s="228">
        <f>G$105+G$106</f>
        <v/>
      </c>
      <c r="H107" s="228">
        <f>H$105+H$106</f>
        <v/>
      </c>
      <c r="I107" s="228">
        <f>I$105+I$106</f>
        <v/>
      </c>
      <c r="J107" s="228">
        <f>J$105+J$106</f>
        <v/>
      </c>
      <c r="K107" s="228">
        <f>K$105+K$106</f>
        <v/>
      </c>
      <c r="L107" s="228">
        <f>L$105+L$106</f>
        <v/>
      </c>
      <c r="M107" s="228">
        <f>M$105+M$106</f>
        <v/>
      </c>
      <c r="N107" s="228">
        <f>N$105+N$106</f>
        <v/>
      </c>
      <c r="O107" s="228">
        <f>O$105+O$106</f>
        <v/>
      </c>
      <c r="P107" s="228">
        <f>P$105+P$106</f>
        <v/>
      </c>
      <c r="Q107" s="228">
        <f>Q$105+Q$106</f>
        <v/>
      </c>
      <c r="R107" s="228">
        <f>R$105+R$106</f>
        <v/>
      </c>
      <c r="S107" s="228">
        <f>S$105+S$106</f>
        <v/>
      </c>
      <c r="T107" s="228">
        <f>T$105+T$106</f>
        <v/>
      </c>
      <c r="U107" s="228">
        <f>U$105+U$106</f>
        <v/>
      </c>
      <c r="V107" s="228">
        <f>V$105+V$106</f>
        <v/>
      </c>
      <c r="W107" s="228">
        <f>W$105+W$106</f>
        <v/>
      </c>
      <c r="X107" s="228">
        <f>X$105+X$106</f>
        <v/>
      </c>
      <c r="Y107" s="228">
        <f>Y$105+Y$106</f>
        <v/>
      </c>
      <c r="Z107" s="228">
        <f>Z$105+Z$106</f>
        <v/>
      </c>
      <c r="AA107" s="228">
        <f>AA$105+AA$106</f>
        <v/>
      </c>
      <c r="AB107" s="228">
        <f>AB$105+AB$106</f>
        <v/>
      </c>
      <c r="AC107" s="228">
        <f>AC$105+AC$106</f>
        <v/>
      </c>
      <c r="AD107" s="228">
        <f>AD$105+AD$106</f>
        <v/>
      </c>
      <c r="AE107" s="228">
        <f>AE$105+AE$106</f>
        <v/>
      </c>
      <c r="AF107" s="228">
        <f>AF$105+AF$106</f>
        <v/>
      </c>
      <c r="AG107" s="228">
        <f>AG$105+AG$106</f>
        <v/>
      </c>
      <c r="AH107" s="228">
        <f>AH$105+AH$106</f>
        <v/>
      </c>
      <c r="AI107" s="228">
        <f>AI$105+AI$106</f>
        <v/>
      </c>
      <c r="AJ107" s="228">
        <f>AJ$105+AJ$106</f>
        <v/>
      </c>
      <c r="AK107" s="228">
        <f>AK$105+AK$106</f>
        <v/>
      </c>
      <c r="AL107" s="228">
        <f>AL$105+AL$106</f>
        <v/>
      </c>
      <c r="AM107" s="228">
        <f>AM$105+AM$106</f>
        <v/>
      </c>
      <c r="AN107" s="228">
        <f>AN$105+AN$106</f>
        <v/>
      </c>
      <c r="AO107" s="228">
        <f>AO$105+AO$106</f>
        <v/>
      </c>
      <c r="AP107" s="228">
        <f>AP$105+AP$106</f>
        <v/>
      </c>
      <c r="AQ107" s="228">
        <f>AQ$105+AQ$106</f>
        <v/>
      </c>
      <c r="AR107" s="228">
        <f>AR$105+AR$106</f>
        <v/>
      </c>
      <c r="AS107" s="228">
        <f>AS$105+AS$106</f>
        <v/>
      </c>
      <c r="AT107" s="228">
        <f>AT$105+AT$106</f>
        <v/>
      </c>
      <c r="AU107" s="228">
        <f>AU$105+AU$106</f>
        <v/>
      </c>
      <c r="AV107" s="228">
        <f>AV$105+AV$106</f>
        <v/>
      </c>
      <c r="AW107" s="228">
        <f>AW$105+AW$106</f>
        <v/>
      </c>
      <c r="AX107" s="228">
        <f>AX$105+AX$106</f>
        <v/>
      </c>
      <c r="AY107" s="228">
        <f>AY$105+AY$106</f>
        <v/>
      </c>
      <c r="AZ107" s="228">
        <f>AZ$105+AZ$106</f>
        <v/>
      </c>
      <c r="BA107" s="228">
        <f>BA$105+BA$106</f>
        <v/>
      </c>
      <c r="BB107" s="228">
        <f>BB$105+BB$106</f>
        <v/>
      </c>
      <c r="BC107" s="228">
        <f>BC$105+BC$106</f>
        <v/>
      </c>
      <c r="BD107" s="228">
        <f>BD$105+BD$106</f>
        <v/>
      </c>
      <c r="BE107" s="228">
        <f>BE$105+BE$106</f>
        <v/>
      </c>
      <c r="BF107" s="228">
        <f>BF$105+BF$106</f>
        <v/>
      </c>
      <c r="BG107" s="228">
        <f>BG$105+BG$106</f>
        <v/>
      </c>
      <c r="BH107" s="228">
        <f>BH$105+BH$106</f>
        <v/>
      </c>
      <c r="BI107" s="228">
        <f>BI$105+BI$106</f>
        <v/>
      </c>
      <c r="BJ107" s="228">
        <f>BJ$105+BJ$106</f>
        <v/>
      </c>
      <c r="BK107" s="228">
        <f>BK$105+BK$106</f>
        <v/>
      </c>
      <c r="BL107" s="228">
        <f>BL$105+BL$106</f>
        <v/>
      </c>
      <c r="BM107" s="228">
        <f>BM$105+BM$106</f>
        <v/>
      </c>
      <c r="BN107" s="228">
        <f>BN$105+BN$106</f>
        <v/>
      </c>
      <c r="BO107" s="228">
        <f>BO$105+BO$106</f>
        <v/>
      </c>
      <c r="BP107" s="228">
        <f>BP$105+BP$106</f>
        <v/>
      </c>
      <c r="BQ107" s="228">
        <f>BQ$105+BQ$106</f>
        <v/>
      </c>
      <c r="BR107" s="228">
        <f>BR$105+BR$106</f>
        <v/>
      </c>
      <c r="BS107" s="228">
        <f>BS$105+BS$106</f>
        <v/>
      </c>
      <c r="BT107" s="228">
        <f>BT$105+BT$106</f>
        <v/>
      </c>
      <c r="BU107" s="228">
        <f>BU$105+BU$106</f>
        <v/>
      </c>
      <c r="BV107" s="228">
        <f>BV$105+BV$106</f>
        <v/>
      </c>
      <c r="BW107" s="228">
        <f>BW$105+BW$106</f>
        <v/>
      </c>
      <c r="BX107" s="228">
        <f>BX$105+BX$106</f>
        <v/>
      </c>
      <c r="BY107" s="228">
        <f>BY$105+BY$106</f>
        <v/>
      </c>
      <c r="BZ107" s="228">
        <f>BZ$105+BZ$106</f>
        <v/>
      </c>
      <c r="CA107" s="228">
        <f>CA$105+CA$106</f>
        <v/>
      </c>
      <c r="CB107" s="228">
        <f>CB$105+CB$106</f>
        <v/>
      </c>
      <c r="CC107" s="228">
        <f>CC$105+CC$106</f>
        <v/>
      </c>
      <c r="CD107" s="228">
        <f>CD$105+CD$106</f>
        <v/>
      </c>
      <c r="CE107" s="228">
        <f>CE$105+CE$106</f>
        <v/>
      </c>
      <c r="CF107" s="228">
        <f>CF$105+CF$106</f>
        <v/>
      </c>
      <c r="CG107" s="228">
        <f>CG$105+CG$106</f>
        <v/>
      </c>
      <c r="CH107" s="228">
        <f>CH$105+CH$106</f>
        <v/>
      </c>
      <c r="CI107" s="228">
        <f>CI$105+CI$106</f>
        <v/>
      </c>
      <c r="CJ107" s="228">
        <f>CJ$105+CJ$106</f>
        <v/>
      </c>
      <c r="CK107" s="228">
        <f>CK$105+CK$106</f>
        <v/>
      </c>
      <c r="CL107" s="228">
        <f>CL$105+CL$106</f>
        <v/>
      </c>
      <c r="CM107" s="228">
        <f>CM$105+CM$106</f>
        <v/>
      </c>
      <c r="CN107" s="228">
        <f>CN$105+CN$106</f>
        <v/>
      </c>
      <c r="CO107" s="228">
        <f>CO$105+CO$106</f>
        <v/>
      </c>
      <c r="CP107" s="228">
        <f>CP$105+CP$106</f>
        <v/>
      </c>
      <c r="CQ107" s="228">
        <f>CQ$105+CQ$106</f>
        <v/>
      </c>
      <c r="CR107" s="228">
        <f>CR$105+CR$106</f>
        <v/>
      </c>
      <c r="CS107" s="228">
        <f>CS$105+CS$106</f>
        <v/>
      </c>
      <c r="CT107" s="228">
        <f>CT$105+CT$106</f>
        <v/>
      </c>
      <c r="CU107" s="228">
        <f>CU$105+CU$106</f>
        <v/>
      </c>
      <c r="CV107" s="228">
        <f>CV$105+CV$106</f>
        <v/>
      </c>
      <c r="CW107" s="228">
        <f>CW$105+CW$106</f>
        <v/>
      </c>
      <c r="CX107" s="228">
        <f>CX$105+CX$106</f>
        <v/>
      </c>
      <c r="CY107" s="228">
        <f>CY$105+CY$106</f>
        <v/>
      </c>
      <c r="CZ107" s="228">
        <f>CZ$105+CZ$106</f>
        <v/>
      </c>
      <c r="DA107" s="228">
        <f>DA$105+DA$106</f>
        <v/>
      </c>
      <c r="DB107" s="228">
        <f>DB$105+DB$106</f>
        <v/>
      </c>
      <c r="DC107" s="228">
        <f>DC$105+DC$106</f>
        <v/>
      </c>
      <c r="DD107" s="228">
        <f>DD$105+DD$106</f>
        <v/>
      </c>
      <c r="DE107" s="228">
        <f>DE$105+DE$106</f>
        <v/>
      </c>
      <c r="DF107" s="228">
        <f>DF$105+DF$106</f>
        <v/>
      </c>
      <c r="DG107" s="228">
        <f>DG$105+DG$106</f>
        <v/>
      </c>
      <c r="DH107" s="228">
        <f>DH$105+DH$106</f>
        <v/>
      </c>
      <c r="DI107" s="228">
        <f>DI$105+DI$106</f>
        <v/>
      </c>
      <c r="DJ107" s="228">
        <f>DJ$105+DJ$106</f>
        <v/>
      </c>
      <c r="DK107" s="228">
        <f>DK$105+DK$106</f>
        <v/>
      </c>
      <c r="DL107" s="228">
        <f>DL$105+DL$106</f>
        <v/>
      </c>
      <c r="DM107" s="228">
        <f>DM$105+DM$106</f>
        <v/>
      </c>
      <c r="DN107" s="228">
        <f>DN$105+DN$106</f>
        <v/>
      </c>
      <c r="DO107" s="228">
        <f>DO$105+DO$106</f>
        <v/>
      </c>
      <c r="DP107" s="228">
        <f>DP$105+DP$106</f>
        <v/>
      </c>
      <c r="DQ107" s="228">
        <f>DQ$105+DQ$106</f>
        <v/>
      </c>
      <c r="DR107" s="228">
        <f>DR$105+DR$106</f>
        <v/>
      </c>
      <c r="DS107" s="228">
        <f>DS$105+DS$106</f>
        <v/>
      </c>
      <c r="DT107" s="228">
        <f>DT$105+DT$106</f>
        <v/>
      </c>
    </row>
    <row r="109" ht="15" customHeight="1" s="148">
      <c r="A109" s="110" t="inlineStr">
        <is>
          <t>NCF Before Leverage</t>
        </is>
      </c>
      <c r="C109" s="228">
        <f>SUM(D109:DT109)</f>
        <v/>
      </c>
      <c r="D109" s="228">
        <f>D$72+D$76+D$103+D$107</f>
        <v/>
      </c>
      <c r="E109" s="228">
        <f>E$72+E$76+E$103+E$107</f>
        <v/>
      </c>
      <c r="F109" s="228">
        <f>F$72+F$76+F$103+F$107</f>
        <v/>
      </c>
      <c r="G109" s="228">
        <f>G$72+G$76+G$103+G$107</f>
        <v/>
      </c>
      <c r="H109" s="228">
        <f>H$72+H$76+H$103+H$107</f>
        <v/>
      </c>
      <c r="I109" s="228">
        <f>I$72+I$76+I$103+I$107</f>
        <v/>
      </c>
      <c r="J109" s="228">
        <f>J$72+J$76+J$103+J$107</f>
        <v/>
      </c>
      <c r="K109" s="228">
        <f>K$72+K$76+K$103+K$107</f>
        <v/>
      </c>
      <c r="L109" s="228">
        <f>L$72+L$76+L$103+L$107</f>
        <v/>
      </c>
      <c r="M109" s="228">
        <f>M$72+M$76+M$103+M$107</f>
        <v/>
      </c>
      <c r="N109" s="228">
        <f>N$72+N$76+N$103+N$107</f>
        <v/>
      </c>
      <c r="O109" s="228">
        <f>O$72+O$76+O$103+O$107</f>
        <v/>
      </c>
      <c r="P109" s="228">
        <f>P$72+P$76+P$103+P$107</f>
        <v/>
      </c>
      <c r="Q109" s="228">
        <f>Q$72+Q$76+Q$103+Q$107</f>
        <v/>
      </c>
      <c r="R109" s="228">
        <f>R$72+R$76+R$103+R$107</f>
        <v/>
      </c>
      <c r="S109" s="228">
        <f>S$72+S$76+S$103+S$107</f>
        <v/>
      </c>
      <c r="T109" s="228">
        <f>T$72+T$76+T$103+T$107</f>
        <v/>
      </c>
      <c r="U109" s="228">
        <f>U$72+U$76+U$103+U$107</f>
        <v/>
      </c>
      <c r="V109" s="228">
        <f>V$72+V$76+V$103+V$107</f>
        <v/>
      </c>
      <c r="W109" s="228">
        <f>W$72+W$76+W$103+W$107</f>
        <v/>
      </c>
      <c r="X109" s="228">
        <f>X$72+X$76+X$103+X$107</f>
        <v/>
      </c>
      <c r="Y109" s="228">
        <f>Y$72+Y$76+Y$103+Y$107</f>
        <v/>
      </c>
      <c r="Z109" s="228">
        <f>Z$72+Z$76+Z$103+Z$107</f>
        <v/>
      </c>
      <c r="AA109" s="228">
        <f>AA$72+AA$76+AA$103+AA$107</f>
        <v/>
      </c>
      <c r="AB109" s="228">
        <f>AB$72+AB$76+AB$103+AB$107</f>
        <v/>
      </c>
      <c r="AC109" s="228">
        <f>AC$72+AC$76+AC$103+AC$107</f>
        <v/>
      </c>
      <c r="AD109" s="228">
        <f>AD$72+AD$76+AD$103+AD$107</f>
        <v/>
      </c>
      <c r="AE109" s="228">
        <f>AE$72+AE$76+AE$103+AE$107</f>
        <v/>
      </c>
      <c r="AF109" s="228">
        <f>AF$72+AF$76+AF$103+AF$107</f>
        <v/>
      </c>
      <c r="AG109" s="228">
        <f>AG$72+AG$76+AG$103+AG$107</f>
        <v/>
      </c>
      <c r="AH109" s="228">
        <f>AH$72+AH$76+AH$103+AH$107</f>
        <v/>
      </c>
      <c r="AI109" s="228">
        <f>AI$72+AI$76+AI$103+AI$107</f>
        <v/>
      </c>
      <c r="AJ109" s="228">
        <f>AJ$72+AJ$76+AJ$103+AJ$107</f>
        <v/>
      </c>
      <c r="AK109" s="228">
        <f>AK$72+AK$76+AK$103+AK$107</f>
        <v/>
      </c>
      <c r="AL109" s="228">
        <f>AL$72+AL$76+AL$103+AL$107</f>
        <v/>
      </c>
      <c r="AM109" s="228">
        <f>AM$72+AM$76+AM$103+AM$107</f>
        <v/>
      </c>
      <c r="AN109" s="228">
        <f>AN$72+AN$76+AN$103+AN$107</f>
        <v/>
      </c>
      <c r="AO109" s="228">
        <f>AO$72+AO$76+AO$103+AO$107</f>
        <v/>
      </c>
      <c r="AP109" s="228">
        <f>AP$72+AP$76+AP$103+AP$107</f>
        <v/>
      </c>
      <c r="AQ109" s="228">
        <f>AQ$72+AQ$76+AQ$103+AQ$107</f>
        <v/>
      </c>
      <c r="AR109" s="228">
        <f>AR$72+AR$76+AR$103+AR$107</f>
        <v/>
      </c>
      <c r="AS109" s="228">
        <f>AS$72+AS$76+AS$103+AS$107</f>
        <v/>
      </c>
      <c r="AT109" s="228">
        <f>AT$72+AT$76+AT$103+AT$107</f>
        <v/>
      </c>
      <c r="AU109" s="228">
        <f>AU$72+AU$76+AU$103+AU$107</f>
        <v/>
      </c>
      <c r="AV109" s="228">
        <f>AV$72+AV$76+AV$103+AV$107</f>
        <v/>
      </c>
      <c r="AW109" s="228">
        <f>AW$72+AW$76+AW$103+AW$107</f>
        <v/>
      </c>
      <c r="AX109" s="228">
        <f>AX$72+AX$76+AX$103+AX$107</f>
        <v/>
      </c>
      <c r="AY109" s="228">
        <f>AY$72+AY$76+AY$103+AY$107</f>
        <v/>
      </c>
      <c r="AZ109" s="228">
        <f>AZ$72+AZ$76+AZ$103+AZ$107</f>
        <v/>
      </c>
      <c r="BA109" s="228">
        <f>BA$72+BA$76+BA$103+BA$107</f>
        <v/>
      </c>
      <c r="BB109" s="228">
        <f>BB$72+BB$76+BB$103+BB$107</f>
        <v/>
      </c>
      <c r="BC109" s="228">
        <f>BC$72+BC$76+BC$103+BC$107</f>
        <v/>
      </c>
      <c r="BD109" s="228">
        <f>BD$72+BD$76+BD$103+BD$107</f>
        <v/>
      </c>
      <c r="BE109" s="228">
        <f>BE$72+BE$76+BE$103+BE$107</f>
        <v/>
      </c>
      <c r="BF109" s="228">
        <f>BF$72+BF$76+BF$103+BF$107</f>
        <v/>
      </c>
      <c r="BG109" s="228">
        <f>BG$72+BG$76+BG$103+BG$107</f>
        <v/>
      </c>
      <c r="BH109" s="228">
        <f>BH$72+BH$76+BH$103+BH$107</f>
        <v/>
      </c>
      <c r="BI109" s="228">
        <f>BI$72+BI$76+BI$103+BI$107</f>
        <v/>
      </c>
      <c r="BJ109" s="228">
        <f>BJ$72+BJ$76+BJ$103+BJ$107</f>
        <v/>
      </c>
      <c r="BK109" s="228">
        <f>BK$72+BK$76+BK$103+BK$107</f>
        <v/>
      </c>
      <c r="BL109" s="228">
        <f>BL$72+BL$76+BL$103+BL$107</f>
        <v/>
      </c>
      <c r="BM109" s="228">
        <f>BM$72+BM$76+BM$103+BM$107</f>
        <v/>
      </c>
      <c r="BN109" s="228">
        <f>BN$72+BN$76+BN$103+BN$107</f>
        <v/>
      </c>
      <c r="BO109" s="228">
        <f>BO$72+BO$76+BO$103+BO$107</f>
        <v/>
      </c>
      <c r="BP109" s="228">
        <f>BP$72+BP$76+BP$103+BP$107</f>
        <v/>
      </c>
      <c r="BQ109" s="228">
        <f>BQ$72+BQ$76+BQ$103+BQ$107</f>
        <v/>
      </c>
      <c r="BR109" s="228">
        <f>BR$72+BR$76+BR$103+BR$107</f>
        <v/>
      </c>
      <c r="BS109" s="228">
        <f>BS$72+BS$76+BS$103+BS$107</f>
        <v/>
      </c>
      <c r="BT109" s="228">
        <f>BT$72+BT$76+BT$103+BT$107</f>
        <v/>
      </c>
      <c r="BU109" s="228">
        <f>BU$72+BU$76+BU$103+BU$107</f>
        <v/>
      </c>
      <c r="BV109" s="228">
        <f>BV$72+BV$76+BV$103+BV$107</f>
        <v/>
      </c>
      <c r="BW109" s="228">
        <f>BW$72+BW$76+BW$103+BW$107</f>
        <v/>
      </c>
      <c r="BX109" s="228">
        <f>BX$72+BX$76+BX$103+BX$107</f>
        <v/>
      </c>
      <c r="BY109" s="228">
        <f>BY$72+BY$76+BY$103+BY$107</f>
        <v/>
      </c>
      <c r="BZ109" s="228">
        <f>BZ$72+BZ$76+BZ$103+BZ$107</f>
        <v/>
      </c>
      <c r="CA109" s="228">
        <f>CA$72+CA$76+CA$103+CA$107</f>
        <v/>
      </c>
      <c r="CB109" s="228">
        <f>CB$72+CB$76+CB$103+CB$107</f>
        <v/>
      </c>
      <c r="CC109" s="228">
        <f>CC$72+CC$76+CC$103+CC$107</f>
        <v/>
      </c>
      <c r="CD109" s="228">
        <f>CD$72+CD$76+CD$103+CD$107</f>
        <v/>
      </c>
      <c r="CE109" s="228">
        <f>CE$72+CE$76+CE$103+CE$107</f>
        <v/>
      </c>
      <c r="CF109" s="228">
        <f>CF$72+CF$76+CF$103+CF$107</f>
        <v/>
      </c>
      <c r="CG109" s="228">
        <f>CG$72+CG$76+CG$103+CG$107</f>
        <v/>
      </c>
      <c r="CH109" s="228">
        <f>CH$72+CH$76+CH$103+CH$107</f>
        <v/>
      </c>
      <c r="CI109" s="228">
        <f>CI$72+CI$76+CI$103+CI$107</f>
        <v/>
      </c>
      <c r="CJ109" s="228">
        <f>CJ$72+CJ$76+CJ$103+CJ$107</f>
        <v/>
      </c>
      <c r="CK109" s="228">
        <f>CK$72+CK$76+CK$103+CK$107</f>
        <v/>
      </c>
      <c r="CL109" s="228">
        <f>CL$72+CL$76+CL$103+CL$107</f>
        <v/>
      </c>
      <c r="CM109" s="228">
        <f>CM$72+CM$76+CM$103+CM$107</f>
        <v/>
      </c>
      <c r="CN109" s="228">
        <f>CN$72+CN$76+CN$103+CN$107</f>
        <v/>
      </c>
      <c r="CO109" s="228">
        <f>CO$72+CO$76+CO$103+CO$107</f>
        <v/>
      </c>
      <c r="CP109" s="228">
        <f>CP$72+CP$76+CP$103+CP$107</f>
        <v/>
      </c>
      <c r="CQ109" s="228">
        <f>CQ$72+CQ$76+CQ$103+CQ$107</f>
        <v/>
      </c>
      <c r="CR109" s="228">
        <f>CR$72+CR$76+CR$103+CR$107</f>
        <v/>
      </c>
      <c r="CS109" s="228">
        <f>CS$72+CS$76+CS$103+CS$107</f>
        <v/>
      </c>
      <c r="CT109" s="228">
        <f>CT$72+CT$76+CT$103+CT$107</f>
        <v/>
      </c>
      <c r="CU109" s="228">
        <f>CU$72+CU$76+CU$103+CU$107</f>
        <v/>
      </c>
      <c r="CV109" s="228">
        <f>CV$72+CV$76+CV$103+CV$107</f>
        <v/>
      </c>
      <c r="CW109" s="228">
        <f>CW$72+CW$76+CW$103+CW$107</f>
        <v/>
      </c>
      <c r="CX109" s="228">
        <f>CX$72+CX$76+CX$103+CX$107</f>
        <v/>
      </c>
      <c r="CY109" s="228">
        <f>CY$72+CY$76+CY$103+CY$107</f>
        <v/>
      </c>
      <c r="CZ109" s="228">
        <f>CZ$72+CZ$76+CZ$103+CZ$107</f>
        <v/>
      </c>
      <c r="DA109" s="228">
        <f>DA$72+DA$76+DA$103+DA$107</f>
        <v/>
      </c>
      <c r="DB109" s="228">
        <f>DB$72+DB$76+DB$103+DB$107</f>
        <v/>
      </c>
      <c r="DC109" s="228">
        <f>DC$72+DC$76+DC$103+DC$107</f>
        <v/>
      </c>
      <c r="DD109" s="228">
        <f>DD$72+DD$76+DD$103+DD$107</f>
        <v/>
      </c>
      <c r="DE109" s="228">
        <f>DE$72+DE$76+DE$103+DE$107</f>
        <v/>
      </c>
      <c r="DF109" s="228">
        <f>DF$72+DF$76+DF$103+DF$107</f>
        <v/>
      </c>
      <c r="DG109" s="228">
        <f>DG$72+DG$76+DG$103+DG$107</f>
        <v/>
      </c>
      <c r="DH109" s="228">
        <f>DH$72+DH$76+DH$103+DH$107</f>
        <v/>
      </c>
      <c r="DI109" s="228">
        <f>DI$72+DI$76+DI$103+DI$107</f>
        <v/>
      </c>
      <c r="DJ109" s="228">
        <f>DJ$72+DJ$76+DJ$103+DJ$107</f>
        <v/>
      </c>
      <c r="DK109" s="228">
        <f>DK$72+DK$76+DK$103+DK$107</f>
        <v/>
      </c>
      <c r="DL109" s="228">
        <f>DL$72+DL$76+DL$103+DL$107</f>
        <v/>
      </c>
      <c r="DM109" s="228">
        <f>DM$72+DM$76+DM$103+DM$107</f>
        <v/>
      </c>
      <c r="DN109" s="228">
        <f>DN$72+DN$76+DN$103+DN$107</f>
        <v/>
      </c>
      <c r="DO109" s="228">
        <f>DO$72+DO$76+DO$103+DO$107</f>
        <v/>
      </c>
      <c r="DP109" s="228">
        <f>DP$72+DP$76+DP$103+DP$107</f>
        <v/>
      </c>
      <c r="DQ109" s="228">
        <f>DQ$72+DQ$76+DQ$103+DQ$107</f>
        <v/>
      </c>
      <c r="DR109" s="228">
        <f>DR$72+DR$76+DR$103+DR$107</f>
        <v/>
      </c>
      <c r="DS109" s="228">
        <f>DS$72+DS$76+DS$103+DS$107</f>
        <v/>
      </c>
      <c r="DT109" s="228">
        <f>DT$72+DT$76+DT$103+DT$107</f>
        <v/>
      </c>
    </row>
    <row r="110" ht="15" customHeight="1" s="148">
      <c r="A110" s="112" t="inlineStr">
        <is>
          <t>Cumulative NCF before Leverage</t>
        </is>
      </c>
      <c r="C110" s="228">
        <f>SUM(D110:DT110)</f>
        <v/>
      </c>
      <c r="D110" s="228">
        <f>D$109</f>
        <v/>
      </c>
      <c r="E110" s="228">
        <f>D$110+E$109</f>
        <v/>
      </c>
      <c r="F110" s="228">
        <f>E$110+F$109</f>
        <v/>
      </c>
      <c r="G110" s="228">
        <f>F$110+G$109</f>
        <v/>
      </c>
      <c r="H110" s="228">
        <f>G$110+H$109</f>
        <v/>
      </c>
      <c r="I110" s="228">
        <f>H$110+I$109</f>
        <v/>
      </c>
      <c r="J110" s="228">
        <f>I$110+J$109</f>
        <v/>
      </c>
      <c r="K110" s="228">
        <f>J$110+K$109</f>
        <v/>
      </c>
      <c r="L110" s="228">
        <f>K$110+L$109</f>
        <v/>
      </c>
      <c r="M110" s="228">
        <f>L$110+M$109</f>
        <v/>
      </c>
      <c r="N110" s="228">
        <f>M$110+N$109</f>
        <v/>
      </c>
      <c r="O110" s="228">
        <f>N$110+O$109</f>
        <v/>
      </c>
      <c r="P110" s="228">
        <f>O$110+P$109</f>
        <v/>
      </c>
      <c r="Q110" s="228">
        <f>P$110+Q$109</f>
        <v/>
      </c>
      <c r="R110" s="228">
        <f>Q$110+R$109</f>
        <v/>
      </c>
      <c r="S110" s="228">
        <f>R$110+S$109</f>
        <v/>
      </c>
      <c r="T110" s="228">
        <f>S$110+T$109</f>
        <v/>
      </c>
      <c r="U110" s="228">
        <f>T$110+U$109</f>
        <v/>
      </c>
      <c r="V110" s="228">
        <f>U$110+V$109</f>
        <v/>
      </c>
      <c r="W110" s="228">
        <f>V$110+W$109</f>
        <v/>
      </c>
      <c r="X110" s="228">
        <f>W$110+X$109</f>
        <v/>
      </c>
      <c r="Y110" s="228">
        <f>X$110+Y$109</f>
        <v/>
      </c>
      <c r="Z110" s="228">
        <f>Y$110+Z$109</f>
        <v/>
      </c>
      <c r="AA110" s="228">
        <f>Z$110+AA$109</f>
        <v/>
      </c>
      <c r="AB110" s="228">
        <f>AA$110+AB$109</f>
        <v/>
      </c>
      <c r="AC110" s="228">
        <f>AB$110+AC$109</f>
        <v/>
      </c>
      <c r="AD110" s="228">
        <f>AC$110+AD$109</f>
        <v/>
      </c>
      <c r="AE110" s="228">
        <f>AD$110+AE$109</f>
        <v/>
      </c>
      <c r="AF110" s="228">
        <f>AE$110+AF$109</f>
        <v/>
      </c>
      <c r="AG110" s="228">
        <f>AF$110+AG$109</f>
        <v/>
      </c>
      <c r="AH110" s="228">
        <f>AG$110+AH$109</f>
        <v/>
      </c>
      <c r="AI110" s="228">
        <f>AH$110+AI$109</f>
        <v/>
      </c>
      <c r="AJ110" s="228">
        <f>AI$110+AJ$109</f>
        <v/>
      </c>
      <c r="AK110" s="228">
        <f>AJ$110+AK$109</f>
        <v/>
      </c>
      <c r="AL110" s="228">
        <f>AK$110+AL$109</f>
        <v/>
      </c>
      <c r="AM110" s="228">
        <f>AL$110+AM$109</f>
        <v/>
      </c>
      <c r="AN110" s="228">
        <f>AM$110+AN$109</f>
        <v/>
      </c>
      <c r="AO110" s="228">
        <f>AN$110+AO$109</f>
        <v/>
      </c>
      <c r="AP110" s="228">
        <f>AO$110+AP$109</f>
        <v/>
      </c>
      <c r="AQ110" s="228">
        <f>AP$110+AQ$109</f>
        <v/>
      </c>
      <c r="AR110" s="228">
        <f>AQ$110+AR$109</f>
        <v/>
      </c>
      <c r="AS110" s="228">
        <f>AR$110+AS$109</f>
        <v/>
      </c>
      <c r="AT110" s="228">
        <f>AS$110+AT$109</f>
        <v/>
      </c>
      <c r="AU110" s="228">
        <f>AT$110+AU$109</f>
        <v/>
      </c>
      <c r="AV110" s="228">
        <f>AU$110+AV$109</f>
        <v/>
      </c>
      <c r="AW110" s="228">
        <f>AV$110+AW$109</f>
        <v/>
      </c>
      <c r="AX110" s="228">
        <f>AW$110+AX$109</f>
        <v/>
      </c>
      <c r="AY110" s="228">
        <f>AX$110+AY$109</f>
        <v/>
      </c>
      <c r="AZ110" s="228">
        <f>AY$110+AZ$109</f>
        <v/>
      </c>
      <c r="BA110" s="228">
        <f>AZ$110+BA$109</f>
        <v/>
      </c>
      <c r="BB110" s="228">
        <f>BA$110+BB$109</f>
        <v/>
      </c>
      <c r="BC110" s="228">
        <f>BB$110+BC$109</f>
        <v/>
      </c>
      <c r="BD110" s="228">
        <f>BC$110+BD$109</f>
        <v/>
      </c>
      <c r="BE110" s="228">
        <f>BD$110+BE$109</f>
        <v/>
      </c>
      <c r="BF110" s="228">
        <f>BE$110+BF$109</f>
        <v/>
      </c>
      <c r="BG110" s="228">
        <f>BF$110+BG$109</f>
        <v/>
      </c>
      <c r="BH110" s="228">
        <f>BG$110+BH$109</f>
        <v/>
      </c>
      <c r="BI110" s="228">
        <f>BH$110+BI$109</f>
        <v/>
      </c>
      <c r="BJ110" s="228">
        <f>BI$110+BJ$109</f>
        <v/>
      </c>
      <c r="BK110" s="228">
        <f>BJ$110+BK$109</f>
        <v/>
      </c>
      <c r="BL110" s="228">
        <f>BK$110+BL$109</f>
        <v/>
      </c>
      <c r="BM110" s="228">
        <f>BL$110+BM$109</f>
        <v/>
      </c>
      <c r="BN110" s="228">
        <f>BM$110+BN$109</f>
        <v/>
      </c>
      <c r="BO110" s="228">
        <f>BN$110+BO$109</f>
        <v/>
      </c>
      <c r="BP110" s="228">
        <f>BO$110+BP$109</f>
        <v/>
      </c>
      <c r="BQ110" s="228">
        <f>BP$110+BQ$109</f>
        <v/>
      </c>
      <c r="BR110" s="228">
        <f>BQ$110+BR$109</f>
        <v/>
      </c>
      <c r="BS110" s="228">
        <f>BR$110+BS$109</f>
        <v/>
      </c>
      <c r="BT110" s="228">
        <f>BS$110+BT$109</f>
        <v/>
      </c>
      <c r="BU110" s="228">
        <f>BT$110+BU$109</f>
        <v/>
      </c>
      <c r="BV110" s="228">
        <f>BU$110+BV$109</f>
        <v/>
      </c>
      <c r="BW110" s="228">
        <f>BV$110+BW$109</f>
        <v/>
      </c>
      <c r="BX110" s="228">
        <f>BW$110+BX$109</f>
        <v/>
      </c>
      <c r="BY110" s="228">
        <f>BX$110+BY$109</f>
        <v/>
      </c>
      <c r="BZ110" s="228">
        <f>BY$110+BZ$109</f>
        <v/>
      </c>
      <c r="CA110" s="228">
        <f>BZ$110+CA$109</f>
        <v/>
      </c>
      <c r="CB110" s="228">
        <f>CA$110+CB$109</f>
        <v/>
      </c>
      <c r="CC110" s="228">
        <f>CB$110+CC$109</f>
        <v/>
      </c>
      <c r="CD110" s="228">
        <f>CC$110+CD$109</f>
        <v/>
      </c>
      <c r="CE110" s="228">
        <f>CD$110+CE$109</f>
        <v/>
      </c>
      <c r="CF110" s="228">
        <f>CE$110+CF$109</f>
        <v/>
      </c>
      <c r="CG110" s="228">
        <f>CF$110+CG$109</f>
        <v/>
      </c>
      <c r="CH110" s="228">
        <f>CG$110+CH$109</f>
        <v/>
      </c>
      <c r="CI110" s="228">
        <f>CH$110+CI$109</f>
        <v/>
      </c>
      <c r="CJ110" s="228">
        <f>CI$110+CJ$109</f>
        <v/>
      </c>
      <c r="CK110" s="228">
        <f>CJ$110+CK$109</f>
        <v/>
      </c>
      <c r="CL110" s="228">
        <f>CK$110+CL$109</f>
        <v/>
      </c>
      <c r="CM110" s="228">
        <f>CL$110+CM$109</f>
        <v/>
      </c>
      <c r="CN110" s="228">
        <f>CM$110+CN$109</f>
        <v/>
      </c>
      <c r="CO110" s="228">
        <f>CN$110+CO$109</f>
        <v/>
      </c>
      <c r="CP110" s="228">
        <f>CO$110+CP$109</f>
        <v/>
      </c>
      <c r="CQ110" s="228">
        <f>CP$110+CQ$109</f>
        <v/>
      </c>
      <c r="CR110" s="228">
        <f>CQ$110+CR$109</f>
        <v/>
      </c>
      <c r="CS110" s="228">
        <f>CR$110+CS$109</f>
        <v/>
      </c>
      <c r="CT110" s="228">
        <f>CS$110+CT$109</f>
        <v/>
      </c>
      <c r="CU110" s="228">
        <f>CT$110+CU$109</f>
        <v/>
      </c>
      <c r="CV110" s="228">
        <f>CU$110+CV$109</f>
        <v/>
      </c>
      <c r="CW110" s="228">
        <f>CV$110+CW$109</f>
        <v/>
      </c>
      <c r="CX110" s="228">
        <f>CW$110+CX$109</f>
        <v/>
      </c>
      <c r="CY110" s="228">
        <f>CX$110+CY$109</f>
        <v/>
      </c>
      <c r="CZ110" s="228">
        <f>CY$110+CZ$109</f>
        <v/>
      </c>
      <c r="DA110" s="228">
        <f>CZ$110+DA$109</f>
        <v/>
      </c>
      <c r="DB110" s="228">
        <f>DA$110+DB$109</f>
        <v/>
      </c>
      <c r="DC110" s="228">
        <f>DB$110+DC$109</f>
        <v/>
      </c>
      <c r="DD110" s="228">
        <f>DC$110+DD$109</f>
        <v/>
      </c>
      <c r="DE110" s="228">
        <f>DD$110+DE$109</f>
        <v/>
      </c>
      <c r="DF110" s="228">
        <f>DE$110+DF$109</f>
        <v/>
      </c>
      <c r="DG110" s="228">
        <f>DF$110+DG$109</f>
        <v/>
      </c>
      <c r="DH110" s="228">
        <f>DG$110+DH$109</f>
        <v/>
      </c>
      <c r="DI110" s="228">
        <f>DH$110+DI$109</f>
        <v/>
      </c>
      <c r="DJ110" s="228">
        <f>DI$110+DJ$109</f>
        <v/>
      </c>
      <c r="DK110" s="228">
        <f>DJ$110+DK$109</f>
        <v/>
      </c>
      <c r="DL110" s="228">
        <f>DK$110+DL$109</f>
        <v/>
      </c>
      <c r="DM110" s="228">
        <f>DL$110+DM$109</f>
        <v/>
      </c>
      <c r="DN110" s="228">
        <f>DM$110+DN$109</f>
        <v/>
      </c>
      <c r="DO110" s="228">
        <f>DN$110+DO$109</f>
        <v/>
      </c>
      <c r="DP110" s="228">
        <f>DO$110+DP$109</f>
        <v/>
      </c>
      <c r="DQ110" s="228">
        <f>DP$110+DQ$109</f>
        <v/>
      </c>
      <c r="DR110" s="228">
        <f>DQ$110+DR$109</f>
        <v/>
      </c>
      <c r="DS110" s="228">
        <f>DR$110+DS$109</f>
        <v/>
      </c>
      <c r="DT110" s="228">
        <f>DS$110+DT$109</f>
        <v/>
      </c>
    </row>
    <row r="112" ht="15" customHeight="1" s="148">
      <c r="A112" s="110" t="inlineStr">
        <is>
          <t>Levered Cash Flow</t>
        </is>
      </c>
      <c r="C112" s="228">
        <f>SUM(D112:DT112)</f>
        <v/>
      </c>
      <c r="D112" s="228" t="n"/>
      <c r="E112" s="228" t="n"/>
      <c r="F112" s="228" t="n"/>
      <c r="G112" s="228" t="n"/>
      <c r="H112" s="228" t="n"/>
      <c r="I112" s="228" t="n"/>
      <c r="J112" s="228" t="n"/>
      <c r="K112" s="228" t="n"/>
      <c r="L112" s="228" t="n"/>
      <c r="M112" s="228" t="n"/>
      <c r="N112" s="228" t="n"/>
      <c r="O112" s="228" t="n"/>
      <c r="P112" s="228" t="n"/>
      <c r="Q112" s="228" t="n"/>
      <c r="R112" s="228" t="n"/>
      <c r="S112" s="228" t="n"/>
      <c r="T112" s="228" t="n"/>
      <c r="U112" s="228" t="n"/>
      <c r="V112" s="228" t="n"/>
      <c r="W112" s="228" t="n"/>
      <c r="X112" s="228" t="n"/>
      <c r="Y112" s="228" t="n"/>
      <c r="Z112" s="228" t="n"/>
      <c r="AA112" s="228" t="n"/>
      <c r="AB112" s="228" t="n"/>
      <c r="AC112" s="228" t="n"/>
      <c r="AD112" s="228" t="n"/>
      <c r="AE112" s="228" t="n"/>
      <c r="AF112" s="228" t="n"/>
      <c r="AG112" s="228" t="n"/>
      <c r="AH112" s="228" t="n"/>
      <c r="AI112" s="228" t="n"/>
      <c r="AJ112" s="228" t="n"/>
      <c r="AK112" s="228" t="n"/>
      <c r="AL112" s="228" t="n"/>
      <c r="AM112" s="228" t="n"/>
      <c r="AN112" s="228" t="n"/>
      <c r="AO112" s="228" t="n"/>
      <c r="AP112" s="228" t="n"/>
      <c r="AQ112" s="228" t="n"/>
      <c r="AR112" s="228" t="n"/>
      <c r="AS112" s="228" t="n"/>
      <c r="AT112" s="228" t="n"/>
      <c r="AU112" s="228" t="n"/>
      <c r="AV112" s="228" t="n"/>
      <c r="AW112" s="228" t="n"/>
      <c r="AX112" s="228" t="n"/>
      <c r="AY112" s="228" t="n"/>
      <c r="AZ112" s="228" t="n"/>
      <c r="BA112" s="228" t="n"/>
      <c r="BB112" s="228" t="n"/>
      <c r="BC112" s="228" t="n"/>
      <c r="BD112" s="228" t="n"/>
      <c r="BE112" s="228" t="n"/>
      <c r="BF112" s="228" t="n"/>
      <c r="BG112" s="228" t="n"/>
      <c r="BH112" s="228" t="n"/>
      <c r="BI112" s="228" t="n"/>
      <c r="BJ112" s="228" t="n"/>
      <c r="BK112" s="228" t="n"/>
      <c r="BL112" s="228" t="n"/>
      <c r="BM112" s="228" t="n"/>
      <c r="BN112" s="228" t="n"/>
      <c r="BO112" s="228" t="n"/>
      <c r="BP112" s="228" t="n"/>
      <c r="BQ112" s="228" t="n"/>
      <c r="BR112" s="228" t="n"/>
      <c r="BS112" s="228" t="n"/>
      <c r="BT112" s="228" t="n"/>
      <c r="BU112" s="228" t="n"/>
      <c r="BV112" s="228" t="n"/>
      <c r="BW112" s="228" t="n"/>
      <c r="BX112" s="228" t="n"/>
      <c r="BY112" s="228" t="n"/>
      <c r="BZ112" s="228" t="n"/>
      <c r="CA112" s="228" t="n"/>
      <c r="CB112" s="228" t="n"/>
      <c r="CC112" s="228" t="n"/>
      <c r="CD112" s="228" t="n"/>
      <c r="CE112" s="228" t="n"/>
      <c r="CF112" s="228" t="n"/>
      <c r="CG112" s="228" t="n"/>
      <c r="CH112" s="228" t="n"/>
      <c r="CI112" s="228" t="n"/>
      <c r="CJ112" s="228" t="n"/>
      <c r="CK112" s="228" t="n"/>
      <c r="CL112" s="228" t="n"/>
      <c r="CM112" s="228" t="n"/>
      <c r="CN112" s="228" t="n"/>
      <c r="CO112" s="228" t="n"/>
      <c r="CP112" s="228" t="n"/>
      <c r="CQ112" s="228" t="n"/>
      <c r="CR112" s="228" t="n"/>
      <c r="CS112" s="228" t="n"/>
      <c r="CT112" s="228" t="n"/>
      <c r="CU112" s="228" t="n"/>
      <c r="CV112" s="228" t="n"/>
      <c r="CW112" s="228" t="n"/>
      <c r="CX112" s="228" t="n"/>
      <c r="CY112" s="228" t="n"/>
      <c r="CZ112" s="228" t="n"/>
      <c r="DA112" s="228" t="n"/>
      <c r="DB112" s="228" t="n"/>
      <c r="DC112" s="228" t="n"/>
      <c r="DD112" s="228" t="n"/>
      <c r="DE112" s="228" t="n"/>
      <c r="DF112" s="228" t="n"/>
      <c r="DG112" s="228" t="n"/>
      <c r="DH112" s="228" t="n"/>
      <c r="DI112" s="228" t="n"/>
      <c r="DJ112" s="228" t="n"/>
      <c r="DK112" s="228" t="n"/>
      <c r="DL112" s="228" t="n"/>
      <c r="DM112" s="228" t="n"/>
      <c r="DN112" s="228" t="n"/>
      <c r="DO112" s="228" t="n"/>
      <c r="DP112" s="228" t="n"/>
      <c r="DQ112" s="228" t="n"/>
      <c r="DR112" s="228" t="n"/>
      <c r="DS112" s="228" t="n"/>
      <c r="DT112" s="228" t="n"/>
    </row>
    <row r="113" ht="15" customHeight="1" s="148">
      <c r="A113" s="112" t="inlineStr">
        <is>
          <t>Unlevered Cash Flow</t>
        </is>
      </c>
      <c r="C113" s="228">
        <f>SUM(D113:DT113)</f>
        <v/>
      </c>
      <c r="D113" s="228">
        <f>D$109</f>
        <v/>
      </c>
      <c r="E113" s="228">
        <f>E$109</f>
        <v/>
      </c>
      <c r="F113" s="228">
        <f>F$109</f>
        <v/>
      </c>
      <c r="G113" s="228">
        <f>G$109</f>
        <v/>
      </c>
      <c r="H113" s="228">
        <f>H$109</f>
        <v/>
      </c>
      <c r="I113" s="228">
        <f>I$109</f>
        <v/>
      </c>
      <c r="J113" s="228">
        <f>J$109</f>
        <v/>
      </c>
      <c r="K113" s="228">
        <f>K$109</f>
        <v/>
      </c>
      <c r="L113" s="228">
        <f>L$109</f>
        <v/>
      </c>
      <c r="M113" s="228">
        <f>M$109</f>
        <v/>
      </c>
      <c r="N113" s="228">
        <f>N$109</f>
        <v/>
      </c>
      <c r="O113" s="228">
        <f>O$109</f>
        <v/>
      </c>
      <c r="P113" s="228">
        <f>P$109</f>
        <v/>
      </c>
      <c r="Q113" s="228">
        <f>Q$109</f>
        <v/>
      </c>
      <c r="R113" s="228">
        <f>R$109</f>
        <v/>
      </c>
      <c r="S113" s="228">
        <f>S$109</f>
        <v/>
      </c>
      <c r="T113" s="228">
        <f>T$109</f>
        <v/>
      </c>
      <c r="U113" s="228">
        <f>U$109</f>
        <v/>
      </c>
      <c r="V113" s="228">
        <f>V$109</f>
        <v/>
      </c>
      <c r="W113" s="228">
        <f>W$109</f>
        <v/>
      </c>
      <c r="X113" s="228">
        <f>X$109</f>
        <v/>
      </c>
      <c r="Y113" s="228">
        <f>Y$109</f>
        <v/>
      </c>
      <c r="Z113" s="228">
        <f>Z$109</f>
        <v/>
      </c>
      <c r="AA113" s="228">
        <f>AA$109</f>
        <v/>
      </c>
      <c r="AB113" s="228">
        <f>AB$109</f>
        <v/>
      </c>
      <c r="AC113" s="228">
        <f>AC$109</f>
        <v/>
      </c>
      <c r="AD113" s="228">
        <f>AD$109</f>
        <v/>
      </c>
      <c r="AE113" s="228">
        <f>AE$109</f>
        <v/>
      </c>
      <c r="AF113" s="228">
        <f>AF$109</f>
        <v/>
      </c>
      <c r="AG113" s="228">
        <f>AG$109</f>
        <v/>
      </c>
      <c r="AH113" s="228">
        <f>AH$109</f>
        <v/>
      </c>
      <c r="AI113" s="228">
        <f>AI$109</f>
        <v/>
      </c>
      <c r="AJ113" s="228">
        <f>AJ$109</f>
        <v/>
      </c>
      <c r="AK113" s="228">
        <f>AK$109</f>
        <v/>
      </c>
      <c r="AL113" s="228">
        <f>AL$109</f>
        <v/>
      </c>
      <c r="AM113" s="228">
        <f>AM$109</f>
        <v/>
      </c>
      <c r="AN113" s="228">
        <f>AN$109</f>
        <v/>
      </c>
      <c r="AO113" s="228">
        <f>AO$109</f>
        <v/>
      </c>
      <c r="AP113" s="228">
        <f>AP$109</f>
        <v/>
      </c>
      <c r="AQ113" s="228">
        <f>AQ$109</f>
        <v/>
      </c>
      <c r="AR113" s="228">
        <f>AR$109</f>
        <v/>
      </c>
      <c r="AS113" s="228">
        <f>AS$109</f>
        <v/>
      </c>
      <c r="AT113" s="228">
        <f>AT$109</f>
        <v/>
      </c>
      <c r="AU113" s="228">
        <f>AU$109</f>
        <v/>
      </c>
      <c r="AV113" s="228">
        <f>AV$109</f>
        <v/>
      </c>
      <c r="AW113" s="228">
        <f>AW$109</f>
        <v/>
      </c>
      <c r="AX113" s="228">
        <f>AX$109</f>
        <v/>
      </c>
      <c r="AY113" s="228">
        <f>AY$109</f>
        <v/>
      </c>
      <c r="AZ113" s="228">
        <f>AZ$109</f>
        <v/>
      </c>
      <c r="BA113" s="228">
        <f>BA$109</f>
        <v/>
      </c>
      <c r="BB113" s="228">
        <f>BB$109</f>
        <v/>
      </c>
      <c r="BC113" s="228">
        <f>BC$109</f>
        <v/>
      </c>
      <c r="BD113" s="228">
        <f>BD$109</f>
        <v/>
      </c>
      <c r="BE113" s="228">
        <f>BE$109</f>
        <v/>
      </c>
      <c r="BF113" s="228">
        <f>BF$109</f>
        <v/>
      </c>
      <c r="BG113" s="228">
        <f>BG$109</f>
        <v/>
      </c>
      <c r="BH113" s="228">
        <f>BH$109</f>
        <v/>
      </c>
      <c r="BI113" s="228">
        <f>BI$109</f>
        <v/>
      </c>
      <c r="BJ113" s="228">
        <f>BJ$109</f>
        <v/>
      </c>
      <c r="BK113" s="228">
        <f>BK$109</f>
        <v/>
      </c>
      <c r="BL113" s="228">
        <f>BL$109</f>
        <v/>
      </c>
      <c r="BM113" s="228">
        <f>BM$109</f>
        <v/>
      </c>
      <c r="BN113" s="228">
        <f>BN$109</f>
        <v/>
      </c>
      <c r="BO113" s="228">
        <f>BO$109</f>
        <v/>
      </c>
      <c r="BP113" s="228">
        <f>BP$109</f>
        <v/>
      </c>
      <c r="BQ113" s="228">
        <f>BQ$109</f>
        <v/>
      </c>
      <c r="BR113" s="228">
        <f>BR$109</f>
        <v/>
      </c>
      <c r="BS113" s="228">
        <f>BS$109</f>
        <v/>
      </c>
      <c r="BT113" s="228">
        <f>BT$109</f>
        <v/>
      </c>
      <c r="BU113" s="228">
        <f>BU$109</f>
        <v/>
      </c>
      <c r="BV113" s="228">
        <f>BV$109</f>
        <v/>
      </c>
      <c r="BW113" s="228">
        <f>BW$109</f>
        <v/>
      </c>
      <c r="BX113" s="228">
        <f>BX$109</f>
        <v/>
      </c>
      <c r="BY113" s="228">
        <f>BY$109</f>
        <v/>
      </c>
      <c r="BZ113" s="228">
        <f>BZ$109</f>
        <v/>
      </c>
      <c r="CA113" s="228">
        <f>CA$109</f>
        <v/>
      </c>
      <c r="CB113" s="228">
        <f>CB$109</f>
        <v/>
      </c>
      <c r="CC113" s="228">
        <f>CC$109</f>
        <v/>
      </c>
      <c r="CD113" s="228">
        <f>CD$109</f>
        <v/>
      </c>
      <c r="CE113" s="228">
        <f>CE$109</f>
        <v/>
      </c>
      <c r="CF113" s="228">
        <f>CF$109</f>
        <v/>
      </c>
      <c r="CG113" s="228">
        <f>CG$109</f>
        <v/>
      </c>
      <c r="CH113" s="228">
        <f>CH$109</f>
        <v/>
      </c>
      <c r="CI113" s="228">
        <f>CI$109</f>
        <v/>
      </c>
      <c r="CJ113" s="228">
        <f>CJ$109</f>
        <v/>
      </c>
      <c r="CK113" s="228">
        <f>CK$109</f>
        <v/>
      </c>
      <c r="CL113" s="228">
        <f>CL$109</f>
        <v/>
      </c>
      <c r="CM113" s="228">
        <f>CM$109</f>
        <v/>
      </c>
      <c r="CN113" s="228">
        <f>CN$109</f>
        <v/>
      </c>
      <c r="CO113" s="228">
        <f>CO$109</f>
        <v/>
      </c>
      <c r="CP113" s="228">
        <f>CP$109</f>
        <v/>
      </c>
      <c r="CQ113" s="228">
        <f>CQ$109</f>
        <v/>
      </c>
      <c r="CR113" s="228">
        <f>CR$109</f>
        <v/>
      </c>
      <c r="CS113" s="228">
        <f>CS$109</f>
        <v/>
      </c>
      <c r="CT113" s="228">
        <f>CT$109</f>
        <v/>
      </c>
      <c r="CU113" s="228">
        <f>CU$109</f>
        <v/>
      </c>
      <c r="CV113" s="228">
        <f>CV$109</f>
        <v/>
      </c>
      <c r="CW113" s="228">
        <f>CW$109</f>
        <v/>
      </c>
      <c r="CX113" s="228">
        <f>CX$109</f>
        <v/>
      </c>
      <c r="CY113" s="228">
        <f>CY$109</f>
        <v/>
      </c>
      <c r="CZ113" s="228">
        <f>CZ$109</f>
        <v/>
      </c>
      <c r="DA113" s="228">
        <f>DA$109</f>
        <v/>
      </c>
      <c r="DB113" s="228">
        <f>DB$109</f>
        <v/>
      </c>
      <c r="DC113" s="228">
        <f>DC$109</f>
        <v/>
      </c>
      <c r="DD113" s="228">
        <f>DD$109</f>
        <v/>
      </c>
      <c r="DE113" s="228">
        <f>DE$109</f>
        <v/>
      </c>
      <c r="DF113" s="228">
        <f>DF$109</f>
        <v/>
      </c>
      <c r="DG113" s="228">
        <f>DG$109</f>
        <v/>
      </c>
      <c r="DH113" s="228">
        <f>DH$109</f>
        <v/>
      </c>
      <c r="DI113" s="228">
        <f>DI$109</f>
        <v/>
      </c>
      <c r="DJ113" s="228">
        <f>DJ$109</f>
        <v/>
      </c>
      <c r="DK113" s="228">
        <f>DK$109</f>
        <v/>
      </c>
      <c r="DL113" s="228">
        <f>DL$109</f>
        <v/>
      </c>
      <c r="DM113" s="228">
        <f>DM$109</f>
        <v/>
      </c>
      <c r="DN113" s="228">
        <f>DN$109</f>
        <v/>
      </c>
      <c r="DO113" s="228">
        <f>DO$109</f>
        <v/>
      </c>
      <c r="DP113" s="228">
        <f>DP$109</f>
        <v/>
      </c>
      <c r="DQ113" s="228">
        <f>DQ$109</f>
        <v/>
      </c>
      <c r="DR113" s="228">
        <f>DR$109</f>
        <v/>
      </c>
      <c r="DS113" s="228">
        <f>DS$109</f>
        <v/>
      </c>
      <c r="DT113" s="228">
        <f>DT$109</f>
        <v/>
      </c>
    </row>
    <row r="114" ht="15" customHeight="1" s="148">
      <c r="A114" s="112" t="inlineStr">
        <is>
          <t>Acquisition Loan Origination Fee</t>
        </is>
      </c>
      <c r="C114" s="228">
        <f>SUM(D114:DT114)</f>
        <v/>
      </c>
      <c r="D114" s="228">
        <f>IF(D$11=0,-Assumptions!$AA$21,0)</f>
        <v/>
      </c>
      <c r="E114" s="228">
        <f>IF(E$11=0,-Assumptions!$AA$21,0)</f>
        <v/>
      </c>
      <c r="F114" s="228">
        <f>IF(F$11=0,-Assumptions!$AA$21,0)</f>
        <v/>
      </c>
      <c r="G114" s="228">
        <f>IF(G$11=0,-Assumptions!$AA$21,0)</f>
        <v/>
      </c>
      <c r="H114" s="228">
        <f>IF(H$11=0,-Assumptions!$AA$21,0)</f>
        <v/>
      </c>
      <c r="I114" s="228">
        <f>IF(I$11=0,-Assumptions!$AA$21,0)</f>
        <v/>
      </c>
      <c r="J114" s="228">
        <f>IF(J$11=0,-Assumptions!$AA$21,0)</f>
        <v/>
      </c>
      <c r="K114" s="228">
        <f>IF(K$11=0,-Assumptions!$AA$21,0)</f>
        <v/>
      </c>
      <c r="L114" s="228">
        <f>IF(L$11=0,-Assumptions!$AA$21,0)</f>
        <v/>
      </c>
      <c r="M114" s="228">
        <f>IF(M$11=0,-Assumptions!$AA$21,0)</f>
        <v/>
      </c>
      <c r="N114" s="228">
        <f>IF(N$11=0,-Assumptions!$AA$21,0)</f>
        <v/>
      </c>
      <c r="O114" s="228">
        <f>IF(O$11=0,-Assumptions!$AA$21,0)</f>
        <v/>
      </c>
      <c r="P114" s="228">
        <f>IF(P$11=0,-Assumptions!$AA$21,0)</f>
        <v/>
      </c>
      <c r="Q114" s="228">
        <f>IF(Q$11=0,-Assumptions!$AA$21,0)</f>
        <v/>
      </c>
      <c r="R114" s="228">
        <f>IF(R$11=0,-Assumptions!$AA$21,0)</f>
        <v/>
      </c>
      <c r="S114" s="228">
        <f>IF(S$11=0,-Assumptions!$AA$21,0)</f>
        <v/>
      </c>
      <c r="T114" s="228">
        <f>IF(T$11=0,-Assumptions!$AA$21,0)</f>
        <v/>
      </c>
      <c r="U114" s="228">
        <f>IF(U$11=0,-Assumptions!$AA$21,0)</f>
        <v/>
      </c>
      <c r="V114" s="228">
        <f>IF(V$11=0,-Assumptions!$AA$21,0)</f>
        <v/>
      </c>
      <c r="W114" s="228">
        <f>IF(W$11=0,-Assumptions!$AA$21,0)</f>
        <v/>
      </c>
      <c r="X114" s="228">
        <f>IF(X$11=0,-Assumptions!$AA$21,0)</f>
        <v/>
      </c>
      <c r="Y114" s="228">
        <f>IF(Y$11=0,-Assumptions!$AA$21,0)</f>
        <v/>
      </c>
      <c r="Z114" s="228">
        <f>IF(Z$11=0,-Assumptions!$AA$21,0)</f>
        <v/>
      </c>
      <c r="AA114" s="228">
        <f>IF(AA$11=0,-Assumptions!$AA$21,0)</f>
        <v/>
      </c>
      <c r="AB114" s="228">
        <f>IF(AB$11=0,-Assumptions!$AA$21,0)</f>
        <v/>
      </c>
      <c r="AC114" s="228">
        <f>IF(AC$11=0,-Assumptions!$AA$21,0)</f>
        <v/>
      </c>
      <c r="AD114" s="228">
        <f>IF(AD$11=0,-Assumptions!$AA$21,0)</f>
        <v/>
      </c>
      <c r="AE114" s="228">
        <f>IF(AE$11=0,-Assumptions!$AA$21,0)</f>
        <v/>
      </c>
      <c r="AF114" s="228">
        <f>IF(AF$11=0,-Assumptions!$AA$21,0)</f>
        <v/>
      </c>
      <c r="AG114" s="228">
        <f>IF(AG$11=0,-Assumptions!$AA$21,0)</f>
        <v/>
      </c>
      <c r="AH114" s="228">
        <f>IF(AH$11=0,-Assumptions!$AA$21,0)</f>
        <v/>
      </c>
      <c r="AI114" s="228">
        <f>IF(AI$11=0,-Assumptions!$AA$21,0)</f>
        <v/>
      </c>
      <c r="AJ114" s="228">
        <f>IF(AJ$11=0,-Assumptions!$AA$21,0)</f>
        <v/>
      </c>
      <c r="AK114" s="228">
        <f>IF(AK$11=0,-Assumptions!$AA$21,0)</f>
        <v/>
      </c>
      <c r="AL114" s="228">
        <f>IF(AL$11=0,-Assumptions!$AA$21,0)</f>
        <v/>
      </c>
      <c r="AM114" s="228">
        <f>IF(AM$11=0,-Assumptions!$AA$21,0)</f>
        <v/>
      </c>
      <c r="AN114" s="228">
        <f>IF(AN$11=0,-Assumptions!$AA$21,0)</f>
        <v/>
      </c>
      <c r="AO114" s="228">
        <f>IF(AO$11=0,-Assumptions!$AA$21,0)</f>
        <v/>
      </c>
      <c r="AP114" s="228">
        <f>IF(AP$11=0,-Assumptions!$AA$21,0)</f>
        <v/>
      </c>
      <c r="AQ114" s="228">
        <f>IF(AQ$11=0,-Assumptions!$AA$21,0)</f>
        <v/>
      </c>
      <c r="AR114" s="228">
        <f>IF(AR$11=0,-Assumptions!$AA$21,0)</f>
        <v/>
      </c>
      <c r="AS114" s="228">
        <f>IF(AS$11=0,-Assumptions!$AA$21,0)</f>
        <v/>
      </c>
      <c r="AT114" s="228">
        <f>IF(AT$11=0,-Assumptions!$AA$21,0)</f>
        <v/>
      </c>
      <c r="AU114" s="228">
        <f>IF(AU$11=0,-Assumptions!$AA$21,0)</f>
        <v/>
      </c>
      <c r="AV114" s="228">
        <f>IF(AV$11=0,-Assumptions!$AA$21,0)</f>
        <v/>
      </c>
      <c r="AW114" s="228">
        <f>IF(AW$11=0,-Assumptions!$AA$21,0)</f>
        <v/>
      </c>
      <c r="AX114" s="228">
        <f>IF(AX$11=0,-Assumptions!$AA$21,0)</f>
        <v/>
      </c>
      <c r="AY114" s="228">
        <f>IF(AY$11=0,-Assumptions!$AA$21,0)</f>
        <v/>
      </c>
      <c r="AZ114" s="228">
        <f>IF(AZ$11=0,-Assumptions!$AA$21,0)</f>
        <v/>
      </c>
      <c r="BA114" s="228">
        <f>IF(BA$11=0,-Assumptions!$AA$21,0)</f>
        <v/>
      </c>
      <c r="BB114" s="228">
        <f>IF(BB$11=0,-Assumptions!$AA$21,0)</f>
        <v/>
      </c>
      <c r="BC114" s="228">
        <f>IF(BC$11=0,-Assumptions!$AA$21,0)</f>
        <v/>
      </c>
      <c r="BD114" s="228">
        <f>IF(BD$11=0,-Assumptions!$AA$21,0)</f>
        <v/>
      </c>
      <c r="BE114" s="228">
        <f>IF(BE$11=0,-Assumptions!$AA$21,0)</f>
        <v/>
      </c>
      <c r="BF114" s="228">
        <f>IF(BF$11=0,-Assumptions!$AA$21,0)</f>
        <v/>
      </c>
      <c r="BG114" s="228">
        <f>IF(BG$11=0,-Assumptions!$AA$21,0)</f>
        <v/>
      </c>
      <c r="BH114" s="228">
        <f>IF(BH$11=0,-Assumptions!$AA$21,0)</f>
        <v/>
      </c>
      <c r="BI114" s="228">
        <f>IF(BI$11=0,-Assumptions!$AA$21,0)</f>
        <v/>
      </c>
      <c r="BJ114" s="228">
        <f>IF(BJ$11=0,-Assumptions!$AA$21,0)</f>
        <v/>
      </c>
      <c r="BK114" s="228">
        <f>IF(BK$11=0,-Assumptions!$AA$21,0)</f>
        <v/>
      </c>
      <c r="BL114" s="228">
        <f>IF(BL$11=0,-Assumptions!$AA$21,0)</f>
        <v/>
      </c>
      <c r="BM114" s="228">
        <f>IF(BM$11=0,-Assumptions!$AA$21,0)</f>
        <v/>
      </c>
      <c r="BN114" s="228">
        <f>IF(BN$11=0,-Assumptions!$AA$21,0)</f>
        <v/>
      </c>
      <c r="BO114" s="228">
        <f>IF(BO$11=0,-Assumptions!$AA$21,0)</f>
        <v/>
      </c>
      <c r="BP114" s="228">
        <f>IF(BP$11=0,-Assumptions!$AA$21,0)</f>
        <v/>
      </c>
      <c r="BQ114" s="228">
        <f>IF(BQ$11=0,-Assumptions!$AA$21,0)</f>
        <v/>
      </c>
      <c r="BR114" s="228">
        <f>IF(BR$11=0,-Assumptions!$AA$21,0)</f>
        <v/>
      </c>
      <c r="BS114" s="228">
        <f>IF(BS$11=0,-Assumptions!$AA$21,0)</f>
        <v/>
      </c>
      <c r="BT114" s="228">
        <f>IF(BT$11=0,-Assumptions!$AA$21,0)</f>
        <v/>
      </c>
      <c r="BU114" s="228">
        <f>IF(BU$11=0,-Assumptions!$AA$21,0)</f>
        <v/>
      </c>
      <c r="BV114" s="228">
        <f>IF(BV$11=0,-Assumptions!$AA$21,0)</f>
        <v/>
      </c>
      <c r="BW114" s="228">
        <f>IF(BW$11=0,-Assumptions!$AA$21,0)</f>
        <v/>
      </c>
      <c r="BX114" s="228">
        <f>IF(BX$11=0,-Assumptions!$AA$21,0)</f>
        <v/>
      </c>
      <c r="BY114" s="228">
        <f>IF(BY$11=0,-Assumptions!$AA$21,0)</f>
        <v/>
      </c>
      <c r="BZ114" s="228">
        <f>IF(BZ$11=0,-Assumptions!$AA$21,0)</f>
        <v/>
      </c>
      <c r="CA114" s="228">
        <f>IF(CA$11=0,-Assumptions!$AA$21,0)</f>
        <v/>
      </c>
      <c r="CB114" s="228">
        <f>IF(CB$11=0,-Assumptions!$AA$21,0)</f>
        <v/>
      </c>
      <c r="CC114" s="228">
        <f>IF(CC$11=0,-Assumptions!$AA$21,0)</f>
        <v/>
      </c>
      <c r="CD114" s="228">
        <f>IF(CD$11=0,-Assumptions!$AA$21,0)</f>
        <v/>
      </c>
      <c r="CE114" s="228">
        <f>IF(CE$11=0,-Assumptions!$AA$21,0)</f>
        <v/>
      </c>
      <c r="CF114" s="228">
        <f>IF(CF$11=0,-Assumptions!$AA$21,0)</f>
        <v/>
      </c>
      <c r="CG114" s="228">
        <f>IF(CG$11=0,-Assumptions!$AA$21,0)</f>
        <v/>
      </c>
      <c r="CH114" s="228">
        <f>IF(CH$11=0,-Assumptions!$AA$21,0)</f>
        <v/>
      </c>
      <c r="CI114" s="228">
        <f>IF(CI$11=0,-Assumptions!$AA$21,0)</f>
        <v/>
      </c>
      <c r="CJ114" s="228">
        <f>IF(CJ$11=0,-Assumptions!$AA$21,0)</f>
        <v/>
      </c>
      <c r="CK114" s="228">
        <f>IF(CK$11=0,-Assumptions!$AA$21,0)</f>
        <v/>
      </c>
      <c r="CL114" s="228">
        <f>IF(CL$11=0,-Assumptions!$AA$21,0)</f>
        <v/>
      </c>
      <c r="CM114" s="228">
        <f>IF(CM$11=0,-Assumptions!$AA$21,0)</f>
        <v/>
      </c>
      <c r="CN114" s="228">
        <f>IF(CN$11=0,-Assumptions!$AA$21,0)</f>
        <v/>
      </c>
      <c r="CO114" s="228">
        <f>IF(CO$11=0,-Assumptions!$AA$21,0)</f>
        <v/>
      </c>
      <c r="CP114" s="228">
        <f>IF(CP$11=0,-Assumptions!$AA$21,0)</f>
        <v/>
      </c>
      <c r="CQ114" s="228">
        <f>IF(CQ$11=0,-Assumptions!$AA$21,0)</f>
        <v/>
      </c>
      <c r="CR114" s="228">
        <f>IF(CR$11=0,-Assumptions!$AA$21,0)</f>
        <v/>
      </c>
      <c r="CS114" s="228">
        <f>IF(CS$11=0,-Assumptions!$AA$21,0)</f>
        <v/>
      </c>
      <c r="CT114" s="228">
        <f>IF(CT$11=0,-Assumptions!$AA$21,0)</f>
        <v/>
      </c>
      <c r="CU114" s="228">
        <f>IF(CU$11=0,-Assumptions!$AA$21,0)</f>
        <v/>
      </c>
      <c r="CV114" s="228">
        <f>IF(CV$11=0,-Assumptions!$AA$21,0)</f>
        <v/>
      </c>
      <c r="CW114" s="228">
        <f>IF(CW$11=0,-Assumptions!$AA$21,0)</f>
        <v/>
      </c>
      <c r="CX114" s="228">
        <f>IF(CX$11=0,-Assumptions!$AA$21,0)</f>
        <v/>
      </c>
      <c r="CY114" s="228">
        <f>IF(CY$11=0,-Assumptions!$AA$21,0)</f>
        <v/>
      </c>
      <c r="CZ114" s="228">
        <f>IF(CZ$11=0,-Assumptions!$AA$21,0)</f>
        <v/>
      </c>
      <c r="DA114" s="228">
        <f>IF(DA$11=0,-Assumptions!$AA$21,0)</f>
        <v/>
      </c>
      <c r="DB114" s="228">
        <f>IF(DB$11=0,-Assumptions!$AA$21,0)</f>
        <v/>
      </c>
      <c r="DC114" s="228">
        <f>IF(DC$11=0,-Assumptions!$AA$21,0)</f>
        <v/>
      </c>
      <c r="DD114" s="228">
        <f>IF(DD$11=0,-Assumptions!$AA$21,0)</f>
        <v/>
      </c>
      <c r="DE114" s="228">
        <f>IF(DE$11=0,-Assumptions!$AA$21,0)</f>
        <v/>
      </c>
      <c r="DF114" s="228">
        <f>IF(DF$11=0,-Assumptions!$AA$21,0)</f>
        <v/>
      </c>
      <c r="DG114" s="228">
        <f>IF(DG$11=0,-Assumptions!$AA$21,0)</f>
        <v/>
      </c>
      <c r="DH114" s="228">
        <f>IF(DH$11=0,-Assumptions!$AA$21,0)</f>
        <v/>
      </c>
      <c r="DI114" s="228">
        <f>IF(DI$11=0,-Assumptions!$AA$21,0)</f>
        <v/>
      </c>
      <c r="DJ114" s="228">
        <f>IF(DJ$11=0,-Assumptions!$AA$21,0)</f>
        <v/>
      </c>
      <c r="DK114" s="228">
        <f>IF(DK$11=0,-Assumptions!$AA$21,0)</f>
        <v/>
      </c>
      <c r="DL114" s="228">
        <f>IF(DL$11=0,-Assumptions!$AA$21,0)</f>
        <v/>
      </c>
      <c r="DM114" s="228">
        <f>IF(DM$11=0,-Assumptions!$AA$21,0)</f>
        <v/>
      </c>
      <c r="DN114" s="228">
        <f>IF(DN$11=0,-Assumptions!$AA$21,0)</f>
        <v/>
      </c>
      <c r="DO114" s="228">
        <f>IF(DO$11=0,-Assumptions!$AA$21,0)</f>
        <v/>
      </c>
      <c r="DP114" s="228">
        <f>IF(DP$11=0,-Assumptions!$AA$21,0)</f>
        <v/>
      </c>
      <c r="DQ114" s="228">
        <f>IF(DQ$11=0,-Assumptions!$AA$21,0)</f>
        <v/>
      </c>
      <c r="DR114" s="228">
        <f>IF(DR$11=0,-Assumptions!$AA$21,0)</f>
        <v/>
      </c>
      <c r="DS114" s="228">
        <f>IF(DS$11=0,-Assumptions!$AA$21,0)</f>
        <v/>
      </c>
      <c r="DT114" s="228">
        <f>IF(DT$11=0,-Assumptions!$AA$21,0)</f>
        <v/>
      </c>
    </row>
    <row r="115" ht="15" customHeight="1" s="148">
      <c r="A115" s="112" t="inlineStr">
        <is>
          <t>Acquisition Loan Exit Fee</t>
        </is>
      </c>
      <c r="C115" s="228">
        <f>SUM(D115:DT115)</f>
        <v/>
      </c>
      <c r="D115" s="228">
        <f>0</f>
        <v/>
      </c>
      <c r="E115" s="228">
        <f>0</f>
        <v/>
      </c>
      <c r="F115" s="228">
        <f>0</f>
        <v/>
      </c>
      <c r="G115" s="228">
        <f>0</f>
        <v/>
      </c>
      <c r="H115" s="228">
        <f>0</f>
        <v/>
      </c>
      <c r="I115" s="228">
        <f>0</f>
        <v/>
      </c>
      <c r="J115" s="228">
        <f>0</f>
        <v/>
      </c>
      <c r="K115" s="228">
        <f>0</f>
        <v/>
      </c>
      <c r="L115" s="228">
        <f>0</f>
        <v/>
      </c>
      <c r="M115" s="228">
        <f>0</f>
        <v/>
      </c>
      <c r="N115" s="228">
        <f>0</f>
        <v/>
      </c>
      <c r="O115" s="228">
        <f>0</f>
        <v/>
      </c>
      <c r="P115" s="228">
        <f>0</f>
        <v/>
      </c>
      <c r="Q115" s="228">
        <f>0</f>
        <v/>
      </c>
      <c r="R115" s="228">
        <f>0</f>
        <v/>
      </c>
      <c r="S115" s="228">
        <f>0</f>
        <v/>
      </c>
      <c r="T115" s="228">
        <f>0</f>
        <v/>
      </c>
      <c r="U115" s="228">
        <f>0</f>
        <v/>
      </c>
      <c r="V115" s="228">
        <f>0</f>
        <v/>
      </c>
      <c r="W115" s="228">
        <f>0</f>
        <v/>
      </c>
      <c r="X115" s="228">
        <f>0</f>
        <v/>
      </c>
      <c r="Y115" s="228">
        <f>0</f>
        <v/>
      </c>
      <c r="Z115" s="228">
        <f>0</f>
        <v/>
      </c>
      <c r="AA115" s="228">
        <f>0</f>
        <v/>
      </c>
      <c r="AB115" s="228">
        <f>0</f>
        <v/>
      </c>
      <c r="AC115" s="228">
        <f>0</f>
        <v/>
      </c>
      <c r="AD115" s="228">
        <f>0</f>
        <v/>
      </c>
      <c r="AE115" s="228">
        <f>0</f>
        <v/>
      </c>
      <c r="AF115" s="228">
        <f>0</f>
        <v/>
      </c>
      <c r="AG115" s="228">
        <f>0</f>
        <v/>
      </c>
      <c r="AH115" s="228">
        <f>0</f>
        <v/>
      </c>
      <c r="AI115" s="228">
        <f>0</f>
        <v/>
      </c>
      <c r="AJ115" s="228">
        <f>0</f>
        <v/>
      </c>
      <c r="AK115" s="228">
        <f>0</f>
        <v/>
      </c>
      <c r="AL115" s="228">
        <f>0</f>
        <v/>
      </c>
      <c r="AM115" s="228">
        <f>0</f>
        <v/>
      </c>
      <c r="AN115" s="228">
        <f>0</f>
        <v/>
      </c>
      <c r="AO115" s="228">
        <f>0</f>
        <v/>
      </c>
      <c r="AP115" s="228">
        <f>0</f>
        <v/>
      </c>
      <c r="AQ115" s="228">
        <f>0</f>
        <v/>
      </c>
      <c r="AR115" s="228">
        <f>0</f>
        <v/>
      </c>
      <c r="AS115" s="228">
        <f>0</f>
        <v/>
      </c>
      <c r="AT115" s="228">
        <f>0</f>
        <v/>
      </c>
      <c r="AU115" s="228">
        <f>0</f>
        <v/>
      </c>
      <c r="AV115" s="228">
        <f>0</f>
        <v/>
      </c>
      <c r="AW115" s="228">
        <f>0</f>
        <v/>
      </c>
      <c r="AX115" s="228">
        <f>0</f>
        <v/>
      </c>
      <c r="AY115" s="228">
        <f>0</f>
        <v/>
      </c>
      <c r="AZ115" s="228">
        <f>0</f>
        <v/>
      </c>
      <c r="BA115" s="228">
        <f>0</f>
        <v/>
      </c>
      <c r="BB115" s="228">
        <f>0</f>
        <v/>
      </c>
      <c r="BC115" s="228">
        <f>0</f>
        <v/>
      </c>
      <c r="BD115" s="228">
        <f>0</f>
        <v/>
      </c>
      <c r="BE115" s="228">
        <f>0</f>
        <v/>
      </c>
      <c r="BF115" s="228">
        <f>0</f>
        <v/>
      </c>
      <c r="BG115" s="228">
        <f>0</f>
        <v/>
      </c>
      <c r="BH115" s="228">
        <f>0</f>
        <v/>
      </c>
      <c r="BI115" s="228">
        <f>0</f>
        <v/>
      </c>
      <c r="BJ115" s="228">
        <f>0</f>
        <v/>
      </c>
      <c r="BK115" s="228">
        <f>0</f>
        <v/>
      </c>
      <c r="BL115" s="228">
        <f>0</f>
        <v/>
      </c>
      <c r="BM115" s="228">
        <f>0</f>
        <v/>
      </c>
      <c r="BN115" s="228">
        <f>0</f>
        <v/>
      </c>
      <c r="BO115" s="228">
        <f>0</f>
        <v/>
      </c>
      <c r="BP115" s="228">
        <f>0</f>
        <v/>
      </c>
      <c r="BQ115" s="228">
        <f>0</f>
        <v/>
      </c>
      <c r="BR115" s="228">
        <f>0</f>
        <v/>
      </c>
      <c r="BS115" s="228">
        <f>0</f>
        <v/>
      </c>
      <c r="BT115" s="228">
        <f>0</f>
        <v/>
      </c>
      <c r="BU115" s="228">
        <f>0</f>
        <v/>
      </c>
      <c r="BV115" s="228">
        <f>0</f>
        <v/>
      </c>
      <c r="BW115" s="228">
        <f>0</f>
        <v/>
      </c>
      <c r="BX115" s="228">
        <f>0</f>
        <v/>
      </c>
      <c r="BY115" s="228">
        <f>0</f>
        <v/>
      </c>
      <c r="BZ115" s="228">
        <f>0</f>
        <v/>
      </c>
      <c r="CA115" s="228">
        <f>0</f>
        <v/>
      </c>
      <c r="CB115" s="228">
        <f>0</f>
        <v/>
      </c>
      <c r="CC115" s="228">
        <f>0</f>
        <v/>
      </c>
      <c r="CD115" s="228">
        <f>0</f>
        <v/>
      </c>
      <c r="CE115" s="228">
        <f>0</f>
        <v/>
      </c>
      <c r="CF115" s="228">
        <f>0</f>
        <v/>
      </c>
      <c r="CG115" s="228">
        <f>0</f>
        <v/>
      </c>
      <c r="CH115" s="228">
        <f>0</f>
        <v/>
      </c>
      <c r="CI115" s="228">
        <f>0</f>
        <v/>
      </c>
      <c r="CJ115" s="228">
        <f>0</f>
        <v/>
      </c>
      <c r="CK115" s="228">
        <f>0</f>
        <v/>
      </c>
      <c r="CL115" s="228">
        <f>0</f>
        <v/>
      </c>
      <c r="CM115" s="228">
        <f>0</f>
        <v/>
      </c>
      <c r="CN115" s="228">
        <f>0</f>
        <v/>
      </c>
      <c r="CO115" s="228">
        <f>0</f>
        <v/>
      </c>
      <c r="CP115" s="228">
        <f>0</f>
        <v/>
      </c>
      <c r="CQ115" s="228">
        <f>0</f>
        <v/>
      </c>
      <c r="CR115" s="228">
        <f>0</f>
        <v/>
      </c>
      <c r="CS115" s="228">
        <f>0</f>
        <v/>
      </c>
      <c r="CT115" s="228">
        <f>0</f>
        <v/>
      </c>
      <c r="CU115" s="228">
        <f>0</f>
        <v/>
      </c>
      <c r="CV115" s="228">
        <f>0</f>
        <v/>
      </c>
      <c r="CW115" s="228">
        <f>0</f>
        <v/>
      </c>
      <c r="CX115" s="228">
        <f>0</f>
        <v/>
      </c>
      <c r="CY115" s="228">
        <f>0</f>
        <v/>
      </c>
      <c r="CZ115" s="228">
        <f>0</f>
        <v/>
      </c>
      <c r="DA115" s="228">
        <f>0</f>
        <v/>
      </c>
      <c r="DB115" s="228">
        <f>0</f>
        <v/>
      </c>
      <c r="DC115" s="228">
        <f>0</f>
        <v/>
      </c>
      <c r="DD115" s="228">
        <f>0</f>
        <v/>
      </c>
      <c r="DE115" s="228">
        <f>0</f>
        <v/>
      </c>
      <c r="DF115" s="228">
        <f>0</f>
        <v/>
      </c>
      <c r="DG115" s="228">
        <f>0</f>
        <v/>
      </c>
      <c r="DH115" s="228">
        <f>0</f>
        <v/>
      </c>
      <c r="DI115" s="228">
        <f>0</f>
        <v/>
      </c>
      <c r="DJ115" s="228">
        <f>0</f>
        <v/>
      </c>
      <c r="DK115" s="228">
        <f>0</f>
        <v/>
      </c>
      <c r="DL115" s="228">
        <f>0</f>
        <v/>
      </c>
      <c r="DM115" s="228">
        <f>0</f>
        <v/>
      </c>
      <c r="DN115" s="228">
        <f>0</f>
        <v/>
      </c>
      <c r="DO115" s="228">
        <f>0</f>
        <v/>
      </c>
      <c r="DP115" s="228">
        <f>0</f>
        <v/>
      </c>
      <c r="DQ115" s="228">
        <f>0</f>
        <v/>
      </c>
      <c r="DR115" s="228">
        <f>0</f>
        <v/>
      </c>
      <c r="DS115" s="228">
        <f>0</f>
        <v/>
      </c>
      <c r="DT115" s="228">
        <f>0</f>
        <v/>
      </c>
    </row>
    <row r="116" ht="15" customHeight="1" s="148">
      <c r="A116" s="112" t="inlineStr">
        <is>
          <t>Acquisition Loan Interest Expense</t>
        </is>
      </c>
      <c r="C116" s="228">
        <f>SUM(D116:DT116)</f>
        <v/>
      </c>
      <c r="D116" s="228">
        <f>D$184</f>
        <v/>
      </c>
      <c r="E116" s="228">
        <f>E$184</f>
        <v/>
      </c>
      <c r="F116" s="228">
        <f>F$184</f>
        <v/>
      </c>
      <c r="G116" s="228">
        <f>G$184</f>
        <v/>
      </c>
      <c r="H116" s="228">
        <f>H$184</f>
        <v/>
      </c>
      <c r="I116" s="228">
        <f>I$184</f>
        <v/>
      </c>
      <c r="J116" s="228">
        <f>J$184</f>
        <v/>
      </c>
      <c r="K116" s="228">
        <f>K$184</f>
        <v/>
      </c>
      <c r="L116" s="228">
        <f>L$184</f>
        <v/>
      </c>
      <c r="M116" s="228">
        <f>M$184</f>
        <v/>
      </c>
      <c r="N116" s="228">
        <f>N$184</f>
        <v/>
      </c>
      <c r="O116" s="228">
        <f>O$184</f>
        <v/>
      </c>
      <c r="P116" s="228">
        <f>P$184</f>
        <v/>
      </c>
      <c r="Q116" s="228">
        <f>Q$184</f>
        <v/>
      </c>
      <c r="R116" s="228">
        <f>R$184</f>
        <v/>
      </c>
      <c r="S116" s="228">
        <f>S$184</f>
        <v/>
      </c>
      <c r="T116" s="228">
        <f>T$184</f>
        <v/>
      </c>
      <c r="U116" s="228">
        <f>U$184</f>
        <v/>
      </c>
      <c r="V116" s="228">
        <f>V$184</f>
        <v/>
      </c>
      <c r="W116" s="228">
        <f>W$184</f>
        <v/>
      </c>
      <c r="X116" s="228">
        <f>X$184</f>
        <v/>
      </c>
      <c r="Y116" s="228">
        <f>Y$184</f>
        <v/>
      </c>
      <c r="Z116" s="228">
        <f>Z$184</f>
        <v/>
      </c>
      <c r="AA116" s="228">
        <f>AA$184</f>
        <v/>
      </c>
      <c r="AB116" s="228">
        <f>AB$184</f>
        <v/>
      </c>
      <c r="AC116" s="228">
        <f>AC$184</f>
        <v/>
      </c>
      <c r="AD116" s="228">
        <f>AD$184</f>
        <v/>
      </c>
      <c r="AE116" s="228">
        <f>AE$184</f>
        <v/>
      </c>
      <c r="AF116" s="228">
        <f>AF$184</f>
        <v/>
      </c>
      <c r="AG116" s="228">
        <f>AG$184</f>
        <v/>
      </c>
      <c r="AH116" s="228">
        <f>AH$184</f>
        <v/>
      </c>
      <c r="AI116" s="228">
        <f>AI$184</f>
        <v/>
      </c>
      <c r="AJ116" s="228">
        <f>AJ$184</f>
        <v/>
      </c>
      <c r="AK116" s="228">
        <f>AK$184</f>
        <v/>
      </c>
      <c r="AL116" s="228">
        <f>AL$184</f>
        <v/>
      </c>
      <c r="AM116" s="228">
        <f>AM$184</f>
        <v/>
      </c>
      <c r="AN116" s="228">
        <f>AN$184</f>
        <v/>
      </c>
      <c r="AO116" s="228">
        <f>AO$184</f>
        <v/>
      </c>
      <c r="AP116" s="228">
        <f>AP$184</f>
        <v/>
      </c>
      <c r="AQ116" s="228">
        <f>AQ$184</f>
        <v/>
      </c>
      <c r="AR116" s="228">
        <f>AR$184</f>
        <v/>
      </c>
      <c r="AS116" s="228">
        <f>AS$184</f>
        <v/>
      </c>
      <c r="AT116" s="228">
        <f>AT$184</f>
        <v/>
      </c>
      <c r="AU116" s="228">
        <f>AU$184</f>
        <v/>
      </c>
      <c r="AV116" s="228">
        <f>AV$184</f>
        <v/>
      </c>
      <c r="AW116" s="228">
        <f>AW$184</f>
        <v/>
      </c>
      <c r="AX116" s="228">
        <f>AX$184</f>
        <v/>
      </c>
      <c r="AY116" s="228">
        <f>AY$184</f>
        <v/>
      </c>
      <c r="AZ116" s="228">
        <f>AZ$184</f>
        <v/>
      </c>
      <c r="BA116" s="228">
        <f>BA$184</f>
        <v/>
      </c>
      <c r="BB116" s="228">
        <f>BB$184</f>
        <v/>
      </c>
      <c r="BC116" s="228">
        <f>BC$184</f>
        <v/>
      </c>
      <c r="BD116" s="228">
        <f>BD$184</f>
        <v/>
      </c>
      <c r="BE116" s="228">
        <f>BE$184</f>
        <v/>
      </c>
      <c r="BF116" s="228">
        <f>BF$184</f>
        <v/>
      </c>
      <c r="BG116" s="228">
        <f>BG$184</f>
        <v/>
      </c>
      <c r="BH116" s="228">
        <f>BH$184</f>
        <v/>
      </c>
      <c r="BI116" s="228">
        <f>BI$184</f>
        <v/>
      </c>
      <c r="BJ116" s="228">
        <f>BJ$184</f>
        <v/>
      </c>
      <c r="BK116" s="228">
        <f>BK$184</f>
        <v/>
      </c>
      <c r="BL116" s="228">
        <f>BL$184</f>
        <v/>
      </c>
      <c r="BM116" s="228">
        <f>BM$184</f>
        <v/>
      </c>
      <c r="BN116" s="228">
        <f>BN$184</f>
        <v/>
      </c>
      <c r="BO116" s="228">
        <f>BO$184</f>
        <v/>
      </c>
      <c r="BP116" s="228">
        <f>BP$184</f>
        <v/>
      </c>
      <c r="BQ116" s="228">
        <f>BQ$184</f>
        <v/>
      </c>
      <c r="BR116" s="228">
        <f>BR$184</f>
        <v/>
      </c>
      <c r="BS116" s="228">
        <f>BS$184</f>
        <v/>
      </c>
      <c r="BT116" s="228">
        <f>BT$184</f>
        <v/>
      </c>
      <c r="BU116" s="228">
        <f>BU$184</f>
        <v/>
      </c>
      <c r="BV116" s="228">
        <f>BV$184</f>
        <v/>
      </c>
      <c r="BW116" s="228">
        <f>BW$184</f>
        <v/>
      </c>
      <c r="BX116" s="228">
        <f>BX$184</f>
        <v/>
      </c>
      <c r="BY116" s="228">
        <f>BY$184</f>
        <v/>
      </c>
      <c r="BZ116" s="228">
        <f>BZ$184</f>
        <v/>
      </c>
      <c r="CA116" s="228">
        <f>CA$184</f>
        <v/>
      </c>
      <c r="CB116" s="228">
        <f>CB$184</f>
        <v/>
      </c>
      <c r="CC116" s="228">
        <f>CC$184</f>
        <v/>
      </c>
      <c r="CD116" s="228">
        <f>CD$184</f>
        <v/>
      </c>
      <c r="CE116" s="228">
        <f>CE$184</f>
        <v/>
      </c>
      <c r="CF116" s="228">
        <f>CF$184</f>
        <v/>
      </c>
      <c r="CG116" s="228">
        <f>CG$184</f>
        <v/>
      </c>
      <c r="CH116" s="228">
        <f>CH$184</f>
        <v/>
      </c>
      <c r="CI116" s="228">
        <f>CI$184</f>
        <v/>
      </c>
      <c r="CJ116" s="228">
        <f>CJ$184</f>
        <v/>
      </c>
      <c r="CK116" s="228">
        <f>CK$184</f>
        <v/>
      </c>
      <c r="CL116" s="228">
        <f>CL$184</f>
        <v/>
      </c>
      <c r="CM116" s="228">
        <f>CM$184</f>
        <v/>
      </c>
      <c r="CN116" s="228">
        <f>CN$184</f>
        <v/>
      </c>
      <c r="CO116" s="228">
        <f>CO$184</f>
        <v/>
      </c>
      <c r="CP116" s="228">
        <f>CP$184</f>
        <v/>
      </c>
      <c r="CQ116" s="228">
        <f>CQ$184</f>
        <v/>
      </c>
      <c r="CR116" s="228">
        <f>CR$184</f>
        <v/>
      </c>
      <c r="CS116" s="228">
        <f>CS$184</f>
        <v/>
      </c>
      <c r="CT116" s="228">
        <f>CT$184</f>
        <v/>
      </c>
      <c r="CU116" s="228">
        <f>CU$184</f>
        <v/>
      </c>
      <c r="CV116" s="228">
        <f>CV$184</f>
        <v/>
      </c>
      <c r="CW116" s="228">
        <f>CW$184</f>
        <v/>
      </c>
      <c r="CX116" s="228">
        <f>CX$184</f>
        <v/>
      </c>
      <c r="CY116" s="228">
        <f>CY$184</f>
        <v/>
      </c>
      <c r="CZ116" s="228">
        <f>CZ$184</f>
        <v/>
      </c>
      <c r="DA116" s="228">
        <f>DA$184</f>
        <v/>
      </c>
      <c r="DB116" s="228">
        <f>DB$184</f>
        <v/>
      </c>
      <c r="DC116" s="228">
        <f>DC$184</f>
        <v/>
      </c>
      <c r="DD116" s="228">
        <f>DD$184</f>
        <v/>
      </c>
      <c r="DE116" s="228">
        <f>DE$184</f>
        <v/>
      </c>
      <c r="DF116" s="228">
        <f>DF$184</f>
        <v/>
      </c>
      <c r="DG116" s="228">
        <f>DG$184</f>
        <v/>
      </c>
      <c r="DH116" s="228">
        <f>DH$184</f>
        <v/>
      </c>
      <c r="DI116" s="228">
        <f>DI$184</f>
        <v/>
      </c>
      <c r="DJ116" s="228">
        <f>DJ$184</f>
        <v/>
      </c>
      <c r="DK116" s="228">
        <f>DK$184</f>
        <v/>
      </c>
      <c r="DL116" s="228">
        <f>DL$184</f>
        <v/>
      </c>
      <c r="DM116" s="228">
        <f>DM$184</f>
        <v/>
      </c>
      <c r="DN116" s="228">
        <f>DN$184</f>
        <v/>
      </c>
      <c r="DO116" s="228">
        <f>DO$184</f>
        <v/>
      </c>
      <c r="DP116" s="228">
        <f>DP$184</f>
        <v/>
      </c>
      <c r="DQ116" s="228">
        <f>DQ$184</f>
        <v/>
      </c>
      <c r="DR116" s="228">
        <f>DR$184</f>
        <v/>
      </c>
      <c r="DS116" s="228">
        <f>DS$184</f>
        <v/>
      </c>
      <c r="DT116" s="228">
        <f>DT$184</f>
        <v/>
      </c>
    </row>
    <row r="117" ht="15" customHeight="1" s="148">
      <c r="A117" s="112" t="inlineStr">
        <is>
          <t>Acquisition Loan Principal Paydown</t>
        </is>
      </c>
      <c r="C117" s="228">
        <f>SUM(D117:DT117)</f>
        <v/>
      </c>
      <c r="D117" s="228">
        <f>D$185</f>
        <v/>
      </c>
      <c r="E117" s="228">
        <f>E$185</f>
        <v/>
      </c>
      <c r="F117" s="228">
        <f>F$185</f>
        <v/>
      </c>
      <c r="G117" s="228">
        <f>G$185</f>
        <v/>
      </c>
      <c r="H117" s="228">
        <f>H$185</f>
        <v/>
      </c>
      <c r="I117" s="228">
        <f>I$185</f>
        <v/>
      </c>
      <c r="J117" s="228">
        <f>J$185</f>
        <v/>
      </c>
      <c r="K117" s="228">
        <f>K$185</f>
        <v/>
      </c>
      <c r="L117" s="228">
        <f>L$185</f>
        <v/>
      </c>
      <c r="M117" s="228">
        <f>M$185</f>
        <v/>
      </c>
      <c r="N117" s="228">
        <f>N$185</f>
        <v/>
      </c>
      <c r="O117" s="228">
        <f>O$185</f>
        <v/>
      </c>
      <c r="P117" s="228">
        <f>P$185</f>
        <v/>
      </c>
      <c r="Q117" s="228">
        <f>Q$185</f>
        <v/>
      </c>
      <c r="R117" s="228">
        <f>R$185</f>
        <v/>
      </c>
      <c r="S117" s="228">
        <f>S$185</f>
        <v/>
      </c>
      <c r="T117" s="228">
        <f>T$185</f>
        <v/>
      </c>
      <c r="U117" s="228">
        <f>U$185</f>
        <v/>
      </c>
      <c r="V117" s="228">
        <f>V$185</f>
        <v/>
      </c>
      <c r="W117" s="228">
        <f>W$185</f>
        <v/>
      </c>
      <c r="X117" s="228">
        <f>X$185</f>
        <v/>
      </c>
      <c r="Y117" s="228">
        <f>Y$185</f>
        <v/>
      </c>
      <c r="Z117" s="228">
        <f>Z$185</f>
        <v/>
      </c>
      <c r="AA117" s="228">
        <f>AA$185</f>
        <v/>
      </c>
      <c r="AB117" s="228">
        <f>AB$185</f>
        <v/>
      </c>
      <c r="AC117" s="228">
        <f>AC$185</f>
        <v/>
      </c>
      <c r="AD117" s="228">
        <f>AD$185</f>
        <v/>
      </c>
      <c r="AE117" s="228">
        <f>AE$185</f>
        <v/>
      </c>
      <c r="AF117" s="228">
        <f>AF$185</f>
        <v/>
      </c>
      <c r="AG117" s="228">
        <f>AG$185</f>
        <v/>
      </c>
      <c r="AH117" s="228">
        <f>AH$185</f>
        <v/>
      </c>
      <c r="AI117" s="228">
        <f>AI$185</f>
        <v/>
      </c>
      <c r="AJ117" s="228">
        <f>AJ$185</f>
        <v/>
      </c>
      <c r="AK117" s="228">
        <f>AK$185</f>
        <v/>
      </c>
      <c r="AL117" s="228">
        <f>AL$185</f>
        <v/>
      </c>
      <c r="AM117" s="228">
        <f>AM$185</f>
        <v/>
      </c>
      <c r="AN117" s="228">
        <f>AN$185</f>
        <v/>
      </c>
      <c r="AO117" s="228">
        <f>AO$185</f>
        <v/>
      </c>
      <c r="AP117" s="228">
        <f>AP$185</f>
        <v/>
      </c>
      <c r="AQ117" s="228">
        <f>AQ$185</f>
        <v/>
      </c>
      <c r="AR117" s="228">
        <f>AR$185</f>
        <v/>
      </c>
      <c r="AS117" s="228">
        <f>AS$185</f>
        <v/>
      </c>
      <c r="AT117" s="228">
        <f>AT$185</f>
        <v/>
      </c>
      <c r="AU117" s="228">
        <f>AU$185</f>
        <v/>
      </c>
      <c r="AV117" s="228">
        <f>AV$185</f>
        <v/>
      </c>
      <c r="AW117" s="228">
        <f>AW$185</f>
        <v/>
      </c>
      <c r="AX117" s="228">
        <f>AX$185</f>
        <v/>
      </c>
      <c r="AY117" s="228">
        <f>AY$185</f>
        <v/>
      </c>
      <c r="AZ117" s="228">
        <f>AZ$185</f>
        <v/>
      </c>
      <c r="BA117" s="228">
        <f>BA$185</f>
        <v/>
      </c>
      <c r="BB117" s="228">
        <f>BB$185</f>
        <v/>
      </c>
      <c r="BC117" s="228">
        <f>BC$185</f>
        <v/>
      </c>
      <c r="BD117" s="228">
        <f>BD$185</f>
        <v/>
      </c>
      <c r="BE117" s="228">
        <f>BE$185</f>
        <v/>
      </c>
      <c r="BF117" s="228">
        <f>BF$185</f>
        <v/>
      </c>
      <c r="BG117" s="228">
        <f>BG$185</f>
        <v/>
      </c>
      <c r="BH117" s="228">
        <f>BH$185</f>
        <v/>
      </c>
      <c r="BI117" s="228">
        <f>BI$185</f>
        <v/>
      </c>
      <c r="BJ117" s="228">
        <f>BJ$185</f>
        <v/>
      </c>
      <c r="BK117" s="228">
        <f>BK$185</f>
        <v/>
      </c>
      <c r="BL117" s="228">
        <f>BL$185</f>
        <v/>
      </c>
      <c r="BM117" s="228">
        <f>BM$185</f>
        <v/>
      </c>
      <c r="BN117" s="228">
        <f>BN$185</f>
        <v/>
      </c>
      <c r="BO117" s="228">
        <f>BO$185</f>
        <v/>
      </c>
      <c r="BP117" s="228">
        <f>BP$185</f>
        <v/>
      </c>
      <c r="BQ117" s="228">
        <f>BQ$185</f>
        <v/>
      </c>
      <c r="BR117" s="228">
        <f>BR$185</f>
        <v/>
      </c>
      <c r="BS117" s="228">
        <f>BS$185</f>
        <v/>
      </c>
      <c r="BT117" s="228">
        <f>BT$185</f>
        <v/>
      </c>
      <c r="BU117" s="228">
        <f>BU$185</f>
        <v/>
      </c>
      <c r="BV117" s="228">
        <f>BV$185</f>
        <v/>
      </c>
      <c r="BW117" s="228">
        <f>BW$185</f>
        <v/>
      </c>
      <c r="BX117" s="228">
        <f>BX$185</f>
        <v/>
      </c>
      <c r="BY117" s="228">
        <f>BY$185</f>
        <v/>
      </c>
      <c r="BZ117" s="228">
        <f>BZ$185</f>
        <v/>
      </c>
      <c r="CA117" s="228">
        <f>CA$185</f>
        <v/>
      </c>
      <c r="CB117" s="228">
        <f>CB$185</f>
        <v/>
      </c>
      <c r="CC117" s="228">
        <f>CC$185</f>
        <v/>
      </c>
      <c r="CD117" s="228">
        <f>CD$185</f>
        <v/>
      </c>
      <c r="CE117" s="228">
        <f>CE$185</f>
        <v/>
      </c>
      <c r="CF117" s="228">
        <f>CF$185</f>
        <v/>
      </c>
      <c r="CG117" s="228">
        <f>CG$185</f>
        <v/>
      </c>
      <c r="CH117" s="228">
        <f>CH$185</f>
        <v/>
      </c>
      <c r="CI117" s="228">
        <f>CI$185</f>
        <v/>
      </c>
      <c r="CJ117" s="228">
        <f>CJ$185</f>
        <v/>
      </c>
      <c r="CK117" s="228">
        <f>CK$185</f>
        <v/>
      </c>
      <c r="CL117" s="228">
        <f>CL$185</f>
        <v/>
      </c>
      <c r="CM117" s="228">
        <f>CM$185</f>
        <v/>
      </c>
      <c r="CN117" s="228">
        <f>CN$185</f>
        <v/>
      </c>
      <c r="CO117" s="228">
        <f>CO$185</f>
        <v/>
      </c>
      <c r="CP117" s="228">
        <f>CP$185</f>
        <v/>
      </c>
      <c r="CQ117" s="228">
        <f>CQ$185</f>
        <v/>
      </c>
      <c r="CR117" s="228">
        <f>CR$185</f>
        <v/>
      </c>
      <c r="CS117" s="228">
        <f>CS$185</f>
        <v/>
      </c>
      <c r="CT117" s="228">
        <f>CT$185</f>
        <v/>
      </c>
      <c r="CU117" s="228">
        <f>CU$185</f>
        <v/>
      </c>
      <c r="CV117" s="228">
        <f>CV$185</f>
        <v/>
      </c>
      <c r="CW117" s="228">
        <f>CW$185</f>
        <v/>
      </c>
      <c r="CX117" s="228">
        <f>CX$185</f>
        <v/>
      </c>
      <c r="CY117" s="228">
        <f>CY$185</f>
        <v/>
      </c>
      <c r="CZ117" s="228">
        <f>CZ$185</f>
        <v/>
      </c>
      <c r="DA117" s="228">
        <f>DA$185</f>
        <v/>
      </c>
      <c r="DB117" s="228">
        <f>DB$185</f>
        <v/>
      </c>
      <c r="DC117" s="228">
        <f>DC$185</f>
        <v/>
      </c>
      <c r="DD117" s="228">
        <f>DD$185</f>
        <v/>
      </c>
      <c r="DE117" s="228">
        <f>DE$185</f>
        <v/>
      </c>
      <c r="DF117" s="228">
        <f>DF$185</f>
        <v/>
      </c>
      <c r="DG117" s="228">
        <f>DG$185</f>
        <v/>
      </c>
      <c r="DH117" s="228">
        <f>DH$185</f>
        <v/>
      </c>
      <c r="DI117" s="228">
        <f>DI$185</f>
        <v/>
      </c>
      <c r="DJ117" s="228">
        <f>DJ$185</f>
        <v/>
      </c>
      <c r="DK117" s="228">
        <f>DK$185</f>
        <v/>
      </c>
      <c r="DL117" s="228">
        <f>DL$185</f>
        <v/>
      </c>
      <c r="DM117" s="228">
        <f>DM$185</f>
        <v/>
      </c>
      <c r="DN117" s="228">
        <f>DN$185</f>
        <v/>
      </c>
      <c r="DO117" s="228">
        <f>DO$185</f>
        <v/>
      </c>
      <c r="DP117" s="228">
        <f>DP$185</f>
        <v/>
      </c>
      <c r="DQ117" s="228">
        <f>DQ$185</f>
        <v/>
      </c>
      <c r="DR117" s="228">
        <f>DR$185</f>
        <v/>
      </c>
      <c r="DS117" s="228">
        <f>DS$185</f>
        <v/>
      </c>
      <c r="DT117" s="228">
        <f>DT$185</f>
        <v/>
      </c>
    </row>
    <row r="118" ht="15" customHeight="1" s="148">
      <c r="A118" s="112" t="inlineStr">
        <is>
          <t>Acquisition Loan Final Repayment</t>
        </is>
      </c>
      <c r="C118" s="228">
        <f>SUM(D118:DT118)</f>
        <v/>
      </c>
      <c r="D118" s="228">
        <f>D$187</f>
        <v/>
      </c>
      <c r="E118" s="228">
        <f>E$187</f>
        <v/>
      </c>
      <c r="F118" s="228">
        <f>F$187</f>
        <v/>
      </c>
      <c r="G118" s="228">
        <f>G$187</f>
        <v/>
      </c>
      <c r="H118" s="228">
        <f>H$187</f>
        <v/>
      </c>
      <c r="I118" s="228">
        <f>I$187</f>
        <v/>
      </c>
      <c r="J118" s="228">
        <f>J$187</f>
        <v/>
      </c>
      <c r="K118" s="228">
        <f>K$187</f>
        <v/>
      </c>
      <c r="L118" s="228">
        <f>L$187</f>
        <v/>
      </c>
      <c r="M118" s="228">
        <f>M$187</f>
        <v/>
      </c>
      <c r="N118" s="228">
        <f>N$187</f>
        <v/>
      </c>
      <c r="O118" s="228">
        <f>O$187</f>
        <v/>
      </c>
      <c r="P118" s="228">
        <f>P$187</f>
        <v/>
      </c>
      <c r="Q118" s="228">
        <f>Q$187</f>
        <v/>
      </c>
      <c r="R118" s="228">
        <f>R$187</f>
        <v/>
      </c>
      <c r="S118" s="228">
        <f>S$187</f>
        <v/>
      </c>
      <c r="T118" s="228">
        <f>T$187</f>
        <v/>
      </c>
      <c r="U118" s="228">
        <f>U$187</f>
        <v/>
      </c>
      <c r="V118" s="228">
        <f>V$187</f>
        <v/>
      </c>
      <c r="W118" s="228">
        <f>W$187</f>
        <v/>
      </c>
      <c r="X118" s="228">
        <f>X$187</f>
        <v/>
      </c>
      <c r="Y118" s="228">
        <f>Y$187</f>
        <v/>
      </c>
      <c r="Z118" s="228">
        <f>Z$187</f>
        <v/>
      </c>
      <c r="AA118" s="228">
        <f>AA$187</f>
        <v/>
      </c>
      <c r="AB118" s="228">
        <f>AB$187</f>
        <v/>
      </c>
      <c r="AC118" s="228">
        <f>AC$187</f>
        <v/>
      </c>
      <c r="AD118" s="228">
        <f>AD$187</f>
        <v/>
      </c>
      <c r="AE118" s="228">
        <f>AE$187</f>
        <v/>
      </c>
      <c r="AF118" s="228">
        <f>AF$187</f>
        <v/>
      </c>
      <c r="AG118" s="228">
        <f>AG$187</f>
        <v/>
      </c>
      <c r="AH118" s="228">
        <f>AH$187</f>
        <v/>
      </c>
      <c r="AI118" s="228">
        <f>AI$187</f>
        <v/>
      </c>
      <c r="AJ118" s="228">
        <f>AJ$187</f>
        <v/>
      </c>
      <c r="AK118" s="228">
        <f>AK$187</f>
        <v/>
      </c>
      <c r="AL118" s="228">
        <f>AL$187</f>
        <v/>
      </c>
      <c r="AM118" s="228">
        <f>AM$187</f>
        <v/>
      </c>
      <c r="AN118" s="228">
        <f>AN$187</f>
        <v/>
      </c>
      <c r="AO118" s="228">
        <f>AO$187</f>
        <v/>
      </c>
      <c r="AP118" s="228">
        <f>AP$187</f>
        <v/>
      </c>
      <c r="AQ118" s="228">
        <f>AQ$187</f>
        <v/>
      </c>
      <c r="AR118" s="228">
        <f>AR$187</f>
        <v/>
      </c>
      <c r="AS118" s="228">
        <f>AS$187</f>
        <v/>
      </c>
      <c r="AT118" s="228">
        <f>AT$187</f>
        <v/>
      </c>
      <c r="AU118" s="228">
        <f>AU$187</f>
        <v/>
      </c>
      <c r="AV118" s="228">
        <f>AV$187</f>
        <v/>
      </c>
      <c r="AW118" s="228">
        <f>AW$187</f>
        <v/>
      </c>
      <c r="AX118" s="228">
        <f>AX$187</f>
        <v/>
      </c>
      <c r="AY118" s="228">
        <f>AY$187</f>
        <v/>
      </c>
      <c r="AZ118" s="228">
        <f>AZ$187</f>
        <v/>
      </c>
      <c r="BA118" s="228">
        <f>BA$187</f>
        <v/>
      </c>
      <c r="BB118" s="228">
        <f>BB$187</f>
        <v/>
      </c>
      <c r="BC118" s="228">
        <f>BC$187</f>
        <v/>
      </c>
      <c r="BD118" s="228">
        <f>BD$187</f>
        <v/>
      </c>
      <c r="BE118" s="228">
        <f>BE$187</f>
        <v/>
      </c>
      <c r="BF118" s="228">
        <f>BF$187</f>
        <v/>
      </c>
      <c r="BG118" s="228">
        <f>BG$187</f>
        <v/>
      </c>
      <c r="BH118" s="228">
        <f>BH$187</f>
        <v/>
      </c>
      <c r="BI118" s="228">
        <f>BI$187</f>
        <v/>
      </c>
      <c r="BJ118" s="228">
        <f>BJ$187</f>
        <v/>
      </c>
      <c r="BK118" s="228">
        <f>BK$187</f>
        <v/>
      </c>
      <c r="BL118" s="228">
        <f>BL$187</f>
        <v/>
      </c>
      <c r="BM118" s="228">
        <f>BM$187</f>
        <v/>
      </c>
      <c r="BN118" s="228">
        <f>BN$187</f>
        <v/>
      </c>
      <c r="BO118" s="228">
        <f>BO$187</f>
        <v/>
      </c>
      <c r="BP118" s="228">
        <f>BP$187</f>
        <v/>
      </c>
      <c r="BQ118" s="228">
        <f>BQ$187</f>
        <v/>
      </c>
      <c r="BR118" s="228">
        <f>BR$187</f>
        <v/>
      </c>
      <c r="BS118" s="228">
        <f>BS$187</f>
        <v/>
      </c>
      <c r="BT118" s="228">
        <f>BT$187</f>
        <v/>
      </c>
      <c r="BU118" s="228">
        <f>BU$187</f>
        <v/>
      </c>
      <c r="BV118" s="228">
        <f>BV$187</f>
        <v/>
      </c>
      <c r="BW118" s="228">
        <f>BW$187</f>
        <v/>
      </c>
      <c r="BX118" s="228">
        <f>BX$187</f>
        <v/>
      </c>
      <c r="BY118" s="228">
        <f>BY$187</f>
        <v/>
      </c>
      <c r="BZ118" s="228">
        <f>BZ$187</f>
        <v/>
      </c>
      <c r="CA118" s="228">
        <f>CA$187</f>
        <v/>
      </c>
      <c r="CB118" s="228">
        <f>CB$187</f>
        <v/>
      </c>
      <c r="CC118" s="228">
        <f>CC$187</f>
        <v/>
      </c>
      <c r="CD118" s="228">
        <f>CD$187</f>
        <v/>
      </c>
      <c r="CE118" s="228">
        <f>CE$187</f>
        <v/>
      </c>
      <c r="CF118" s="228">
        <f>CF$187</f>
        <v/>
      </c>
      <c r="CG118" s="228">
        <f>CG$187</f>
        <v/>
      </c>
      <c r="CH118" s="228">
        <f>CH$187</f>
        <v/>
      </c>
      <c r="CI118" s="228">
        <f>CI$187</f>
        <v/>
      </c>
      <c r="CJ118" s="228">
        <f>CJ$187</f>
        <v/>
      </c>
      <c r="CK118" s="228">
        <f>CK$187</f>
        <v/>
      </c>
      <c r="CL118" s="228">
        <f>CL$187</f>
        <v/>
      </c>
      <c r="CM118" s="228">
        <f>CM$187</f>
        <v/>
      </c>
      <c r="CN118" s="228">
        <f>CN$187</f>
        <v/>
      </c>
      <c r="CO118" s="228">
        <f>CO$187</f>
        <v/>
      </c>
      <c r="CP118" s="228">
        <f>CP$187</f>
        <v/>
      </c>
      <c r="CQ118" s="228">
        <f>CQ$187</f>
        <v/>
      </c>
      <c r="CR118" s="228">
        <f>CR$187</f>
        <v/>
      </c>
      <c r="CS118" s="228">
        <f>CS$187</f>
        <v/>
      </c>
      <c r="CT118" s="228">
        <f>CT$187</f>
        <v/>
      </c>
      <c r="CU118" s="228">
        <f>CU$187</f>
        <v/>
      </c>
      <c r="CV118" s="228">
        <f>CV$187</f>
        <v/>
      </c>
      <c r="CW118" s="228">
        <f>CW$187</f>
        <v/>
      </c>
      <c r="CX118" s="228">
        <f>CX$187</f>
        <v/>
      </c>
      <c r="CY118" s="228">
        <f>CY$187</f>
        <v/>
      </c>
      <c r="CZ118" s="228">
        <f>CZ$187</f>
        <v/>
      </c>
      <c r="DA118" s="228">
        <f>DA$187</f>
        <v/>
      </c>
      <c r="DB118" s="228">
        <f>DB$187</f>
        <v/>
      </c>
      <c r="DC118" s="228">
        <f>DC$187</f>
        <v/>
      </c>
      <c r="DD118" s="228">
        <f>DD$187</f>
        <v/>
      </c>
      <c r="DE118" s="228">
        <f>DE$187</f>
        <v/>
      </c>
      <c r="DF118" s="228">
        <f>DF$187</f>
        <v/>
      </c>
      <c r="DG118" s="228">
        <f>DG$187</f>
        <v/>
      </c>
      <c r="DH118" s="228">
        <f>DH$187</f>
        <v/>
      </c>
      <c r="DI118" s="228">
        <f>DI$187</f>
        <v/>
      </c>
      <c r="DJ118" s="228">
        <f>DJ$187</f>
        <v/>
      </c>
      <c r="DK118" s="228">
        <f>DK$187</f>
        <v/>
      </c>
      <c r="DL118" s="228">
        <f>DL$187</f>
        <v/>
      </c>
      <c r="DM118" s="228">
        <f>DM$187</f>
        <v/>
      </c>
      <c r="DN118" s="228">
        <f>DN$187</f>
        <v/>
      </c>
      <c r="DO118" s="228">
        <f>DO$187</f>
        <v/>
      </c>
      <c r="DP118" s="228">
        <f>DP$187</f>
        <v/>
      </c>
      <c r="DQ118" s="228">
        <f>DQ$187</f>
        <v/>
      </c>
      <c r="DR118" s="228">
        <f>DR$187</f>
        <v/>
      </c>
      <c r="DS118" s="228">
        <f>DS$187</f>
        <v/>
      </c>
      <c r="DT118" s="228">
        <f>DT$187</f>
        <v/>
      </c>
    </row>
    <row r="119" ht="15" customHeight="1" s="148">
      <c r="A119" s="112" t="inlineStr">
        <is>
          <t>Working Capital Release</t>
        </is>
      </c>
      <c r="C119" s="228">
        <f>SUM(D119:DT119)</f>
        <v/>
      </c>
      <c r="D119" s="228">
        <f>0</f>
        <v/>
      </c>
      <c r="E119" s="228">
        <f>0</f>
        <v/>
      </c>
      <c r="F119" s="228">
        <f>0</f>
        <v/>
      </c>
      <c r="G119" s="228">
        <f>0</f>
        <v/>
      </c>
      <c r="H119" s="228">
        <f>0</f>
        <v/>
      </c>
      <c r="I119" s="228">
        <f>0</f>
        <v/>
      </c>
      <c r="J119" s="228">
        <f>0</f>
        <v/>
      </c>
      <c r="K119" s="228">
        <f>0</f>
        <v/>
      </c>
      <c r="L119" s="228">
        <f>0</f>
        <v/>
      </c>
      <c r="M119" s="228">
        <f>0</f>
        <v/>
      </c>
      <c r="N119" s="228">
        <f>0</f>
        <v/>
      </c>
      <c r="O119" s="228">
        <f>0</f>
        <v/>
      </c>
      <c r="P119" s="228">
        <f>0</f>
        <v/>
      </c>
      <c r="Q119" s="228">
        <f>0</f>
        <v/>
      </c>
      <c r="R119" s="228">
        <f>0</f>
        <v/>
      </c>
      <c r="S119" s="228">
        <f>0</f>
        <v/>
      </c>
      <c r="T119" s="228">
        <f>0</f>
        <v/>
      </c>
      <c r="U119" s="228">
        <f>0</f>
        <v/>
      </c>
      <c r="V119" s="228">
        <f>0</f>
        <v/>
      </c>
      <c r="W119" s="228">
        <f>0</f>
        <v/>
      </c>
      <c r="X119" s="228">
        <f>0</f>
        <v/>
      </c>
      <c r="Y119" s="228">
        <f>0</f>
        <v/>
      </c>
      <c r="Z119" s="228">
        <f>0</f>
        <v/>
      </c>
      <c r="AA119" s="228">
        <f>0</f>
        <v/>
      </c>
      <c r="AB119" s="228">
        <f>0</f>
        <v/>
      </c>
      <c r="AC119" s="228">
        <f>0</f>
        <v/>
      </c>
      <c r="AD119" s="228">
        <f>0</f>
        <v/>
      </c>
      <c r="AE119" s="228">
        <f>0</f>
        <v/>
      </c>
      <c r="AF119" s="228">
        <f>0</f>
        <v/>
      </c>
      <c r="AG119" s="228">
        <f>0</f>
        <v/>
      </c>
      <c r="AH119" s="228">
        <f>0</f>
        <v/>
      </c>
      <c r="AI119" s="228">
        <f>0</f>
        <v/>
      </c>
      <c r="AJ119" s="228">
        <f>0</f>
        <v/>
      </c>
      <c r="AK119" s="228">
        <f>0</f>
        <v/>
      </c>
      <c r="AL119" s="228">
        <f>0</f>
        <v/>
      </c>
      <c r="AM119" s="228">
        <f>0</f>
        <v/>
      </c>
      <c r="AN119" s="228">
        <f>0</f>
        <v/>
      </c>
      <c r="AO119" s="228">
        <f>0</f>
        <v/>
      </c>
      <c r="AP119" s="228">
        <f>0</f>
        <v/>
      </c>
      <c r="AQ119" s="228">
        <f>0</f>
        <v/>
      </c>
      <c r="AR119" s="228">
        <f>0</f>
        <v/>
      </c>
      <c r="AS119" s="228">
        <f>0</f>
        <v/>
      </c>
      <c r="AT119" s="228">
        <f>0</f>
        <v/>
      </c>
      <c r="AU119" s="228">
        <f>0</f>
        <v/>
      </c>
      <c r="AV119" s="228">
        <f>0</f>
        <v/>
      </c>
      <c r="AW119" s="228">
        <f>0</f>
        <v/>
      </c>
      <c r="AX119" s="228">
        <f>0</f>
        <v/>
      </c>
      <c r="AY119" s="228">
        <f>0</f>
        <v/>
      </c>
      <c r="AZ119" s="228">
        <f>0</f>
        <v/>
      </c>
      <c r="BA119" s="228">
        <f>0</f>
        <v/>
      </c>
      <c r="BB119" s="228">
        <f>0</f>
        <v/>
      </c>
      <c r="BC119" s="228">
        <f>0</f>
        <v/>
      </c>
      <c r="BD119" s="228">
        <f>0</f>
        <v/>
      </c>
      <c r="BE119" s="228">
        <f>0</f>
        <v/>
      </c>
      <c r="BF119" s="228">
        <f>0</f>
        <v/>
      </c>
      <c r="BG119" s="228">
        <f>0</f>
        <v/>
      </c>
      <c r="BH119" s="228">
        <f>0</f>
        <v/>
      </c>
      <c r="BI119" s="228">
        <f>0</f>
        <v/>
      </c>
      <c r="BJ119" s="228">
        <f>0</f>
        <v/>
      </c>
      <c r="BK119" s="228">
        <f>0</f>
        <v/>
      </c>
      <c r="BL119" s="228">
        <f>0</f>
        <v/>
      </c>
      <c r="BM119" s="228">
        <f>0</f>
        <v/>
      </c>
      <c r="BN119" s="228">
        <f>0</f>
        <v/>
      </c>
      <c r="BO119" s="228">
        <f>0</f>
        <v/>
      </c>
      <c r="BP119" s="228">
        <f>0</f>
        <v/>
      </c>
      <c r="BQ119" s="228">
        <f>0</f>
        <v/>
      </c>
      <c r="BR119" s="228">
        <f>0</f>
        <v/>
      </c>
      <c r="BS119" s="228">
        <f>0</f>
        <v/>
      </c>
      <c r="BT119" s="228">
        <f>0</f>
        <v/>
      </c>
      <c r="BU119" s="228">
        <f>0</f>
        <v/>
      </c>
      <c r="BV119" s="228">
        <f>0</f>
        <v/>
      </c>
      <c r="BW119" s="228">
        <f>0</f>
        <v/>
      </c>
      <c r="BX119" s="228">
        <f>0</f>
        <v/>
      </c>
      <c r="BY119" s="228">
        <f>0</f>
        <v/>
      </c>
      <c r="BZ119" s="228">
        <f>0</f>
        <v/>
      </c>
      <c r="CA119" s="228">
        <f>0</f>
        <v/>
      </c>
      <c r="CB119" s="228">
        <f>0</f>
        <v/>
      </c>
      <c r="CC119" s="228">
        <f>0</f>
        <v/>
      </c>
      <c r="CD119" s="228">
        <f>0</f>
        <v/>
      </c>
      <c r="CE119" s="228">
        <f>0</f>
        <v/>
      </c>
      <c r="CF119" s="228">
        <f>0</f>
        <v/>
      </c>
      <c r="CG119" s="228">
        <f>0</f>
        <v/>
      </c>
      <c r="CH119" s="228">
        <f>0</f>
        <v/>
      </c>
      <c r="CI119" s="228">
        <f>0</f>
        <v/>
      </c>
      <c r="CJ119" s="228">
        <f>0</f>
        <v/>
      </c>
      <c r="CK119" s="228">
        <f>0</f>
        <v/>
      </c>
      <c r="CL119" s="228">
        <f>0</f>
        <v/>
      </c>
      <c r="CM119" s="228">
        <f>0</f>
        <v/>
      </c>
      <c r="CN119" s="228">
        <f>0</f>
        <v/>
      </c>
      <c r="CO119" s="228">
        <f>0</f>
        <v/>
      </c>
      <c r="CP119" s="228">
        <f>0</f>
        <v/>
      </c>
      <c r="CQ119" s="228">
        <f>0</f>
        <v/>
      </c>
      <c r="CR119" s="228">
        <f>0</f>
        <v/>
      </c>
      <c r="CS119" s="228">
        <f>0</f>
        <v/>
      </c>
      <c r="CT119" s="228">
        <f>0</f>
        <v/>
      </c>
      <c r="CU119" s="228">
        <f>0</f>
        <v/>
      </c>
      <c r="CV119" s="228">
        <f>0</f>
        <v/>
      </c>
      <c r="CW119" s="228">
        <f>0</f>
        <v/>
      </c>
      <c r="CX119" s="228">
        <f>0</f>
        <v/>
      </c>
      <c r="CY119" s="228">
        <f>0</f>
        <v/>
      </c>
      <c r="CZ119" s="228">
        <f>0</f>
        <v/>
      </c>
      <c r="DA119" s="228">
        <f>0</f>
        <v/>
      </c>
      <c r="DB119" s="228">
        <f>0</f>
        <v/>
      </c>
      <c r="DC119" s="228">
        <f>0</f>
        <v/>
      </c>
      <c r="DD119" s="228">
        <f>0</f>
        <v/>
      </c>
      <c r="DE119" s="228">
        <f>0</f>
        <v/>
      </c>
      <c r="DF119" s="228">
        <f>0</f>
        <v/>
      </c>
      <c r="DG119" s="228">
        <f>0</f>
        <v/>
      </c>
      <c r="DH119" s="228">
        <f>0</f>
        <v/>
      </c>
      <c r="DI119" s="228">
        <f>0</f>
        <v/>
      </c>
      <c r="DJ119" s="228">
        <f>0</f>
        <v/>
      </c>
      <c r="DK119" s="228">
        <f>0</f>
        <v/>
      </c>
      <c r="DL119" s="228">
        <f>0</f>
        <v/>
      </c>
      <c r="DM119" s="228">
        <f>0</f>
        <v/>
      </c>
      <c r="DN119" s="228">
        <f>0</f>
        <v/>
      </c>
      <c r="DO119" s="228">
        <f>0</f>
        <v/>
      </c>
      <c r="DP119" s="228">
        <f>0</f>
        <v/>
      </c>
      <c r="DQ119" s="228">
        <f>0</f>
        <v/>
      </c>
      <c r="DR119" s="228">
        <f>0</f>
        <v/>
      </c>
      <c r="DS119" s="228">
        <f>0</f>
        <v/>
      </c>
      <c r="DT119" s="228">
        <f>0</f>
        <v/>
      </c>
    </row>
    <row r="120" ht="15" customHeight="1" s="148">
      <c r="A120" s="112" t="inlineStr">
        <is>
          <t>Refi Debt Origination Fee</t>
        </is>
      </c>
      <c r="C120" s="228">
        <f>SUM(D120:DT120)</f>
        <v/>
      </c>
      <c r="D120" s="228">
        <f>IF(D$11=36,-ROUND((-D$187)*Assumptions!$AA$44,0),0)</f>
        <v/>
      </c>
      <c r="E120" s="228">
        <f>IF(E$11=36,-ROUND((-E$187)*Assumptions!$AA$44,0),0)</f>
        <v/>
      </c>
      <c r="F120" s="228">
        <f>IF(F$11=36,-ROUND((-F$187)*Assumptions!$AA$44,0),0)</f>
        <v/>
      </c>
      <c r="G120" s="228">
        <f>IF(G$11=36,-ROUND((-G$187)*Assumptions!$AA$44,0),0)</f>
        <v/>
      </c>
      <c r="H120" s="228">
        <f>IF(H$11=36,-ROUND((-H$187)*Assumptions!$AA$44,0),0)</f>
        <v/>
      </c>
      <c r="I120" s="228">
        <f>IF(I$11=36,-ROUND((-I$187)*Assumptions!$AA$44,0),0)</f>
        <v/>
      </c>
      <c r="J120" s="228">
        <f>IF(J$11=36,-ROUND((-J$187)*Assumptions!$AA$44,0),0)</f>
        <v/>
      </c>
      <c r="K120" s="228">
        <f>IF(K$11=36,-ROUND((-K$187)*Assumptions!$AA$44,0),0)</f>
        <v/>
      </c>
      <c r="L120" s="228">
        <f>IF(L$11=36,-ROUND((-L$187)*Assumptions!$AA$44,0),0)</f>
        <v/>
      </c>
      <c r="M120" s="228">
        <f>IF(M$11=36,-ROUND((-M$187)*Assumptions!$AA$44,0),0)</f>
        <v/>
      </c>
      <c r="N120" s="228">
        <f>IF(N$11=36,-ROUND((-N$187)*Assumptions!$AA$44,0),0)</f>
        <v/>
      </c>
      <c r="O120" s="228">
        <f>IF(O$11=36,-ROUND((-O$187)*Assumptions!$AA$44,0),0)</f>
        <v/>
      </c>
      <c r="P120" s="228">
        <f>IF(P$11=36,-ROUND((-P$187)*Assumptions!$AA$44,0),0)</f>
        <v/>
      </c>
      <c r="Q120" s="228">
        <f>IF(Q$11=36,-ROUND((-Q$187)*Assumptions!$AA$44,0),0)</f>
        <v/>
      </c>
      <c r="R120" s="228">
        <f>IF(R$11=36,-ROUND((-R$187)*Assumptions!$AA$44,0),0)</f>
        <v/>
      </c>
      <c r="S120" s="228">
        <f>IF(S$11=36,-ROUND((-S$187)*Assumptions!$AA$44,0),0)</f>
        <v/>
      </c>
      <c r="T120" s="228">
        <f>IF(T$11=36,-ROUND((-T$187)*Assumptions!$AA$44,0),0)</f>
        <v/>
      </c>
      <c r="U120" s="228">
        <f>IF(U$11=36,-ROUND((-U$187)*Assumptions!$AA$44,0),0)</f>
        <v/>
      </c>
      <c r="V120" s="228">
        <f>IF(V$11=36,-ROUND((-V$187)*Assumptions!$AA$44,0),0)</f>
        <v/>
      </c>
      <c r="W120" s="228">
        <f>IF(W$11=36,-ROUND((-W$187)*Assumptions!$AA$44,0),0)</f>
        <v/>
      </c>
      <c r="X120" s="228">
        <f>IF(X$11=36,-ROUND((-X$187)*Assumptions!$AA$44,0),0)</f>
        <v/>
      </c>
      <c r="Y120" s="228">
        <f>IF(Y$11=36,-ROUND((-Y$187)*Assumptions!$AA$44,0),0)</f>
        <v/>
      </c>
      <c r="Z120" s="228">
        <f>IF(Z$11=36,-ROUND((-Z$187)*Assumptions!$AA$44,0),0)</f>
        <v/>
      </c>
      <c r="AA120" s="228">
        <f>IF(AA$11=36,-ROUND((-AA$187)*Assumptions!$AA$44,0),0)</f>
        <v/>
      </c>
      <c r="AB120" s="228">
        <f>IF(AB$11=36,-ROUND((-AB$187)*Assumptions!$AA$44,0),0)</f>
        <v/>
      </c>
      <c r="AC120" s="228">
        <f>IF(AC$11=36,-ROUND((-AC$187)*Assumptions!$AA$44,0),0)</f>
        <v/>
      </c>
      <c r="AD120" s="228">
        <f>IF(AD$11=36,-ROUND((-AD$187)*Assumptions!$AA$44,0),0)</f>
        <v/>
      </c>
      <c r="AE120" s="228">
        <f>IF(AE$11=36,-ROUND((-AE$187)*Assumptions!$AA$44,0),0)</f>
        <v/>
      </c>
      <c r="AF120" s="228">
        <f>IF(AF$11=36,-ROUND((-AF$187)*Assumptions!$AA$44,0),0)</f>
        <v/>
      </c>
      <c r="AG120" s="228">
        <f>IF(AG$11=36,-ROUND((-AG$187)*Assumptions!$AA$44,0),0)</f>
        <v/>
      </c>
      <c r="AH120" s="228">
        <f>IF(AH$11=36,-ROUND((-AH$187)*Assumptions!$AA$44,0),0)</f>
        <v/>
      </c>
      <c r="AI120" s="228">
        <f>IF(AI$11=36,-ROUND((-AI$187)*Assumptions!$AA$44,0),0)</f>
        <v/>
      </c>
      <c r="AJ120" s="228">
        <f>IF(AJ$11=36,-ROUND((-AJ$187)*Assumptions!$AA$44,0),0)</f>
        <v/>
      </c>
      <c r="AK120" s="228">
        <f>IF(AK$11=36,-ROUND((-AK$187)*Assumptions!$AA$44,0),0)</f>
        <v/>
      </c>
      <c r="AL120" s="228">
        <f>IF(AL$11=36,-ROUND((-AL$187)*Assumptions!$AA$44,0),0)</f>
        <v/>
      </c>
      <c r="AM120" s="228">
        <f>IF(AM$11=36,-ROUND((-AM$187)*Assumptions!$AA$44,0),0)</f>
        <v/>
      </c>
      <c r="AN120" s="228">
        <f>IF(AN$11=36,-ROUND((-AN$187)*Assumptions!$AA$44,0),0)</f>
        <v/>
      </c>
      <c r="AO120" s="228">
        <f>IF(AO$11=36,-ROUND((-AO$187)*Assumptions!$AA$44,0),0)</f>
        <v/>
      </c>
      <c r="AP120" s="228">
        <f>IF(AP$11=36,-ROUND((-AP$187)*Assumptions!$AA$44,0),0)</f>
        <v/>
      </c>
      <c r="AQ120" s="228">
        <f>IF(AQ$11=36,-ROUND((-AQ$187)*Assumptions!$AA$44,0),0)</f>
        <v/>
      </c>
      <c r="AR120" s="228">
        <f>IF(AR$11=36,-ROUND((-AR$187)*Assumptions!$AA$44,0),0)</f>
        <v/>
      </c>
      <c r="AS120" s="228">
        <f>IF(AS$11=36,-ROUND((-AS$187)*Assumptions!$AA$44,0),0)</f>
        <v/>
      </c>
      <c r="AT120" s="228">
        <f>IF(AT$11=36,-ROUND((-AT$187)*Assumptions!$AA$44,0),0)</f>
        <v/>
      </c>
      <c r="AU120" s="228">
        <f>IF(AU$11=36,-ROUND((-AU$187)*Assumptions!$AA$44,0),0)</f>
        <v/>
      </c>
      <c r="AV120" s="228">
        <f>IF(AV$11=36,-ROUND((-AV$187)*Assumptions!$AA$44,0),0)</f>
        <v/>
      </c>
      <c r="AW120" s="228">
        <f>IF(AW$11=36,-ROUND((-AW$187)*Assumptions!$AA$44,0),0)</f>
        <v/>
      </c>
      <c r="AX120" s="228">
        <f>IF(AX$11=36,-ROUND((-AX$187)*Assumptions!$AA$44,0),0)</f>
        <v/>
      </c>
      <c r="AY120" s="228">
        <f>IF(AY$11=36,-ROUND((-AY$187)*Assumptions!$AA$44,0),0)</f>
        <v/>
      </c>
      <c r="AZ120" s="228">
        <f>IF(AZ$11=36,-ROUND((-AZ$187)*Assumptions!$AA$44,0),0)</f>
        <v/>
      </c>
      <c r="BA120" s="228">
        <f>IF(BA$11=36,-ROUND((-BA$187)*Assumptions!$AA$44,0),0)</f>
        <v/>
      </c>
      <c r="BB120" s="228">
        <f>IF(BB$11=36,-ROUND((-BB$187)*Assumptions!$AA$44,0),0)</f>
        <v/>
      </c>
      <c r="BC120" s="228">
        <f>IF(BC$11=36,-ROUND((-BC$187)*Assumptions!$AA$44,0),0)</f>
        <v/>
      </c>
      <c r="BD120" s="228">
        <f>IF(BD$11=36,-ROUND((-BD$187)*Assumptions!$AA$44,0),0)</f>
        <v/>
      </c>
      <c r="BE120" s="228">
        <f>IF(BE$11=36,-ROUND((-BE$187)*Assumptions!$AA$44,0),0)</f>
        <v/>
      </c>
      <c r="BF120" s="228">
        <f>IF(BF$11=36,-ROUND((-BF$187)*Assumptions!$AA$44,0),0)</f>
        <v/>
      </c>
      <c r="BG120" s="228">
        <f>IF(BG$11=36,-ROUND((-BG$187)*Assumptions!$AA$44,0),0)</f>
        <v/>
      </c>
      <c r="BH120" s="228">
        <f>IF(BH$11=36,-ROUND((-BH$187)*Assumptions!$AA$44,0),0)</f>
        <v/>
      </c>
      <c r="BI120" s="228">
        <f>IF(BI$11=36,-ROUND((-BI$187)*Assumptions!$AA$44,0),0)</f>
        <v/>
      </c>
      <c r="BJ120" s="228">
        <f>IF(BJ$11=36,-ROUND((-BJ$187)*Assumptions!$AA$44,0),0)</f>
        <v/>
      </c>
      <c r="BK120" s="228">
        <f>IF(BK$11=36,-ROUND((-BK$187)*Assumptions!$AA$44,0),0)</f>
        <v/>
      </c>
      <c r="BL120" s="228">
        <f>IF(BL$11=36,-ROUND((-BL$187)*Assumptions!$AA$44,0),0)</f>
        <v/>
      </c>
      <c r="BM120" s="228">
        <f>IF(BM$11=36,-ROUND((-BM$187)*Assumptions!$AA$44,0),0)</f>
        <v/>
      </c>
      <c r="BN120" s="228">
        <f>IF(BN$11=36,-ROUND((-BN$187)*Assumptions!$AA$44,0),0)</f>
        <v/>
      </c>
      <c r="BO120" s="228">
        <f>IF(BO$11=36,-ROUND((-BO$187)*Assumptions!$AA$44,0),0)</f>
        <v/>
      </c>
      <c r="BP120" s="228">
        <f>IF(BP$11=36,-ROUND((-BP$187)*Assumptions!$AA$44,0),0)</f>
        <v/>
      </c>
      <c r="BQ120" s="228">
        <f>IF(BQ$11=36,-ROUND((-BQ$187)*Assumptions!$AA$44,0),0)</f>
        <v/>
      </c>
      <c r="BR120" s="228">
        <f>IF(BR$11=36,-ROUND((-BR$187)*Assumptions!$AA$44,0),0)</f>
        <v/>
      </c>
      <c r="BS120" s="228">
        <f>IF(BS$11=36,-ROUND((-BS$187)*Assumptions!$AA$44,0),0)</f>
        <v/>
      </c>
      <c r="BT120" s="228">
        <f>IF(BT$11=36,-ROUND((-BT$187)*Assumptions!$AA$44,0),0)</f>
        <v/>
      </c>
      <c r="BU120" s="228">
        <f>IF(BU$11=36,-ROUND((-BU$187)*Assumptions!$AA$44,0),0)</f>
        <v/>
      </c>
      <c r="BV120" s="228">
        <f>IF(BV$11=36,-ROUND((-BV$187)*Assumptions!$AA$44,0),0)</f>
        <v/>
      </c>
      <c r="BW120" s="228">
        <f>IF(BW$11=36,-ROUND((-BW$187)*Assumptions!$AA$44,0),0)</f>
        <v/>
      </c>
      <c r="BX120" s="228">
        <f>IF(BX$11=36,-ROUND((-BX$187)*Assumptions!$AA$44,0),0)</f>
        <v/>
      </c>
      <c r="BY120" s="228">
        <f>IF(BY$11=36,-ROUND((-BY$187)*Assumptions!$AA$44,0),0)</f>
        <v/>
      </c>
      <c r="BZ120" s="228">
        <f>IF(BZ$11=36,-ROUND((-BZ$187)*Assumptions!$AA$44,0),0)</f>
        <v/>
      </c>
      <c r="CA120" s="228">
        <f>IF(CA$11=36,-ROUND((-CA$187)*Assumptions!$AA$44,0),0)</f>
        <v/>
      </c>
      <c r="CB120" s="228">
        <f>IF(CB$11=36,-ROUND((-CB$187)*Assumptions!$AA$44,0),0)</f>
        <v/>
      </c>
      <c r="CC120" s="228">
        <f>IF(CC$11=36,-ROUND((-CC$187)*Assumptions!$AA$44,0),0)</f>
        <v/>
      </c>
      <c r="CD120" s="228">
        <f>IF(CD$11=36,-ROUND((-CD$187)*Assumptions!$AA$44,0),0)</f>
        <v/>
      </c>
      <c r="CE120" s="228">
        <f>IF(CE$11=36,-ROUND((-CE$187)*Assumptions!$AA$44,0),0)</f>
        <v/>
      </c>
      <c r="CF120" s="228">
        <f>IF(CF$11=36,-ROUND((-CF$187)*Assumptions!$AA$44,0),0)</f>
        <v/>
      </c>
      <c r="CG120" s="228">
        <f>IF(CG$11=36,-ROUND((-CG$187)*Assumptions!$AA$44,0),0)</f>
        <v/>
      </c>
      <c r="CH120" s="228">
        <f>IF(CH$11=36,-ROUND((-CH$187)*Assumptions!$AA$44,0),0)</f>
        <v/>
      </c>
      <c r="CI120" s="228">
        <f>IF(CI$11=36,-ROUND((-CI$187)*Assumptions!$AA$44,0),0)</f>
        <v/>
      </c>
      <c r="CJ120" s="228">
        <f>IF(CJ$11=36,-ROUND((-CJ$187)*Assumptions!$AA$44,0),0)</f>
        <v/>
      </c>
      <c r="CK120" s="228">
        <f>IF(CK$11=36,-ROUND((-CK$187)*Assumptions!$AA$44,0),0)</f>
        <v/>
      </c>
      <c r="CL120" s="228">
        <f>IF(CL$11=36,-ROUND((-CL$187)*Assumptions!$AA$44,0),0)</f>
        <v/>
      </c>
      <c r="CM120" s="228">
        <f>IF(CM$11=36,-ROUND((-CM$187)*Assumptions!$AA$44,0),0)</f>
        <v/>
      </c>
      <c r="CN120" s="228">
        <f>IF(CN$11=36,-ROUND((-CN$187)*Assumptions!$AA$44,0),0)</f>
        <v/>
      </c>
      <c r="CO120" s="228">
        <f>IF(CO$11=36,-ROUND((-CO$187)*Assumptions!$AA$44,0),0)</f>
        <v/>
      </c>
      <c r="CP120" s="228">
        <f>IF(CP$11=36,-ROUND((-CP$187)*Assumptions!$AA$44,0),0)</f>
        <v/>
      </c>
      <c r="CQ120" s="228">
        <f>IF(CQ$11=36,-ROUND((-CQ$187)*Assumptions!$AA$44,0),0)</f>
        <v/>
      </c>
      <c r="CR120" s="228">
        <f>IF(CR$11=36,-ROUND((-CR$187)*Assumptions!$AA$44,0),0)</f>
        <v/>
      </c>
      <c r="CS120" s="228">
        <f>IF(CS$11=36,-ROUND((-CS$187)*Assumptions!$AA$44,0),0)</f>
        <v/>
      </c>
      <c r="CT120" s="228">
        <f>IF(CT$11=36,-ROUND((-CT$187)*Assumptions!$AA$44,0),0)</f>
        <v/>
      </c>
      <c r="CU120" s="228">
        <f>IF(CU$11=36,-ROUND((-CU$187)*Assumptions!$AA$44,0),0)</f>
        <v/>
      </c>
      <c r="CV120" s="228">
        <f>IF(CV$11=36,-ROUND((-CV$187)*Assumptions!$AA$44,0),0)</f>
        <v/>
      </c>
      <c r="CW120" s="228">
        <f>IF(CW$11=36,-ROUND((-CW$187)*Assumptions!$AA$44,0),0)</f>
        <v/>
      </c>
      <c r="CX120" s="228">
        <f>IF(CX$11=36,-ROUND((-CX$187)*Assumptions!$AA$44,0),0)</f>
        <v/>
      </c>
      <c r="CY120" s="228">
        <f>IF(CY$11=36,-ROUND((-CY$187)*Assumptions!$AA$44,0),0)</f>
        <v/>
      </c>
      <c r="CZ120" s="228">
        <f>IF(CZ$11=36,-ROUND((-CZ$187)*Assumptions!$AA$44,0),0)</f>
        <v/>
      </c>
      <c r="DA120" s="228">
        <f>IF(DA$11=36,-ROUND((-DA$187)*Assumptions!$AA$44,0),0)</f>
        <v/>
      </c>
      <c r="DB120" s="228">
        <f>IF(DB$11=36,-ROUND((-DB$187)*Assumptions!$AA$44,0),0)</f>
        <v/>
      </c>
      <c r="DC120" s="228">
        <f>IF(DC$11=36,-ROUND((-DC$187)*Assumptions!$AA$44,0),0)</f>
        <v/>
      </c>
      <c r="DD120" s="228">
        <f>IF(DD$11=36,-ROUND((-DD$187)*Assumptions!$AA$44,0),0)</f>
        <v/>
      </c>
      <c r="DE120" s="228">
        <f>IF(DE$11=36,-ROUND((-DE$187)*Assumptions!$AA$44,0),0)</f>
        <v/>
      </c>
      <c r="DF120" s="228">
        <f>IF(DF$11=36,-ROUND((-DF$187)*Assumptions!$AA$44,0),0)</f>
        <v/>
      </c>
      <c r="DG120" s="228">
        <f>IF(DG$11=36,-ROUND((-DG$187)*Assumptions!$AA$44,0),0)</f>
        <v/>
      </c>
      <c r="DH120" s="228">
        <f>IF(DH$11=36,-ROUND((-DH$187)*Assumptions!$AA$44,0),0)</f>
        <v/>
      </c>
      <c r="DI120" s="228">
        <f>IF(DI$11=36,-ROUND((-DI$187)*Assumptions!$AA$44,0),0)</f>
        <v/>
      </c>
      <c r="DJ120" s="228">
        <f>IF(DJ$11=36,-ROUND((-DJ$187)*Assumptions!$AA$44,0),0)</f>
        <v/>
      </c>
      <c r="DK120" s="228">
        <f>IF(DK$11=36,-ROUND((-DK$187)*Assumptions!$AA$44,0),0)</f>
        <v/>
      </c>
      <c r="DL120" s="228">
        <f>IF(DL$11=36,-ROUND((-DL$187)*Assumptions!$AA$44,0),0)</f>
        <v/>
      </c>
      <c r="DM120" s="228">
        <f>IF(DM$11=36,-ROUND((-DM$187)*Assumptions!$AA$44,0),0)</f>
        <v/>
      </c>
      <c r="DN120" s="228">
        <f>IF(DN$11=36,-ROUND((-DN$187)*Assumptions!$AA$44,0),0)</f>
        <v/>
      </c>
      <c r="DO120" s="228">
        <f>IF(DO$11=36,-ROUND((-DO$187)*Assumptions!$AA$44,0),0)</f>
        <v/>
      </c>
      <c r="DP120" s="228">
        <f>IF(DP$11=36,-ROUND((-DP$187)*Assumptions!$AA$44,0),0)</f>
        <v/>
      </c>
      <c r="DQ120" s="228">
        <f>IF(DQ$11=36,-ROUND((-DQ$187)*Assumptions!$AA$44,0),0)</f>
        <v/>
      </c>
      <c r="DR120" s="228">
        <f>IF(DR$11=36,-ROUND((-DR$187)*Assumptions!$AA$44,0),0)</f>
        <v/>
      </c>
      <c r="DS120" s="228">
        <f>IF(DS$11=36,-ROUND((-DS$187)*Assumptions!$AA$44,0),0)</f>
        <v/>
      </c>
      <c r="DT120" s="228">
        <f>IF(DT$11=36,-ROUND((-DT$187)*Assumptions!$AA$44,0),0)</f>
        <v/>
      </c>
    </row>
    <row r="121" ht="15" customHeight="1" s="148">
      <c r="A121" s="112" t="inlineStr">
        <is>
          <t>Refi Debt Exit Fee</t>
        </is>
      </c>
      <c r="C121" s="228">
        <f>SUM(D121:DT121)</f>
        <v/>
      </c>
      <c r="D121" s="228">
        <f>0</f>
        <v/>
      </c>
      <c r="E121" s="228">
        <f>0</f>
        <v/>
      </c>
      <c r="F121" s="228">
        <f>0</f>
        <v/>
      </c>
      <c r="G121" s="228">
        <f>0</f>
        <v/>
      </c>
      <c r="H121" s="228">
        <f>0</f>
        <v/>
      </c>
      <c r="I121" s="228">
        <f>0</f>
        <v/>
      </c>
      <c r="J121" s="228">
        <f>0</f>
        <v/>
      </c>
      <c r="K121" s="228">
        <f>0</f>
        <v/>
      </c>
      <c r="L121" s="228">
        <f>0</f>
        <v/>
      </c>
      <c r="M121" s="228">
        <f>0</f>
        <v/>
      </c>
      <c r="N121" s="228">
        <f>0</f>
        <v/>
      </c>
      <c r="O121" s="228">
        <f>0</f>
        <v/>
      </c>
      <c r="P121" s="228">
        <f>0</f>
        <v/>
      </c>
      <c r="Q121" s="228">
        <f>0</f>
        <v/>
      </c>
      <c r="R121" s="228">
        <f>0</f>
        <v/>
      </c>
      <c r="S121" s="228">
        <f>0</f>
        <v/>
      </c>
      <c r="T121" s="228">
        <f>0</f>
        <v/>
      </c>
      <c r="U121" s="228">
        <f>0</f>
        <v/>
      </c>
      <c r="V121" s="228">
        <f>0</f>
        <v/>
      </c>
      <c r="W121" s="228">
        <f>0</f>
        <v/>
      </c>
      <c r="X121" s="228">
        <f>0</f>
        <v/>
      </c>
      <c r="Y121" s="228">
        <f>0</f>
        <v/>
      </c>
      <c r="Z121" s="228">
        <f>0</f>
        <v/>
      </c>
      <c r="AA121" s="228">
        <f>0</f>
        <v/>
      </c>
      <c r="AB121" s="228">
        <f>0</f>
        <v/>
      </c>
      <c r="AC121" s="228">
        <f>0</f>
        <v/>
      </c>
      <c r="AD121" s="228">
        <f>0</f>
        <v/>
      </c>
      <c r="AE121" s="228">
        <f>0</f>
        <v/>
      </c>
      <c r="AF121" s="228">
        <f>0</f>
        <v/>
      </c>
      <c r="AG121" s="228">
        <f>0</f>
        <v/>
      </c>
      <c r="AH121" s="228">
        <f>0</f>
        <v/>
      </c>
      <c r="AI121" s="228">
        <f>0</f>
        <v/>
      </c>
      <c r="AJ121" s="228">
        <f>0</f>
        <v/>
      </c>
      <c r="AK121" s="228">
        <f>0</f>
        <v/>
      </c>
      <c r="AL121" s="228">
        <f>0</f>
        <v/>
      </c>
      <c r="AM121" s="228">
        <f>0</f>
        <v/>
      </c>
      <c r="AN121" s="228">
        <f>0</f>
        <v/>
      </c>
      <c r="AO121" s="228">
        <f>0</f>
        <v/>
      </c>
      <c r="AP121" s="228">
        <f>0</f>
        <v/>
      </c>
      <c r="AQ121" s="228">
        <f>0</f>
        <v/>
      </c>
      <c r="AR121" s="228">
        <f>0</f>
        <v/>
      </c>
      <c r="AS121" s="228">
        <f>0</f>
        <v/>
      </c>
      <c r="AT121" s="228">
        <f>0</f>
        <v/>
      </c>
      <c r="AU121" s="228">
        <f>0</f>
        <v/>
      </c>
      <c r="AV121" s="228">
        <f>0</f>
        <v/>
      </c>
      <c r="AW121" s="228">
        <f>0</f>
        <v/>
      </c>
      <c r="AX121" s="228">
        <f>0</f>
        <v/>
      </c>
      <c r="AY121" s="228">
        <f>0</f>
        <v/>
      </c>
      <c r="AZ121" s="228">
        <f>0</f>
        <v/>
      </c>
      <c r="BA121" s="228">
        <f>0</f>
        <v/>
      </c>
      <c r="BB121" s="228">
        <f>0</f>
        <v/>
      </c>
      <c r="BC121" s="228">
        <f>0</f>
        <v/>
      </c>
      <c r="BD121" s="228">
        <f>0</f>
        <v/>
      </c>
      <c r="BE121" s="228">
        <f>0</f>
        <v/>
      </c>
      <c r="BF121" s="228">
        <f>0</f>
        <v/>
      </c>
      <c r="BG121" s="228">
        <f>0</f>
        <v/>
      </c>
      <c r="BH121" s="228">
        <f>0</f>
        <v/>
      </c>
      <c r="BI121" s="228">
        <f>0</f>
        <v/>
      </c>
      <c r="BJ121" s="228">
        <f>0</f>
        <v/>
      </c>
      <c r="BK121" s="228">
        <f>0</f>
        <v/>
      </c>
      <c r="BL121" s="228">
        <f>0</f>
        <v/>
      </c>
      <c r="BM121" s="228">
        <f>0</f>
        <v/>
      </c>
      <c r="BN121" s="228">
        <f>0</f>
        <v/>
      </c>
      <c r="BO121" s="228">
        <f>0</f>
        <v/>
      </c>
      <c r="BP121" s="228">
        <f>0</f>
        <v/>
      </c>
      <c r="BQ121" s="228">
        <f>0</f>
        <v/>
      </c>
      <c r="BR121" s="228">
        <f>0</f>
        <v/>
      </c>
      <c r="BS121" s="228">
        <f>0</f>
        <v/>
      </c>
      <c r="BT121" s="228">
        <f>0</f>
        <v/>
      </c>
      <c r="BU121" s="228">
        <f>0</f>
        <v/>
      </c>
      <c r="BV121" s="228">
        <f>0</f>
        <v/>
      </c>
      <c r="BW121" s="228">
        <f>0</f>
        <v/>
      </c>
      <c r="BX121" s="228">
        <f>0</f>
        <v/>
      </c>
      <c r="BY121" s="228">
        <f>0</f>
        <v/>
      </c>
      <c r="BZ121" s="228">
        <f>0</f>
        <v/>
      </c>
      <c r="CA121" s="228">
        <f>0</f>
        <v/>
      </c>
      <c r="CB121" s="228">
        <f>0</f>
        <v/>
      </c>
      <c r="CC121" s="228">
        <f>0</f>
        <v/>
      </c>
      <c r="CD121" s="228">
        <f>0</f>
        <v/>
      </c>
      <c r="CE121" s="228">
        <f>0</f>
        <v/>
      </c>
      <c r="CF121" s="228">
        <f>0</f>
        <v/>
      </c>
      <c r="CG121" s="228">
        <f>0</f>
        <v/>
      </c>
      <c r="CH121" s="228">
        <f>0</f>
        <v/>
      </c>
      <c r="CI121" s="228">
        <f>0</f>
        <v/>
      </c>
      <c r="CJ121" s="228">
        <f>0</f>
        <v/>
      </c>
      <c r="CK121" s="228">
        <f>0</f>
        <v/>
      </c>
      <c r="CL121" s="228">
        <f>0</f>
        <v/>
      </c>
      <c r="CM121" s="228">
        <f>0</f>
        <v/>
      </c>
      <c r="CN121" s="228">
        <f>0</f>
        <v/>
      </c>
      <c r="CO121" s="228">
        <f>0</f>
        <v/>
      </c>
      <c r="CP121" s="228">
        <f>0</f>
        <v/>
      </c>
      <c r="CQ121" s="228">
        <f>0</f>
        <v/>
      </c>
      <c r="CR121" s="228">
        <f>0</f>
        <v/>
      </c>
      <c r="CS121" s="228">
        <f>0</f>
        <v/>
      </c>
      <c r="CT121" s="228">
        <f>0</f>
        <v/>
      </c>
      <c r="CU121" s="228">
        <f>0</f>
        <v/>
      </c>
      <c r="CV121" s="228">
        <f>0</f>
        <v/>
      </c>
      <c r="CW121" s="228">
        <f>0</f>
        <v/>
      </c>
      <c r="CX121" s="228">
        <f>0</f>
        <v/>
      </c>
      <c r="CY121" s="228">
        <f>0</f>
        <v/>
      </c>
      <c r="CZ121" s="228">
        <f>0</f>
        <v/>
      </c>
      <c r="DA121" s="228">
        <f>0</f>
        <v/>
      </c>
      <c r="DB121" s="228">
        <f>0</f>
        <v/>
      </c>
      <c r="DC121" s="228">
        <f>0</f>
        <v/>
      </c>
      <c r="DD121" s="228">
        <f>0</f>
        <v/>
      </c>
      <c r="DE121" s="228">
        <f>0</f>
        <v/>
      </c>
      <c r="DF121" s="228">
        <f>0</f>
        <v/>
      </c>
      <c r="DG121" s="228">
        <f>0</f>
        <v/>
      </c>
      <c r="DH121" s="228">
        <f>0</f>
        <v/>
      </c>
      <c r="DI121" s="228">
        <f>0</f>
        <v/>
      </c>
      <c r="DJ121" s="228">
        <f>0</f>
        <v/>
      </c>
      <c r="DK121" s="228">
        <f>0</f>
        <v/>
      </c>
      <c r="DL121" s="228">
        <f>0</f>
        <v/>
      </c>
      <c r="DM121" s="228">
        <f>0</f>
        <v/>
      </c>
      <c r="DN121" s="228">
        <f>0</f>
        <v/>
      </c>
      <c r="DO121" s="228">
        <f>0</f>
        <v/>
      </c>
      <c r="DP121" s="228">
        <f>0</f>
        <v/>
      </c>
      <c r="DQ121" s="228">
        <f>0</f>
        <v/>
      </c>
      <c r="DR121" s="228">
        <f>0</f>
        <v/>
      </c>
      <c r="DS121" s="228">
        <f>0</f>
        <v/>
      </c>
      <c r="DT121" s="228">
        <f>0</f>
        <v/>
      </c>
    </row>
    <row r="122" ht="15" customHeight="1" s="148">
      <c r="A122" s="112" t="inlineStr">
        <is>
          <t>Refi Debt Interest Expense</t>
        </is>
      </c>
      <c r="C122" s="228">
        <f>SUM(D122:DT122)</f>
        <v/>
      </c>
      <c r="D122" s="228">
        <f>D$192</f>
        <v/>
      </c>
      <c r="E122" s="228">
        <f>E$192</f>
        <v/>
      </c>
      <c r="F122" s="228">
        <f>F$192</f>
        <v/>
      </c>
      <c r="G122" s="228">
        <f>G$192</f>
        <v/>
      </c>
      <c r="H122" s="228">
        <f>H$192</f>
        <v/>
      </c>
      <c r="I122" s="228">
        <f>I$192</f>
        <v/>
      </c>
      <c r="J122" s="228">
        <f>J$192</f>
        <v/>
      </c>
      <c r="K122" s="228">
        <f>K$192</f>
        <v/>
      </c>
      <c r="L122" s="228">
        <f>L$192</f>
        <v/>
      </c>
      <c r="M122" s="228">
        <f>M$192</f>
        <v/>
      </c>
      <c r="N122" s="228">
        <f>N$192</f>
        <v/>
      </c>
      <c r="O122" s="228">
        <f>O$192</f>
        <v/>
      </c>
      <c r="P122" s="228">
        <f>P$192</f>
        <v/>
      </c>
      <c r="Q122" s="228">
        <f>Q$192</f>
        <v/>
      </c>
      <c r="R122" s="228">
        <f>R$192</f>
        <v/>
      </c>
      <c r="S122" s="228">
        <f>S$192</f>
        <v/>
      </c>
      <c r="T122" s="228">
        <f>T$192</f>
        <v/>
      </c>
      <c r="U122" s="228">
        <f>U$192</f>
        <v/>
      </c>
      <c r="V122" s="228">
        <f>V$192</f>
        <v/>
      </c>
      <c r="W122" s="228">
        <f>W$192</f>
        <v/>
      </c>
      <c r="X122" s="228">
        <f>X$192</f>
        <v/>
      </c>
      <c r="Y122" s="228">
        <f>Y$192</f>
        <v/>
      </c>
      <c r="Z122" s="228">
        <f>Z$192</f>
        <v/>
      </c>
      <c r="AA122" s="228">
        <f>AA$192</f>
        <v/>
      </c>
      <c r="AB122" s="228">
        <f>AB$192</f>
        <v/>
      </c>
      <c r="AC122" s="228">
        <f>AC$192</f>
        <v/>
      </c>
      <c r="AD122" s="228">
        <f>AD$192</f>
        <v/>
      </c>
      <c r="AE122" s="228">
        <f>AE$192</f>
        <v/>
      </c>
      <c r="AF122" s="228">
        <f>AF$192</f>
        <v/>
      </c>
      <c r="AG122" s="228">
        <f>AG$192</f>
        <v/>
      </c>
      <c r="AH122" s="228">
        <f>AH$192</f>
        <v/>
      </c>
      <c r="AI122" s="228">
        <f>AI$192</f>
        <v/>
      </c>
      <c r="AJ122" s="228">
        <f>AJ$192</f>
        <v/>
      </c>
      <c r="AK122" s="228">
        <f>AK$192</f>
        <v/>
      </c>
      <c r="AL122" s="228">
        <f>AL$192</f>
        <v/>
      </c>
      <c r="AM122" s="228">
        <f>AM$192</f>
        <v/>
      </c>
      <c r="AN122" s="228">
        <f>AN$192</f>
        <v/>
      </c>
      <c r="AO122" s="228">
        <f>AO$192</f>
        <v/>
      </c>
      <c r="AP122" s="228">
        <f>AP$192</f>
        <v/>
      </c>
      <c r="AQ122" s="228">
        <f>AQ$192</f>
        <v/>
      </c>
      <c r="AR122" s="228">
        <f>AR$192</f>
        <v/>
      </c>
      <c r="AS122" s="228">
        <f>AS$192</f>
        <v/>
      </c>
      <c r="AT122" s="228">
        <f>AT$192</f>
        <v/>
      </c>
      <c r="AU122" s="228">
        <f>AU$192</f>
        <v/>
      </c>
      <c r="AV122" s="228">
        <f>AV$192</f>
        <v/>
      </c>
      <c r="AW122" s="228">
        <f>AW$192</f>
        <v/>
      </c>
      <c r="AX122" s="228">
        <f>AX$192</f>
        <v/>
      </c>
      <c r="AY122" s="228">
        <f>AY$192</f>
        <v/>
      </c>
      <c r="AZ122" s="228">
        <f>AZ$192</f>
        <v/>
      </c>
      <c r="BA122" s="228">
        <f>BA$192</f>
        <v/>
      </c>
      <c r="BB122" s="228">
        <f>BB$192</f>
        <v/>
      </c>
      <c r="BC122" s="228">
        <f>BC$192</f>
        <v/>
      </c>
      <c r="BD122" s="228">
        <f>BD$192</f>
        <v/>
      </c>
      <c r="BE122" s="228">
        <f>BE$192</f>
        <v/>
      </c>
      <c r="BF122" s="228">
        <f>BF$192</f>
        <v/>
      </c>
      <c r="BG122" s="228">
        <f>BG$192</f>
        <v/>
      </c>
      <c r="BH122" s="228">
        <f>BH$192</f>
        <v/>
      </c>
      <c r="BI122" s="228">
        <f>BI$192</f>
        <v/>
      </c>
      <c r="BJ122" s="228">
        <f>BJ$192</f>
        <v/>
      </c>
      <c r="BK122" s="228">
        <f>BK$192</f>
        <v/>
      </c>
      <c r="BL122" s="228">
        <f>BL$192</f>
        <v/>
      </c>
      <c r="BM122" s="228">
        <f>BM$192</f>
        <v/>
      </c>
      <c r="BN122" s="228">
        <f>BN$192</f>
        <v/>
      </c>
      <c r="BO122" s="228">
        <f>BO$192</f>
        <v/>
      </c>
      <c r="BP122" s="228">
        <f>BP$192</f>
        <v/>
      </c>
      <c r="BQ122" s="228">
        <f>BQ$192</f>
        <v/>
      </c>
      <c r="BR122" s="228">
        <f>BR$192</f>
        <v/>
      </c>
      <c r="BS122" s="228">
        <f>BS$192</f>
        <v/>
      </c>
      <c r="BT122" s="228">
        <f>BT$192</f>
        <v/>
      </c>
      <c r="BU122" s="228">
        <f>BU$192</f>
        <v/>
      </c>
      <c r="BV122" s="228">
        <f>BV$192</f>
        <v/>
      </c>
      <c r="BW122" s="228">
        <f>BW$192</f>
        <v/>
      </c>
      <c r="BX122" s="228">
        <f>BX$192</f>
        <v/>
      </c>
      <c r="BY122" s="228">
        <f>BY$192</f>
        <v/>
      </c>
      <c r="BZ122" s="228">
        <f>BZ$192</f>
        <v/>
      </c>
      <c r="CA122" s="228">
        <f>CA$192</f>
        <v/>
      </c>
      <c r="CB122" s="228">
        <f>CB$192</f>
        <v/>
      </c>
      <c r="CC122" s="228">
        <f>CC$192</f>
        <v/>
      </c>
      <c r="CD122" s="228">
        <f>CD$192</f>
        <v/>
      </c>
      <c r="CE122" s="228">
        <f>CE$192</f>
        <v/>
      </c>
      <c r="CF122" s="228">
        <f>CF$192</f>
        <v/>
      </c>
      <c r="CG122" s="228">
        <f>CG$192</f>
        <v/>
      </c>
      <c r="CH122" s="228">
        <f>CH$192</f>
        <v/>
      </c>
      <c r="CI122" s="228">
        <f>CI$192</f>
        <v/>
      </c>
      <c r="CJ122" s="228">
        <f>CJ$192</f>
        <v/>
      </c>
      <c r="CK122" s="228">
        <f>CK$192</f>
        <v/>
      </c>
      <c r="CL122" s="228">
        <f>CL$192</f>
        <v/>
      </c>
      <c r="CM122" s="228">
        <f>CM$192</f>
        <v/>
      </c>
      <c r="CN122" s="228">
        <f>CN$192</f>
        <v/>
      </c>
      <c r="CO122" s="228">
        <f>CO$192</f>
        <v/>
      </c>
      <c r="CP122" s="228">
        <f>CP$192</f>
        <v/>
      </c>
      <c r="CQ122" s="228">
        <f>CQ$192</f>
        <v/>
      </c>
      <c r="CR122" s="228">
        <f>CR$192</f>
        <v/>
      </c>
      <c r="CS122" s="228">
        <f>CS$192</f>
        <v/>
      </c>
      <c r="CT122" s="228">
        <f>CT$192</f>
        <v/>
      </c>
      <c r="CU122" s="228">
        <f>CU$192</f>
        <v/>
      </c>
      <c r="CV122" s="228">
        <f>CV$192</f>
        <v/>
      </c>
      <c r="CW122" s="228">
        <f>CW$192</f>
        <v/>
      </c>
      <c r="CX122" s="228">
        <f>CX$192</f>
        <v/>
      </c>
      <c r="CY122" s="228">
        <f>CY$192</f>
        <v/>
      </c>
      <c r="CZ122" s="228">
        <f>CZ$192</f>
        <v/>
      </c>
      <c r="DA122" s="228">
        <f>DA$192</f>
        <v/>
      </c>
      <c r="DB122" s="228">
        <f>DB$192</f>
        <v/>
      </c>
      <c r="DC122" s="228">
        <f>DC$192</f>
        <v/>
      </c>
      <c r="DD122" s="228">
        <f>DD$192</f>
        <v/>
      </c>
      <c r="DE122" s="228">
        <f>DE$192</f>
        <v/>
      </c>
      <c r="DF122" s="228">
        <f>DF$192</f>
        <v/>
      </c>
      <c r="DG122" s="228">
        <f>DG$192</f>
        <v/>
      </c>
      <c r="DH122" s="228">
        <f>DH$192</f>
        <v/>
      </c>
      <c r="DI122" s="228">
        <f>DI$192</f>
        <v/>
      </c>
      <c r="DJ122" s="228">
        <f>DJ$192</f>
        <v/>
      </c>
      <c r="DK122" s="228">
        <f>DK$192</f>
        <v/>
      </c>
      <c r="DL122" s="228">
        <f>DL$192</f>
        <v/>
      </c>
      <c r="DM122" s="228">
        <f>DM$192</f>
        <v/>
      </c>
      <c r="DN122" s="228">
        <f>DN$192</f>
        <v/>
      </c>
      <c r="DO122" s="228">
        <f>DO$192</f>
        <v/>
      </c>
      <c r="DP122" s="228">
        <f>DP$192</f>
        <v/>
      </c>
      <c r="DQ122" s="228">
        <f>DQ$192</f>
        <v/>
      </c>
      <c r="DR122" s="228">
        <f>DR$192</f>
        <v/>
      </c>
      <c r="DS122" s="228">
        <f>DS$192</f>
        <v/>
      </c>
      <c r="DT122" s="228">
        <f>DT$192</f>
        <v/>
      </c>
    </row>
    <row r="123" ht="15" customHeight="1" s="148">
      <c r="A123" s="112" t="inlineStr">
        <is>
          <t>Refi Debt Principal Paydown</t>
        </is>
      </c>
      <c r="C123" s="228">
        <f>SUM(D123:DT123)</f>
        <v/>
      </c>
      <c r="D123" s="228">
        <f>D$193</f>
        <v/>
      </c>
      <c r="E123" s="228">
        <f>E$193</f>
        <v/>
      </c>
      <c r="F123" s="228">
        <f>F$193</f>
        <v/>
      </c>
      <c r="G123" s="228">
        <f>G$193</f>
        <v/>
      </c>
      <c r="H123" s="228">
        <f>H$193</f>
        <v/>
      </c>
      <c r="I123" s="228">
        <f>I$193</f>
        <v/>
      </c>
      <c r="J123" s="228">
        <f>J$193</f>
        <v/>
      </c>
      <c r="K123" s="228">
        <f>K$193</f>
        <v/>
      </c>
      <c r="L123" s="228">
        <f>L$193</f>
        <v/>
      </c>
      <c r="M123" s="228">
        <f>M$193</f>
        <v/>
      </c>
      <c r="N123" s="228">
        <f>N$193</f>
        <v/>
      </c>
      <c r="O123" s="228">
        <f>O$193</f>
        <v/>
      </c>
      <c r="P123" s="228">
        <f>P$193</f>
        <v/>
      </c>
      <c r="Q123" s="228">
        <f>Q$193</f>
        <v/>
      </c>
      <c r="R123" s="228">
        <f>R$193</f>
        <v/>
      </c>
      <c r="S123" s="228">
        <f>S$193</f>
        <v/>
      </c>
      <c r="T123" s="228">
        <f>T$193</f>
        <v/>
      </c>
      <c r="U123" s="228">
        <f>U$193</f>
        <v/>
      </c>
      <c r="V123" s="228">
        <f>V$193</f>
        <v/>
      </c>
      <c r="W123" s="228">
        <f>W$193</f>
        <v/>
      </c>
      <c r="X123" s="228">
        <f>X$193</f>
        <v/>
      </c>
      <c r="Y123" s="228">
        <f>Y$193</f>
        <v/>
      </c>
      <c r="Z123" s="228">
        <f>Z$193</f>
        <v/>
      </c>
      <c r="AA123" s="228">
        <f>AA$193</f>
        <v/>
      </c>
      <c r="AB123" s="228">
        <f>AB$193</f>
        <v/>
      </c>
      <c r="AC123" s="228">
        <f>AC$193</f>
        <v/>
      </c>
      <c r="AD123" s="228">
        <f>AD$193</f>
        <v/>
      </c>
      <c r="AE123" s="228">
        <f>AE$193</f>
        <v/>
      </c>
      <c r="AF123" s="228">
        <f>AF$193</f>
        <v/>
      </c>
      <c r="AG123" s="228">
        <f>AG$193</f>
        <v/>
      </c>
      <c r="AH123" s="228">
        <f>AH$193</f>
        <v/>
      </c>
      <c r="AI123" s="228">
        <f>AI$193</f>
        <v/>
      </c>
      <c r="AJ123" s="228">
        <f>AJ$193</f>
        <v/>
      </c>
      <c r="AK123" s="228">
        <f>AK$193</f>
        <v/>
      </c>
      <c r="AL123" s="228">
        <f>AL$193</f>
        <v/>
      </c>
      <c r="AM123" s="228">
        <f>AM$193</f>
        <v/>
      </c>
      <c r="AN123" s="228">
        <f>AN$193</f>
        <v/>
      </c>
      <c r="AO123" s="228">
        <f>AO$193</f>
        <v/>
      </c>
      <c r="AP123" s="228">
        <f>AP$193</f>
        <v/>
      </c>
      <c r="AQ123" s="228">
        <f>AQ$193</f>
        <v/>
      </c>
      <c r="AR123" s="228">
        <f>AR$193</f>
        <v/>
      </c>
      <c r="AS123" s="228">
        <f>AS$193</f>
        <v/>
      </c>
      <c r="AT123" s="228">
        <f>AT$193</f>
        <v/>
      </c>
      <c r="AU123" s="228">
        <f>AU$193</f>
        <v/>
      </c>
      <c r="AV123" s="228">
        <f>AV$193</f>
        <v/>
      </c>
      <c r="AW123" s="228">
        <f>AW$193</f>
        <v/>
      </c>
      <c r="AX123" s="228">
        <f>AX$193</f>
        <v/>
      </c>
      <c r="AY123" s="228">
        <f>AY$193</f>
        <v/>
      </c>
      <c r="AZ123" s="228">
        <f>AZ$193</f>
        <v/>
      </c>
      <c r="BA123" s="228">
        <f>BA$193</f>
        <v/>
      </c>
      <c r="BB123" s="228">
        <f>BB$193</f>
        <v/>
      </c>
      <c r="BC123" s="228">
        <f>BC$193</f>
        <v/>
      </c>
      <c r="BD123" s="228">
        <f>BD$193</f>
        <v/>
      </c>
      <c r="BE123" s="228">
        <f>BE$193</f>
        <v/>
      </c>
      <c r="BF123" s="228">
        <f>BF$193</f>
        <v/>
      </c>
      <c r="BG123" s="228">
        <f>BG$193</f>
        <v/>
      </c>
      <c r="BH123" s="228">
        <f>BH$193</f>
        <v/>
      </c>
      <c r="BI123" s="228">
        <f>BI$193</f>
        <v/>
      </c>
      <c r="BJ123" s="228">
        <f>BJ$193</f>
        <v/>
      </c>
      <c r="BK123" s="228">
        <f>BK$193</f>
        <v/>
      </c>
      <c r="BL123" s="228">
        <f>BL$193</f>
        <v/>
      </c>
      <c r="BM123" s="228">
        <f>BM$193</f>
        <v/>
      </c>
      <c r="BN123" s="228">
        <f>BN$193</f>
        <v/>
      </c>
      <c r="BO123" s="228">
        <f>BO$193</f>
        <v/>
      </c>
      <c r="BP123" s="228">
        <f>BP$193</f>
        <v/>
      </c>
      <c r="BQ123" s="228">
        <f>BQ$193</f>
        <v/>
      </c>
      <c r="BR123" s="228">
        <f>BR$193</f>
        <v/>
      </c>
      <c r="BS123" s="228">
        <f>BS$193</f>
        <v/>
      </c>
      <c r="BT123" s="228">
        <f>BT$193</f>
        <v/>
      </c>
      <c r="BU123" s="228">
        <f>BU$193</f>
        <v/>
      </c>
      <c r="BV123" s="228">
        <f>BV$193</f>
        <v/>
      </c>
      <c r="BW123" s="228">
        <f>BW$193</f>
        <v/>
      </c>
      <c r="BX123" s="228">
        <f>BX$193</f>
        <v/>
      </c>
      <c r="BY123" s="228">
        <f>BY$193</f>
        <v/>
      </c>
      <c r="BZ123" s="228">
        <f>BZ$193</f>
        <v/>
      </c>
      <c r="CA123" s="228">
        <f>CA$193</f>
        <v/>
      </c>
      <c r="CB123" s="228">
        <f>CB$193</f>
        <v/>
      </c>
      <c r="CC123" s="228">
        <f>CC$193</f>
        <v/>
      </c>
      <c r="CD123" s="228">
        <f>CD$193</f>
        <v/>
      </c>
      <c r="CE123" s="228">
        <f>CE$193</f>
        <v/>
      </c>
      <c r="CF123" s="228">
        <f>CF$193</f>
        <v/>
      </c>
      <c r="CG123" s="228">
        <f>CG$193</f>
        <v/>
      </c>
      <c r="CH123" s="228">
        <f>CH$193</f>
        <v/>
      </c>
      <c r="CI123" s="228">
        <f>CI$193</f>
        <v/>
      </c>
      <c r="CJ123" s="228">
        <f>CJ$193</f>
        <v/>
      </c>
      <c r="CK123" s="228">
        <f>CK$193</f>
        <v/>
      </c>
      <c r="CL123" s="228">
        <f>CL$193</f>
        <v/>
      </c>
      <c r="CM123" s="228">
        <f>CM$193</f>
        <v/>
      </c>
      <c r="CN123" s="228">
        <f>CN$193</f>
        <v/>
      </c>
      <c r="CO123" s="228">
        <f>CO$193</f>
        <v/>
      </c>
      <c r="CP123" s="228">
        <f>CP$193</f>
        <v/>
      </c>
      <c r="CQ123" s="228">
        <f>CQ$193</f>
        <v/>
      </c>
      <c r="CR123" s="228">
        <f>CR$193</f>
        <v/>
      </c>
      <c r="CS123" s="228">
        <f>CS$193</f>
        <v/>
      </c>
      <c r="CT123" s="228">
        <f>CT$193</f>
        <v/>
      </c>
      <c r="CU123" s="228">
        <f>CU$193</f>
        <v/>
      </c>
      <c r="CV123" s="228">
        <f>CV$193</f>
        <v/>
      </c>
      <c r="CW123" s="228">
        <f>CW$193</f>
        <v/>
      </c>
      <c r="CX123" s="228">
        <f>CX$193</f>
        <v/>
      </c>
      <c r="CY123" s="228">
        <f>CY$193</f>
        <v/>
      </c>
      <c r="CZ123" s="228">
        <f>CZ$193</f>
        <v/>
      </c>
      <c r="DA123" s="228">
        <f>DA$193</f>
        <v/>
      </c>
      <c r="DB123" s="228">
        <f>DB$193</f>
        <v/>
      </c>
      <c r="DC123" s="228">
        <f>DC$193</f>
        <v/>
      </c>
      <c r="DD123" s="228">
        <f>DD$193</f>
        <v/>
      </c>
      <c r="DE123" s="228">
        <f>DE$193</f>
        <v/>
      </c>
      <c r="DF123" s="228">
        <f>DF$193</f>
        <v/>
      </c>
      <c r="DG123" s="228">
        <f>DG$193</f>
        <v/>
      </c>
      <c r="DH123" s="228">
        <f>DH$193</f>
        <v/>
      </c>
      <c r="DI123" s="228">
        <f>DI$193</f>
        <v/>
      </c>
      <c r="DJ123" s="228">
        <f>DJ$193</f>
        <v/>
      </c>
      <c r="DK123" s="228">
        <f>DK$193</f>
        <v/>
      </c>
      <c r="DL123" s="228">
        <f>DL$193</f>
        <v/>
      </c>
      <c r="DM123" s="228">
        <f>DM$193</f>
        <v/>
      </c>
      <c r="DN123" s="228">
        <f>DN$193</f>
        <v/>
      </c>
      <c r="DO123" s="228">
        <f>DO$193</f>
        <v/>
      </c>
      <c r="DP123" s="228">
        <f>DP$193</f>
        <v/>
      </c>
      <c r="DQ123" s="228">
        <f>DQ$193</f>
        <v/>
      </c>
      <c r="DR123" s="228">
        <f>DR$193</f>
        <v/>
      </c>
      <c r="DS123" s="228">
        <f>DS$193</f>
        <v/>
      </c>
      <c r="DT123" s="228">
        <f>DT$193</f>
        <v/>
      </c>
    </row>
    <row r="124" ht="15" customHeight="1" s="148">
      <c r="A124" s="112" t="inlineStr">
        <is>
          <t>Refi Final Repayment</t>
        </is>
      </c>
      <c r="C124" s="228">
        <f>SUM(D124:DT124)</f>
        <v/>
      </c>
      <c r="D124" s="228">
        <f>D$195</f>
        <v/>
      </c>
      <c r="E124" s="228">
        <f>E$195</f>
        <v/>
      </c>
      <c r="F124" s="228">
        <f>F$195</f>
        <v/>
      </c>
      <c r="G124" s="228">
        <f>G$195</f>
        <v/>
      </c>
      <c r="H124" s="228">
        <f>H$195</f>
        <v/>
      </c>
      <c r="I124" s="228">
        <f>I$195</f>
        <v/>
      </c>
      <c r="J124" s="228">
        <f>J$195</f>
        <v/>
      </c>
      <c r="K124" s="228">
        <f>K$195</f>
        <v/>
      </c>
      <c r="L124" s="228">
        <f>L$195</f>
        <v/>
      </c>
      <c r="M124" s="228">
        <f>M$195</f>
        <v/>
      </c>
      <c r="N124" s="228">
        <f>N$195</f>
        <v/>
      </c>
      <c r="O124" s="228">
        <f>O$195</f>
        <v/>
      </c>
      <c r="P124" s="228">
        <f>P$195</f>
        <v/>
      </c>
      <c r="Q124" s="228">
        <f>Q$195</f>
        <v/>
      </c>
      <c r="R124" s="228">
        <f>R$195</f>
        <v/>
      </c>
      <c r="S124" s="228">
        <f>S$195</f>
        <v/>
      </c>
      <c r="T124" s="228">
        <f>T$195</f>
        <v/>
      </c>
      <c r="U124" s="228">
        <f>U$195</f>
        <v/>
      </c>
      <c r="V124" s="228">
        <f>V$195</f>
        <v/>
      </c>
      <c r="W124" s="228">
        <f>W$195</f>
        <v/>
      </c>
      <c r="X124" s="228">
        <f>X$195</f>
        <v/>
      </c>
      <c r="Y124" s="228">
        <f>Y$195</f>
        <v/>
      </c>
      <c r="Z124" s="228">
        <f>Z$195</f>
        <v/>
      </c>
      <c r="AA124" s="228">
        <f>AA$195</f>
        <v/>
      </c>
      <c r="AB124" s="228">
        <f>AB$195</f>
        <v/>
      </c>
      <c r="AC124" s="228">
        <f>AC$195</f>
        <v/>
      </c>
      <c r="AD124" s="228">
        <f>AD$195</f>
        <v/>
      </c>
      <c r="AE124" s="228">
        <f>AE$195</f>
        <v/>
      </c>
      <c r="AF124" s="228">
        <f>AF$195</f>
        <v/>
      </c>
      <c r="AG124" s="228">
        <f>AG$195</f>
        <v/>
      </c>
      <c r="AH124" s="228">
        <f>AH$195</f>
        <v/>
      </c>
      <c r="AI124" s="228">
        <f>AI$195</f>
        <v/>
      </c>
      <c r="AJ124" s="228">
        <f>AJ$195</f>
        <v/>
      </c>
      <c r="AK124" s="228">
        <f>AK$195</f>
        <v/>
      </c>
      <c r="AL124" s="228">
        <f>AL$195</f>
        <v/>
      </c>
      <c r="AM124" s="228">
        <f>AM$195</f>
        <v/>
      </c>
      <c r="AN124" s="228">
        <f>AN$195</f>
        <v/>
      </c>
      <c r="AO124" s="228">
        <f>AO$195</f>
        <v/>
      </c>
      <c r="AP124" s="228">
        <f>AP$195</f>
        <v/>
      </c>
      <c r="AQ124" s="228">
        <f>AQ$195</f>
        <v/>
      </c>
      <c r="AR124" s="228">
        <f>AR$195</f>
        <v/>
      </c>
      <c r="AS124" s="228">
        <f>AS$195</f>
        <v/>
      </c>
      <c r="AT124" s="228">
        <f>AT$195</f>
        <v/>
      </c>
      <c r="AU124" s="228">
        <f>AU$195</f>
        <v/>
      </c>
      <c r="AV124" s="228">
        <f>AV$195</f>
        <v/>
      </c>
      <c r="AW124" s="228">
        <f>AW$195</f>
        <v/>
      </c>
      <c r="AX124" s="228">
        <f>AX$195</f>
        <v/>
      </c>
      <c r="AY124" s="228">
        <f>AY$195</f>
        <v/>
      </c>
      <c r="AZ124" s="228">
        <f>AZ$195</f>
        <v/>
      </c>
      <c r="BA124" s="228">
        <f>BA$195</f>
        <v/>
      </c>
      <c r="BB124" s="228">
        <f>BB$195</f>
        <v/>
      </c>
      <c r="BC124" s="228">
        <f>BC$195</f>
        <v/>
      </c>
      <c r="BD124" s="228">
        <f>BD$195</f>
        <v/>
      </c>
      <c r="BE124" s="228">
        <f>BE$195</f>
        <v/>
      </c>
      <c r="BF124" s="228">
        <f>BF$195</f>
        <v/>
      </c>
      <c r="BG124" s="228">
        <f>BG$195</f>
        <v/>
      </c>
      <c r="BH124" s="228">
        <f>BH$195</f>
        <v/>
      </c>
      <c r="BI124" s="228">
        <f>BI$195</f>
        <v/>
      </c>
      <c r="BJ124" s="228">
        <f>BJ$195</f>
        <v/>
      </c>
      <c r="BK124" s="228">
        <f>BK$195</f>
        <v/>
      </c>
      <c r="BL124" s="228">
        <f>BL$195</f>
        <v/>
      </c>
      <c r="BM124" s="228">
        <f>BM$195</f>
        <v/>
      </c>
      <c r="BN124" s="228">
        <f>BN$195</f>
        <v/>
      </c>
      <c r="BO124" s="228">
        <f>BO$195</f>
        <v/>
      </c>
      <c r="BP124" s="228">
        <f>BP$195</f>
        <v/>
      </c>
      <c r="BQ124" s="228">
        <f>BQ$195</f>
        <v/>
      </c>
      <c r="BR124" s="228">
        <f>BR$195</f>
        <v/>
      </c>
      <c r="BS124" s="228">
        <f>BS$195</f>
        <v/>
      </c>
      <c r="BT124" s="228">
        <f>BT$195</f>
        <v/>
      </c>
      <c r="BU124" s="228">
        <f>BU$195</f>
        <v/>
      </c>
      <c r="BV124" s="228">
        <f>BV$195</f>
        <v/>
      </c>
      <c r="BW124" s="228">
        <f>BW$195</f>
        <v/>
      </c>
      <c r="BX124" s="228">
        <f>BX$195</f>
        <v/>
      </c>
      <c r="BY124" s="228">
        <f>BY$195</f>
        <v/>
      </c>
      <c r="BZ124" s="228">
        <f>BZ$195</f>
        <v/>
      </c>
      <c r="CA124" s="228">
        <f>CA$195</f>
        <v/>
      </c>
      <c r="CB124" s="228">
        <f>CB$195</f>
        <v/>
      </c>
      <c r="CC124" s="228">
        <f>CC$195</f>
        <v/>
      </c>
      <c r="CD124" s="228">
        <f>CD$195</f>
        <v/>
      </c>
      <c r="CE124" s="228">
        <f>CE$195</f>
        <v/>
      </c>
      <c r="CF124" s="228">
        <f>CF$195</f>
        <v/>
      </c>
      <c r="CG124" s="228">
        <f>CG$195</f>
        <v/>
      </c>
      <c r="CH124" s="228">
        <f>CH$195</f>
        <v/>
      </c>
      <c r="CI124" s="228">
        <f>CI$195</f>
        <v/>
      </c>
      <c r="CJ124" s="228">
        <f>CJ$195</f>
        <v/>
      </c>
      <c r="CK124" s="228">
        <f>CK$195</f>
        <v/>
      </c>
      <c r="CL124" s="228">
        <f>CL$195</f>
        <v/>
      </c>
      <c r="CM124" s="228">
        <f>CM$195</f>
        <v/>
      </c>
      <c r="CN124" s="228">
        <f>CN$195</f>
        <v/>
      </c>
      <c r="CO124" s="228">
        <f>CO$195</f>
        <v/>
      </c>
      <c r="CP124" s="228">
        <f>CP$195</f>
        <v/>
      </c>
      <c r="CQ124" s="228">
        <f>CQ$195</f>
        <v/>
      </c>
      <c r="CR124" s="228">
        <f>CR$195</f>
        <v/>
      </c>
      <c r="CS124" s="228">
        <f>CS$195</f>
        <v/>
      </c>
      <c r="CT124" s="228">
        <f>CT$195</f>
        <v/>
      </c>
      <c r="CU124" s="228">
        <f>CU$195</f>
        <v/>
      </c>
      <c r="CV124" s="228">
        <f>CV$195</f>
        <v/>
      </c>
      <c r="CW124" s="228">
        <f>CW$195</f>
        <v/>
      </c>
      <c r="CX124" s="228">
        <f>CX$195</f>
        <v/>
      </c>
      <c r="CY124" s="228">
        <f>CY$195</f>
        <v/>
      </c>
      <c r="CZ124" s="228">
        <f>CZ$195</f>
        <v/>
      </c>
      <c r="DA124" s="228">
        <f>DA$195</f>
        <v/>
      </c>
      <c r="DB124" s="228">
        <f>DB$195</f>
        <v/>
      </c>
      <c r="DC124" s="228">
        <f>DC$195</f>
        <v/>
      </c>
      <c r="DD124" s="228">
        <f>DD$195</f>
        <v/>
      </c>
      <c r="DE124" s="228">
        <f>DE$195</f>
        <v/>
      </c>
      <c r="DF124" s="228">
        <f>DF$195</f>
        <v/>
      </c>
      <c r="DG124" s="228">
        <f>DG$195</f>
        <v/>
      </c>
      <c r="DH124" s="228">
        <f>DH$195</f>
        <v/>
      </c>
      <c r="DI124" s="228">
        <f>DI$195</f>
        <v/>
      </c>
      <c r="DJ124" s="228">
        <f>DJ$195</f>
        <v/>
      </c>
      <c r="DK124" s="228">
        <f>DK$195</f>
        <v/>
      </c>
      <c r="DL124" s="228">
        <f>DL$195</f>
        <v/>
      </c>
      <c r="DM124" s="228">
        <f>DM$195</f>
        <v/>
      </c>
      <c r="DN124" s="228">
        <f>DN$195</f>
        <v/>
      </c>
      <c r="DO124" s="228">
        <f>DO$195</f>
        <v/>
      </c>
      <c r="DP124" s="228">
        <f>DP$195</f>
        <v/>
      </c>
      <c r="DQ124" s="228">
        <f>DQ$195</f>
        <v/>
      </c>
      <c r="DR124" s="228">
        <f>DR$195</f>
        <v/>
      </c>
      <c r="DS124" s="228">
        <f>DS$195</f>
        <v/>
      </c>
      <c r="DT124" s="228">
        <f>DT$195</f>
        <v/>
      </c>
    </row>
    <row r="125" ht="15" customHeight="1" s="148">
      <c r="A125" s="112" t="inlineStr">
        <is>
          <t>Mezz Origination Fee</t>
        </is>
      </c>
      <c r="C125" s="228">
        <f>SUM(D125:DT125)</f>
        <v/>
      </c>
      <c r="D125" s="228">
        <f>0</f>
        <v/>
      </c>
      <c r="E125" s="228">
        <f>0</f>
        <v/>
      </c>
      <c r="F125" s="228">
        <f>0</f>
        <v/>
      </c>
      <c r="G125" s="228">
        <f>0</f>
        <v/>
      </c>
      <c r="H125" s="228">
        <f>0</f>
        <v/>
      </c>
      <c r="I125" s="228">
        <f>0</f>
        <v/>
      </c>
      <c r="J125" s="228">
        <f>0</f>
        <v/>
      </c>
      <c r="K125" s="228">
        <f>0</f>
        <v/>
      </c>
      <c r="L125" s="228">
        <f>0</f>
        <v/>
      </c>
      <c r="M125" s="228">
        <f>0</f>
        <v/>
      </c>
      <c r="N125" s="228">
        <f>0</f>
        <v/>
      </c>
      <c r="O125" s="228">
        <f>0</f>
        <v/>
      </c>
      <c r="P125" s="228">
        <f>0</f>
        <v/>
      </c>
      <c r="Q125" s="228">
        <f>0</f>
        <v/>
      </c>
      <c r="R125" s="228">
        <f>0</f>
        <v/>
      </c>
      <c r="S125" s="228">
        <f>0</f>
        <v/>
      </c>
      <c r="T125" s="228">
        <f>0</f>
        <v/>
      </c>
      <c r="U125" s="228">
        <f>0</f>
        <v/>
      </c>
      <c r="V125" s="228">
        <f>0</f>
        <v/>
      </c>
      <c r="W125" s="228">
        <f>0</f>
        <v/>
      </c>
      <c r="X125" s="228">
        <f>0</f>
        <v/>
      </c>
      <c r="Y125" s="228">
        <f>0</f>
        <v/>
      </c>
      <c r="Z125" s="228">
        <f>0</f>
        <v/>
      </c>
      <c r="AA125" s="228">
        <f>0</f>
        <v/>
      </c>
      <c r="AB125" s="228">
        <f>0</f>
        <v/>
      </c>
      <c r="AC125" s="228">
        <f>0</f>
        <v/>
      </c>
      <c r="AD125" s="228">
        <f>0</f>
        <v/>
      </c>
      <c r="AE125" s="228">
        <f>0</f>
        <v/>
      </c>
      <c r="AF125" s="228">
        <f>0</f>
        <v/>
      </c>
      <c r="AG125" s="228">
        <f>0</f>
        <v/>
      </c>
      <c r="AH125" s="228">
        <f>0</f>
        <v/>
      </c>
      <c r="AI125" s="228">
        <f>0</f>
        <v/>
      </c>
      <c r="AJ125" s="228">
        <f>0</f>
        <v/>
      </c>
      <c r="AK125" s="228">
        <f>0</f>
        <v/>
      </c>
      <c r="AL125" s="228">
        <f>0</f>
        <v/>
      </c>
      <c r="AM125" s="228">
        <f>0</f>
        <v/>
      </c>
      <c r="AN125" s="228">
        <f>0</f>
        <v/>
      </c>
      <c r="AO125" s="228">
        <f>0</f>
        <v/>
      </c>
      <c r="AP125" s="228">
        <f>0</f>
        <v/>
      </c>
      <c r="AQ125" s="228">
        <f>0</f>
        <v/>
      </c>
      <c r="AR125" s="228">
        <f>0</f>
        <v/>
      </c>
      <c r="AS125" s="228">
        <f>0</f>
        <v/>
      </c>
      <c r="AT125" s="228">
        <f>0</f>
        <v/>
      </c>
      <c r="AU125" s="228">
        <f>0</f>
        <v/>
      </c>
      <c r="AV125" s="228">
        <f>0</f>
        <v/>
      </c>
      <c r="AW125" s="228">
        <f>0</f>
        <v/>
      </c>
      <c r="AX125" s="228">
        <f>0</f>
        <v/>
      </c>
      <c r="AY125" s="228">
        <f>0</f>
        <v/>
      </c>
      <c r="AZ125" s="228">
        <f>0</f>
        <v/>
      </c>
      <c r="BA125" s="228">
        <f>0</f>
        <v/>
      </c>
      <c r="BB125" s="228">
        <f>0</f>
        <v/>
      </c>
      <c r="BC125" s="228">
        <f>0</f>
        <v/>
      </c>
      <c r="BD125" s="228">
        <f>0</f>
        <v/>
      </c>
      <c r="BE125" s="228">
        <f>0</f>
        <v/>
      </c>
      <c r="BF125" s="228">
        <f>0</f>
        <v/>
      </c>
      <c r="BG125" s="228">
        <f>0</f>
        <v/>
      </c>
      <c r="BH125" s="228">
        <f>0</f>
        <v/>
      </c>
      <c r="BI125" s="228">
        <f>0</f>
        <v/>
      </c>
      <c r="BJ125" s="228">
        <f>0</f>
        <v/>
      </c>
      <c r="BK125" s="228">
        <f>0</f>
        <v/>
      </c>
      <c r="BL125" s="228">
        <f>0</f>
        <v/>
      </c>
      <c r="BM125" s="228">
        <f>0</f>
        <v/>
      </c>
      <c r="BN125" s="228">
        <f>0</f>
        <v/>
      </c>
      <c r="BO125" s="228">
        <f>0</f>
        <v/>
      </c>
      <c r="BP125" s="228">
        <f>0</f>
        <v/>
      </c>
      <c r="BQ125" s="228">
        <f>0</f>
        <v/>
      </c>
      <c r="BR125" s="228">
        <f>0</f>
        <v/>
      </c>
      <c r="BS125" s="228">
        <f>0</f>
        <v/>
      </c>
      <c r="BT125" s="228">
        <f>0</f>
        <v/>
      </c>
      <c r="BU125" s="228">
        <f>0</f>
        <v/>
      </c>
      <c r="BV125" s="228">
        <f>0</f>
        <v/>
      </c>
      <c r="BW125" s="228">
        <f>0</f>
        <v/>
      </c>
      <c r="BX125" s="228">
        <f>0</f>
        <v/>
      </c>
      <c r="BY125" s="228">
        <f>0</f>
        <v/>
      </c>
      <c r="BZ125" s="228">
        <f>0</f>
        <v/>
      </c>
      <c r="CA125" s="228">
        <f>0</f>
        <v/>
      </c>
      <c r="CB125" s="228">
        <f>0</f>
        <v/>
      </c>
      <c r="CC125" s="228">
        <f>0</f>
        <v/>
      </c>
      <c r="CD125" s="228">
        <f>0</f>
        <v/>
      </c>
      <c r="CE125" s="228">
        <f>0</f>
        <v/>
      </c>
      <c r="CF125" s="228">
        <f>0</f>
        <v/>
      </c>
      <c r="CG125" s="228">
        <f>0</f>
        <v/>
      </c>
      <c r="CH125" s="228">
        <f>0</f>
        <v/>
      </c>
      <c r="CI125" s="228">
        <f>0</f>
        <v/>
      </c>
      <c r="CJ125" s="228">
        <f>0</f>
        <v/>
      </c>
      <c r="CK125" s="228">
        <f>0</f>
        <v/>
      </c>
      <c r="CL125" s="228">
        <f>0</f>
        <v/>
      </c>
      <c r="CM125" s="228">
        <f>0</f>
        <v/>
      </c>
      <c r="CN125" s="228">
        <f>0</f>
        <v/>
      </c>
      <c r="CO125" s="228">
        <f>0</f>
        <v/>
      </c>
      <c r="CP125" s="228">
        <f>0</f>
        <v/>
      </c>
      <c r="CQ125" s="228">
        <f>0</f>
        <v/>
      </c>
      <c r="CR125" s="228">
        <f>0</f>
        <v/>
      </c>
      <c r="CS125" s="228">
        <f>0</f>
        <v/>
      </c>
      <c r="CT125" s="228">
        <f>0</f>
        <v/>
      </c>
      <c r="CU125" s="228">
        <f>0</f>
        <v/>
      </c>
      <c r="CV125" s="228">
        <f>0</f>
        <v/>
      </c>
      <c r="CW125" s="228">
        <f>0</f>
        <v/>
      </c>
      <c r="CX125" s="228">
        <f>0</f>
        <v/>
      </c>
      <c r="CY125" s="228">
        <f>0</f>
        <v/>
      </c>
      <c r="CZ125" s="228">
        <f>0</f>
        <v/>
      </c>
      <c r="DA125" s="228">
        <f>0</f>
        <v/>
      </c>
      <c r="DB125" s="228">
        <f>0</f>
        <v/>
      </c>
      <c r="DC125" s="228">
        <f>0</f>
        <v/>
      </c>
      <c r="DD125" s="228">
        <f>0</f>
        <v/>
      </c>
      <c r="DE125" s="228">
        <f>0</f>
        <v/>
      </c>
      <c r="DF125" s="228">
        <f>0</f>
        <v/>
      </c>
      <c r="DG125" s="228">
        <f>0</f>
        <v/>
      </c>
      <c r="DH125" s="228">
        <f>0</f>
        <v/>
      </c>
      <c r="DI125" s="228">
        <f>0</f>
        <v/>
      </c>
      <c r="DJ125" s="228">
        <f>0</f>
        <v/>
      </c>
      <c r="DK125" s="228">
        <f>0</f>
        <v/>
      </c>
      <c r="DL125" s="228">
        <f>0</f>
        <v/>
      </c>
      <c r="DM125" s="228">
        <f>0</f>
        <v/>
      </c>
      <c r="DN125" s="228">
        <f>0</f>
        <v/>
      </c>
      <c r="DO125" s="228">
        <f>0</f>
        <v/>
      </c>
      <c r="DP125" s="228">
        <f>0</f>
        <v/>
      </c>
      <c r="DQ125" s="228">
        <f>0</f>
        <v/>
      </c>
      <c r="DR125" s="228">
        <f>0</f>
        <v/>
      </c>
      <c r="DS125" s="228">
        <f>0</f>
        <v/>
      </c>
      <c r="DT125" s="228">
        <f>0</f>
        <v/>
      </c>
    </row>
    <row r="126" ht="15" customHeight="1" s="148">
      <c r="A126" s="112" t="inlineStr">
        <is>
          <t>Mezz Debt Proceeds</t>
        </is>
      </c>
      <c r="C126" s="228">
        <f>SUM(D126:DT126)</f>
        <v/>
      </c>
      <c r="D126" s="228">
        <f>0</f>
        <v/>
      </c>
      <c r="E126" s="228">
        <f>0</f>
        <v/>
      </c>
      <c r="F126" s="228">
        <f>0</f>
        <v/>
      </c>
      <c r="G126" s="228">
        <f>0</f>
        <v/>
      </c>
      <c r="H126" s="228">
        <f>0</f>
        <v/>
      </c>
      <c r="I126" s="228">
        <f>0</f>
        <v/>
      </c>
      <c r="J126" s="228">
        <f>0</f>
        <v/>
      </c>
      <c r="K126" s="228">
        <f>0</f>
        <v/>
      </c>
      <c r="L126" s="228">
        <f>0</f>
        <v/>
      </c>
      <c r="M126" s="228">
        <f>0</f>
        <v/>
      </c>
      <c r="N126" s="228">
        <f>0</f>
        <v/>
      </c>
      <c r="O126" s="228">
        <f>0</f>
        <v/>
      </c>
      <c r="P126" s="228">
        <f>0</f>
        <v/>
      </c>
      <c r="Q126" s="228">
        <f>0</f>
        <v/>
      </c>
      <c r="R126" s="228">
        <f>0</f>
        <v/>
      </c>
      <c r="S126" s="228">
        <f>0</f>
        <v/>
      </c>
      <c r="T126" s="228">
        <f>0</f>
        <v/>
      </c>
      <c r="U126" s="228">
        <f>0</f>
        <v/>
      </c>
      <c r="V126" s="228">
        <f>0</f>
        <v/>
      </c>
      <c r="W126" s="228">
        <f>0</f>
        <v/>
      </c>
      <c r="X126" s="228">
        <f>0</f>
        <v/>
      </c>
      <c r="Y126" s="228">
        <f>0</f>
        <v/>
      </c>
      <c r="Z126" s="228">
        <f>0</f>
        <v/>
      </c>
      <c r="AA126" s="228">
        <f>0</f>
        <v/>
      </c>
      <c r="AB126" s="228">
        <f>0</f>
        <v/>
      </c>
      <c r="AC126" s="228">
        <f>0</f>
        <v/>
      </c>
      <c r="AD126" s="228">
        <f>0</f>
        <v/>
      </c>
      <c r="AE126" s="228">
        <f>0</f>
        <v/>
      </c>
      <c r="AF126" s="228">
        <f>0</f>
        <v/>
      </c>
      <c r="AG126" s="228">
        <f>0</f>
        <v/>
      </c>
      <c r="AH126" s="228">
        <f>0</f>
        <v/>
      </c>
      <c r="AI126" s="228">
        <f>0</f>
        <v/>
      </c>
      <c r="AJ126" s="228">
        <f>0</f>
        <v/>
      </c>
      <c r="AK126" s="228">
        <f>0</f>
        <v/>
      </c>
      <c r="AL126" s="228">
        <f>0</f>
        <v/>
      </c>
      <c r="AM126" s="228">
        <f>0</f>
        <v/>
      </c>
      <c r="AN126" s="228">
        <f>0</f>
        <v/>
      </c>
      <c r="AO126" s="228">
        <f>0</f>
        <v/>
      </c>
      <c r="AP126" s="228">
        <f>0</f>
        <v/>
      </c>
      <c r="AQ126" s="228">
        <f>0</f>
        <v/>
      </c>
      <c r="AR126" s="228">
        <f>0</f>
        <v/>
      </c>
      <c r="AS126" s="228">
        <f>0</f>
        <v/>
      </c>
      <c r="AT126" s="228">
        <f>0</f>
        <v/>
      </c>
      <c r="AU126" s="228">
        <f>0</f>
        <v/>
      </c>
      <c r="AV126" s="228">
        <f>0</f>
        <v/>
      </c>
      <c r="AW126" s="228">
        <f>0</f>
        <v/>
      </c>
      <c r="AX126" s="228">
        <f>0</f>
        <v/>
      </c>
      <c r="AY126" s="228">
        <f>0</f>
        <v/>
      </c>
      <c r="AZ126" s="228">
        <f>0</f>
        <v/>
      </c>
      <c r="BA126" s="228">
        <f>0</f>
        <v/>
      </c>
      <c r="BB126" s="228">
        <f>0</f>
        <v/>
      </c>
      <c r="BC126" s="228">
        <f>0</f>
        <v/>
      </c>
      <c r="BD126" s="228">
        <f>0</f>
        <v/>
      </c>
      <c r="BE126" s="228">
        <f>0</f>
        <v/>
      </c>
      <c r="BF126" s="228">
        <f>0</f>
        <v/>
      </c>
      <c r="BG126" s="228">
        <f>0</f>
        <v/>
      </c>
      <c r="BH126" s="228">
        <f>0</f>
        <v/>
      </c>
      <c r="BI126" s="228">
        <f>0</f>
        <v/>
      </c>
      <c r="BJ126" s="228">
        <f>0</f>
        <v/>
      </c>
      <c r="BK126" s="228">
        <f>0</f>
        <v/>
      </c>
      <c r="BL126" s="228">
        <f>0</f>
        <v/>
      </c>
      <c r="BM126" s="228">
        <f>0</f>
        <v/>
      </c>
      <c r="BN126" s="228">
        <f>0</f>
        <v/>
      </c>
      <c r="BO126" s="228">
        <f>0</f>
        <v/>
      </c>
      <c r="BP126" s="228">
        <f>0</f>
        <v/>
      </c>
      <c r="BQ126" s="228">
        <f>0</f>
        <v/>
      </c>
      <c r="BR126" s="228">
        <f>0</f>
        <v/>
      </c>
      <c r="BS126" s="228">
        <f>0</f>
        <v/>
      </c>
      <c r="BT126" s="228">
        <f>0</f>
        <v/>
      </c>
      <c r="BU126" s="228">
        <f>0</f>
        <v/>
      </c>
      <c r="BV126" s="228">
        <f>0</f>
        <v/>
      </c>
      <c r="BW126" s="228">
        <f>0</f>
        <v/>
      </c>
      <c r="BX126" s="228">
        <f>0</f>
        <v/>
      </c>
      <c r="BY126" s="228">
        <f>0</f>
        <v/>
      </c>
      <c r="BZ126" s="228">
        <f>0</f>
        <v/>
      </c>
      <c r="CA126" s="228">
        <f>0</f>
        <v/>
      </c>
      <c r="CB126" s="228">
        <f>0</f>
        <v/>
      </c>
      <c r="CC126" s="228">
        <f>0</f>
        <v/>
      </c>
      <c r="CD126" s="228">
        <f>0</f>
        <v/>
      </c>
      <c r="CE126" s="228">
        <f>0</f>
        <v/>
      </c>
      <c r="CF126" s="228">
        <f>0</f>
        <v/>
      </c>
      <c r="CG126" s="228">
        <f>0</f>
        <v/>
      </c>
      <c r="CH126" s="228">
        <f>0</f>
        <v/>
      </c>
      <c r="CI126" s="228">
        <f>0</f>
        <v/>
      </c>
      <c r="CJ126" s="228">
        <f>0</f>
        <v/>
      </c>
      <c r="CK126" s="228">
        <f>0</f>
        <v/>
      </c>
      <c r="CL126" s="228">
        <f>0</f>
        <v/>
      </c>
      <c r="CM126" s="228">
        <f>0</f>
        <v/>
      </c>
      <c r="CN126" s="228">
        <f>0</f>
        <v/>
      </c>
      <c r="CO126" s="228">
        <f>0</f>
        <v/>
      </c>
      <c r="CP126" s="228">
        <f>0</f>
        <v/>
      </c>
      <c r="CQ126" s="228">
        <f>0</f>
        <v/>
      </c>
      <c r="CR126" s="228">
        <f>0</f>
        <v/>
      </c>
      <c r="CS126" s="228">
        <f>0</f>
        <v/>
      </c>
      <c r="CT126" s="228">
        <f>0</f>
        <v/>
      </c>
      <c r="CU126" s="228">
        <f>0</f>
        <v/>
      </c>
      <c r="CV126" s="228">
        <f>0</f>
        <v/>
      </c>
      <c r="CW126" s="228">
        <f>0</f>
        <v/>
      </c>
      <c r="CX126" s="228">
        <f>0</f>
        <v/>
      </c>
      <c r="CY126" s="228">
        <f>0</f>
        <v/>
      </c>
      <c r="CZ126" s="228">
        <f>0</f>
        <v/>
      </c>
      <c r="DA126" s="228">
        <f>0</f>
        <v/>
      </c>
      <c r="DB126" s="228">
        <f>0</f>
        <v/>
      </c>
      <c r="DC126" s="228">
        <f>0</f>
        <v/>
      </c>
      <c r="DD126" s="228">
        <f>0</f>
        <v/>
      </c>
      <c r="DE126" s="228">
        <f>0</f>
        <v/>
      </c>
      <c r="DF126" s="228">
        <f>0</f>
        <v/>
      </c>
      <c r="DG126" s="228">
        <f>0</f>
        <v/>
      </c>
      <c r="DH126" s="228">
        <f>0</f>
        <v/>
      </c>
      <c r="DI126" s="228">
        <f>0</f>
        <v/>
      </c>
      <c r="DJ126" s="228">
        <f>0</f>
        <v/>
      </c>
      <c r="DK126" s="228">
        <f>0</f>
        <v/>
      </c>
      <c r="DL126" s="228">
        <f>0</f>
        <v/>
      </c>
      <c r="DM126" s="228">
        <f>0</f>
        <v/>
      </c>
      <c r="DN126" s="228">
        <f>0</f>
        <v/>
      </c>
      <c r="DO126" s="228">
        <f>0</f>
        <v/>
      </c>
      <c r="DP126" s="228">
        <f>0</f>
        <v/>
      </c>
      <c r="DQ126" s="228">
        <f>0</f>
        <v/>
      </c>
      <c r="DR126" s="228">
        <f>0</f>
        <v/>
      </c>
      <c r="DS126" s="228">
        <f>0</f>
        <v/>
      </c>
      <c r="DT126" s="228">
        <f>0</f>
        <v/>
      </c>
    </row>
    <row r="127" ht="15" customHeight="1" s="148">
      <c r="A127" s="112" t="inlineStr">
        <is>
          <t>Mezz Debt Interest Pay</t>
        </is>
      </c>
      <c r="C127" s="228">
        <f>SUM(D127:DT127)</f>
        <v/>
      </c>
      <c r="D127" s="228">
        <f>0</f>
        <v/>
      </c>
      <c r="E127" s="228">
        <f>0</f>
        <v/>
      </c>
      <c r="F127" s="228">
        <f>0</f>
        <v/>
      </c>
      <c r="G127" s="228">
        <f>0</f>
        <v/>
      </c>
      <c r="H127" s="228">
        <f>0</f>
        <v/>
      </c>
      <c r="I127" s="228">
        <f>0</f>
        <v/>
      </c>
      <c r="J127" s="228">
        <f>0</f>
        <v/>
      </c>
      <c r="K127" s="228">
        <f>0</f>
        <v/>
      </c>
      <c r="L127" s="228">
        <f>0</f>
        <v/>
      </c>
      <c r="M127" s="228">
        <f>0</f>
        <v/>
      </c>
      <c r="N127" s="228">
        <f>0</f>
        <v/>
      </c>
      <c r="O127" s="228">
        <f>0</f>
        <v/>
      </c>
      <c r="P127" s="228">
        <f>0</f>
        <v/>
      </c>
      <c r="Q127" s="228">
        <f>0</f>
        <v/>
      </c>
      <c r="R127" s="228">
        <f>0</f>
        <v/>
      </c>
      <c r="S127" s="228">
        <f>0</f>
        <v/>
      </c>
      <c r="T127" s="228">
        <f>0</f>
        <v/>
      </c>
      <c r="U127" s="228">
        <f>0</f>
        <v/>
      </c>
      <c r="V127" s="228">
        <f>0</f>
        <v/>
      </c>
      <c r="W127" s="228">
        <f>0</f>
        <v/>
      </c>
      <c r="X127" s="228">
        <f>0</f>
        <v/>
      </c>
      <c r="Y127" s="228">
        <f>0</f>
        <v/>
      </c>
      <c r="Z127" s="228">
        <f>0</f>
        <v/>
      </c>
      <c r="AA127" s="228">
        <f>0</f>
        <v/>
      </c>
      <c r="AB127" s="228">
        <f>0</f>
        <v/>
      </c>
      <c r="AC127" s="228">
        <f>0</f>
        <v/>
      </c>
      <c r="AD127" s="228">
        <f>0</f>
        <v/>
      </c>
      <c r="AE127" s="228">
        <f>0</f>
        <v/>
      </c>
      <c r="AF127" s="228">
        <f>0</f>
        <v/>
      </c>
      <c r="AG127" s="228">
        <f>0</f>
        <v/>
      </c>
      <c r="AH127" s="228">
        <f>0</f>
        <v/>
      </c>
      <c r="AI127" s="228">
        <f>0</f>
        <v/>
      </c>
      <c r="AJ127" s="228">
        <f>0</f>
        <v/>
      </c>
      <c r="AK127" s="228">
        <f>0</f>
        <v/>
      </c>
      <c r="AL127" s="228">
        <f>0</f>
        <v/>
      </c>
      <c r="AM127" s="228">
        <f>0</f>
        <v/>
      </c>
      <c r="AN127" s="228">
        <f>0</f>
        <v/>
      </c>
      <c r="AO127" s="228">
        <f>0</f>
        <v/>
      </c>
      <c r="AP127" s="228">
        <f>0</f>
        <v/>
      </c>
      <c r="AQ127" s="228">
        <f>0</f>
        <v/>
      </c>
      <c r="AR127" s="228">
        <f>0</f>
        <v/>
      </c>
      <c r="AS127" s="228">
        <f>0</f>
        <v/>
      </c>
      <c r="AT127" s="228">
        <f>0</f>
        <v/>
      </c>
      <c r="AU127" s="228">
        <f>0</f>
        <v/>
      </c>
      <c r="AV127" s="228">
        <f>0</f>
        <v/>
      </c>
      <c r="AW127" s="228">
        <f>0</f>
        <v/>
      </c>
      <c r="AX127" s="228">
        <f>0</f>
        <v/>
      </c>
      <c r="AY127" s="228">
        <f>0</f>
        <v/>
      </c>
      <c r="AZ127" s="228">
        <f>0</f>
        <v/>
      </c>
      <c r="BA127" s="228">
        <f>0</f>
        <v/>
      </c>
      <c r="BB127" s="228">
        <f>0</f>
        <v/>
      </c>
      <c r="BC127" s="228">
        <f>0</f>
        <v/>
      </c>
      <c r="BD127" s="228">
        <f>0</f>
        <v/>
      </c>
      <c r="BE127" s="228">
        <f>0</f>
        <v/>
      </c>
      <c r="BF127" s="228">
        <f>0</f>
        <v/>
      </c>
      <c r="BG127" s="228">
        <f>0</f>
        <v/>
      </c>
      <c r="BH127" s="228">
        <f>0</f>
        <v/>
      </c>
      <c r="BI127" s="228">
        <f>0</f>
        <v/>
      </c>
      <c r="BJ127" s="228">
        <f>0</f>
        <v/>
      </c>
      <c r="BK127" s="228">
        <f>0</f>
        <v/>
      </c>
      <c r="BL127" s="228">
        <f>0</f>
        <v/>
      </c>
      <c r="BM127" s="228">
        <f>0</f>
        <v/>
      </c>
      <c r="BN127" s="228">
        <f>0</f>
        <v/>
      </c>
      <c r="BO127" s="228">
        <f>0</f>
        <v/>
      </c>
      <c r="BP127" s="228">
        <f>0</f>
        <v/>
      </c>
      <c r="BQ127" s="228">
        <f>0</f>
        <v/>
      </c>
      <c r="BR127" s="228">
        <f>0</f>
        <v/>
      </c>
      <c r="BS127" s="228">
        <f>0</f>
        <v/>
      </c>
      <c r="BT127" s="228">
        <f>0</f>
        <v/>
      </c>
      <c r="BU127" s="228">
        <f>0</f>
        <v/>
      </c>
      <c r="BV127" s="228">
        <f>0</f>
        <v/>
      </c>
      <c r="BW127" s="228">
        <f>0</f>
        <v/>
      </c>
      <c r="BX127" s="228">
        <f>0</f>
        <v/>
      </c>
      <c r="BY127" s="228">
        <f>0</f>
        <v/>
      </c>
      <c r="BZ127" s="228">
        <f>0</f>
        <v/>
      </c>
      <c r="CA127" s="228">
        <f>0</f>
        <v/>
      </c>
      <c r="CB127" s="228">
        <f>0</f>
        <v/>
      </c>
      <c r="CC127" s="228">
        <f>0</f>
        <v/>
      </c>
      <c r="CD127" s="228">
        <f>0</f>
        <v/>
      </c>
      <c r="CE127" s="228">
        <f>0</f>
        <v/>
      </c>
      <c r="CF127" s="228">
        <f>0</f>
        <v/>
      </c>
      <c r="CG127" s="228">
        <f>0</f>
        <v/>
      </c>
      <c r="CH127" s="228">
        <f>0</f>
        <v/>
      </c>
      <c r="CI127" s="228">
        <f>0</f>
        <v/>
      </c>
      <c r="CJ127" s="228">
        <f>0</f>
        <v/>
      </c>
      <c r="CK127" s="228">
        <f>0</f>
        <v/>
      </c>
      <c r="CL127" s="228">
        <f>0</f>
        <v/>
      </c>
      <c r="CM127" s="228">
        <f>0</f>
        <v/>
      </c>
      <c r="CN127" s="228">
        <f>0</f>
        <v/>
      </c>
      <c r="CO127" s="228">
        <f>0</f>
        <v/>
      </c>
      <c r="CP127" s="228">
        <f>0</f>
        <v/>
      </c>
      <c r="CQ127" s="228">
        <f>0</f>
        <v/>
      </c>
      <c r="CR127" s="228">
        <f>0</f>
        <v/>
      </c>
      <c r="CS127" s="228">
        <f>0</f>
        <v/>
      </c>
      <c r="CT127" s="228">
        <f>0</f>
        <v/>
      </c>
      <c r="CU127" s="228">
        <f>0</f>
        <v/>
      </c>
      <c r="CV127" s="228">
        <f>0</f>
        <v/>
      </c>
      <c r="CW127" s="228">
        <f>0</f>
        <v/>
      </c>
      <c r="CX127" s="228">
        <f>0</f>
        <v/>
      </c>
      <c r="CY127" s="228">
        <f>0</f>
        <v/>
      </c>
      <c r="CZ127" s="228">
        <f>0</f>
        <v/>
      </c>
      <c r="DA127" s="228">
        <f>0</f>
        <v/>
      </c>
      <c r="DB127" s="228">
        <f>0</f>
        <v/>
      </c>
      <c r="DC127" s="228">
        <f>0</f>
        <v/>
      </c>
      <c r="DD127" s="228">
        <f>0</f>
        <v/>
      </c>
      <c r="DE127" s="228">
        <f>0</f>
        <v/>
      </c>
      <c r="DF127" s="228">
        <f>0</f>
        <v/>
      </c>
      <c r="DG127" s="228">
        <f>0</f>
        <v/>
      </c>
      <c r="DH127" s="228">
        <f>0</f>
        <v/>
      </c>
      <c r="DI127" s="228">
        <f>0</f>
        <v/>
      </c>
      <c r="DJ127" s="228">
        <f>0</f>
        <v/>
      </c>
      <c r="DK127" s="228">
        <f>0</f>
        <v/>
      </c>
      <c r="DL127" s="228">
        <f>0</f>
        <v/>
      </c>
      <c r="DM127" s="228">
        <f>0</f>
        <v/>
      </c>
      <c r="DN127" s="228">
        <f>0</f>
        <v/>
      </c>
      <c r="DO127" s="228">
        <f>0</f>
        <v/>
      </c>
      <c r="DP127" s="228">
        <f>0</f>
        <v/>
      </c>
      <c r="DQ127" s="228">
        <f>0</f>
        <v/>
      </c>
      <c r="DR127" s="228">
        <f>0</f>
        <v/>
      </c>
      <c r="DS127" s="228">
        <f>0</f>
        <v/>
      </c>
      <c r="DT127" s="228">
        <f>0</f>
        <v/>
      </c>
    </row>
    <row r="128" ht="15" customHeight="1" s="148">
      <c r="A128" s="112" t="inlineStr">
        <is>
          <t>Mezz Debt Principal Repayment</t>
        </is>
      </c>
      <c r="C128" s="228">
        <f>SUM(D128:DT128)</f>
        <v/>
      </c>
      <c r="D128" s="228">
        <f>0</f>
        <v/>
      </c>
      <c r="E128" s="228">
        <f>0</f>
        <v/>
      </c>
      <c r="F128" s="228">
        <f>0</f>
        <v/>
      </c>
      <c r="G128" s="228">
        <f>0</f>
        <v/>
      </c>
      <c r="H128" s="228">
        <f>0</f>
        <v/>
      </c>
      <c r="I128" s="228">
        <f>0</f>
        <v/>
      </c>
      <c r="J128" s="228">
        <f>0</f>
        <v/>
      </c>
      <c r="K128" s="228">
        <f>0</f>
        <v/>
      </c>
      <c r="L128" s="228">
        <f>0</f>
        <v/>
      </c>
      <c r="M128" s="228">
        <f>0</f>
        <v/>
      </c>
      <c r="N128" s="228">
        <f>0</f>
        <v/>
      </c>
      <c r="O128" s="228">
        <f>0</f>
        <v/>
      </c>
      <c r="P128" s="228">
        <f>0</f>
        <v/>
      </c>
      <c r="Q128" s="228">
        <f>0</f>
        <v/>
      </c>
      <c r="R128" s="228">
        <f>0</f>
        <v/>
      </c>
      <c r="S128" s="228">
        <f>0</f>
        <v/>
      </c>
      <c r="T128" s="228">
        <f>0</f>
        <v/>
      </c>
      <c r="U128" s="228">
        <f>0</f>
        <v/>
      </c>
      <c r="V128" s="228">
        <f>0</f>
        <v/>
      </c>
      <c r="W128" s="228">
        <f>0</f>
        <v/>
      </c>
      <c r="X128" s="228">
        <f>0</f>
        <v/>
      </c>
      <c r="Y128" s="228">
        <f>0</f>
        <v/>
      </c>
      <c r="Z128" s="228">
        <f>0</f>
        <v/>
      </c>
      <c r="AA128" s="228">
        <f>0</f>
        <v/>
      </c>
      <c r="AB128" s="228">
        <f>0</f>
        <v/>
      </c>
      <c r="AC128" s="228">
        <f>0</f>
        <v/>
      </c>
      <c r="AD128" s="228">
        <f>0</f>
        <v/>
      </c>
      <c r="AE128" s="228">
        <f>0</f>
        <v/>
      </c>
      <c r="AF128" s="228">
        <f>0</f>
        <v/>
      </c>
      <c r="AG128" s="228">
        <f>0</f>
        <v/>
      </c>
      <c r="AH128" s="228">
        <f>0</f>
        <v/>
      </c>
      <c r="AI128" s="228">
        <f>0</f>
        <v/>
      </c>
      <c r="AJ128" s="228">
        <f>0</f>
        <v/>
      </c>
      <c r="AK128" s="228">
        <f>0</f>
        <v/>
      </c>
      <c r="AL128" s="228">
        <f>0</f>
        <v/>
      </c>
      <c r="AM128" s="228">
        <f>0</f>
        <v/>
      </c>
      <c r="AN128" s="228">
        <f>0</f>
        <v/>
      </c>
      <c r="AO128" s="228">
        <f>0</f>
        <v/>
      </c>
      <c r="AP128" s="228">
        <f>0</f>
        <v/>
      </c>
      <c r="AQ128" s="228">
        <f>0</f>
        <v/>
      </c>
      <c r="AR128" s="228">
        <f>0</f>
        <v/>
      </c>
      <c r="AS128" s="228">
        <f>0</f>
        <v/>
      </c>
      <c r="AT128" s="228">
        <f>0</f>
        <v/>
      </c>
      <c r="AU128" s="228">
        <f>0</f>
        <v/>
      </c>
      <c r="AV128" s="228">
        <f>0</f>
        <v/>
      </c>
      <c r="AW128" s="228">
        <f>0</f>
        <v/>
      </c>
      <c r="AX128" s="228">
        <f>0</f>
        <v/>
      </c>
      <c r="AY128" s="228">
        <f>0</f>
        <v/>
      </c>
      <c r="AZ128" s="228">
        <f>0</f>
        <v/>
      </c>
      <c r="BA128" s="228">
        <f>0</f>
        <v/>
      </c>
      <c r="BB128" s="228">
        <f>0</f>
        <v/>
      </c>
      <c r="BC128" s="228">
        <f>0</f>
        <v/>
      </c>
      <c r="BD128" s="228">
        <f>0</f>
        <v/>
      </c>
      <c r="BE128" s="228">
        <f>0</f>
        <v/>
      </c>
      <c r="BF128" s="228">
        <f>0</f>
        <v/>
      </c>
      <c r="BG128" s="228">
        <f>0</f>
        <v/>
      </c>
      <c r="BH128" s="228">
        <f>0</f>
        <v/>
      </c>
      <c r="BI128" s="228">
        <f>0</f>
        <v/>
      </c>
      <c r="BJ128" s="228">
        <f>0</f>
        <v/>
      </c>
      <c r="BK128" s="228">
        <f>0</f>
        <v/>
      </c>
      <c r="BL128" s="228">
        <f>0</f>
        <v/>
      </c>
      <c r="BM128" s="228">
        <f>0</f>
        <v/>
      </c>
      <c r="BN128" s="228">
        <f>0</f>
        <v/>
      </c>
      <c r="BO128" s="228">
        <f>0</f>
        <v/>
      </c>
      <c r="BP128" s="228">
        <f>0</f>
        <v/>
      </c>
      <c r="BQ128" s="228">
        <f>0</f>
        <v/>
      </c>
      <c r="BR128" s="228">
        <f>0</f>
        <v/>
      </c>
      <c r="BS128" s="228">
        <f>0</f>
        <v/>
      </c>
      <c r="BT128" s="228">
        <f>0</f>
        <v/>
      </c>
      <c r="BU128" s="228">
        <f>0</f>
        <v/>
      </c>
      <c r="BV128" s="228">
        <f>0</f>
        <v/>
      </c>
      <c r="BW128" s="228">
        <f>0</f>
        <v/>
      </c>
      <c r="BX128" s="228">
        <f>0</f>
        <v/>
      </c>
      <c r="BY128" s="228">
        <f>0</f>
        <v/>
      </c>
      <c r="BZ128" s="228">
        <f>0</f>
        <v/>
      </c>
      <c r="CA128" s="228">
        <f>0</f>
        <v/>
      </c>
      <c r="CB128" s="228">
        <f>0</f>
        <v/>
      </c>
      <c r="CC128" s="228">
        <f>0</f>
        <v/>
      </c>
      <c r="CD128" s="228">
        <f>0</f>
        <v/>
      </c>
      <c r="CE128" s="228">
        <f>0</f>
        <v/>
      </c>
      <c r="CF128" s="228">
        <f>0</f>
        <v/>
      </c>
      <c r="CG128" s="228">
        <f>0</f>
        <v/>
      </c>
      <c r="CH128" s="228">
        <f>0</f>
        <v/>
      </c>
      <c r="CI128" s="228">
        <f>0</f>
        <v/>
      </c>
      <c r="CJ128" s="228">
        <f>0</f>
        <v/>
      </c>
      <c r="CK128" s="228">
        <f>0</f>
        <v/>
      </c>
      <c r="CL128" s="228">
        <f>0</f>
        <v/>
      </c>
      <c r="CM128" s="228">
        <f>0</f>
        <v/>
      </c>
      <c r="CN128" s="228">
        <f>0</f>
        <v/>
      </c>
      <c r="CO128" s="228">
        <f>0</f>
        <v/>
      </c>
      <c r="CP128" s="228">
        <f>0</f>
        <v/>
      </c>
      <c r="CQ128" s="228">
        <f>0</f>
        <v/>
      </c>
      <c r="CR128" s="228">
        <f>0</f>
        <v/>
      </c>
      <c r="CS128" s="228">
        <f>0</f>
        <v/>
      </c>
      <c r="CT128" s="228">
        <f>0</f>
        <v/>
      </c>
      <c r="CU128" s="228">
        <f>0</f>
        <v/>
      </c>
      <c r="CV128" s="228">
        <f>0</f>
        <v/>
      </c>
      <c r="CW128" s="228">
        <f>0</f>
        <v/>
      </c>
      <c r="CX128" s="228">
        <f>0</f>
        <v/>
      </c>
      <c r="CY128" s="228">
        <f>0</f>
        <v/>
      </c>
      <c r="CZ128" s="228">
        <f>0</f>
        <v/>
      </c>
      <c r="DA128" s="228">
        <f>0</f>
        <v/>
      </c>
      <c r="DB128" s="228">
        <f>0</f>
        <v/>
      </c>
      <c r="DC128" s="228">
        <f>0</f>
        <v/>
      </c>
      <c r="DD128" s="228">
        <f>0</f>
        <v/>
      </c>
      <c r="DE128" s="228">
        <f>0</f>
        <v/>
      </c>
      <c r="DF128" s="228">
        <f>0</f>
        <v/>
      </c>
      <c r="DG128" s="228">
        <f>0</f>
        <v/>
      </c>
      <c r="DH128" s="228">
        <f>0</f>
        <v/>
      </c>
      <c r="DI128" s="228">
        <f>0</f>
        <v/>
      </c>
      <c r="DJ128" s="228">
        <f>0</f>
        <v/>
      </c>
      <c r="DK128" s="228">
        <f>0</f>
        <v/>
      </c>
      <c r="DL128" s="228">
        <f>0</f>
        <v/>
      </c>
      <c r="DM128" s="228">
        <f>0</f>
        <v/>
      </c>
      <c r="DN128" s="228">
        <f>0</f>
        <v/>
      </c>
      <c r="DO128" s="228">
        <f>0</f>
        <v/>
      </c>
      <c r="DP128" s="228">
        <f>0</f>
        <v/>
      </c>
      <c r="DQ128" s="228">
        <f>0</f>
        <v/>
      </c>
      <c r="DR128" s="228">
        <f>0</f>
        <v/>
      </c>
      <c r="DS128" s="228">
        <f>0</f>
        <v/>
      </c>
      <c r="DT128" s="228">
        <f>0</f>
        <v/>
      </c>
    </row>
    <row r="129" ht="15" customHeight="1" s="148">
      <c r="A129" s="110" t="inlineStr">
        <is>
          <t>Debt Proceeds</t>
        </is>
      </c>
      <c r="C129" s="228">
        <f>SUM(D129:DT129)</f>
        <v/>
      </c>
      <c r="D129" s="228">
        <f>D$182+D$190</f>
        <v/>
      </c>
      <c r="E129" s="228">
        <f>E$182+E$190</f>
        <v/>
      </c>
      <c r="F129" s="228">
        <f>F$182+F$190</f>
        <v/>
      </c>
      <c r="G129" s="228">
        <f>G$182+G$190</f>
        <v/>
      </c>
      <c r="H129" s="228">
        <f>H$182+H$190</f>
        <v/>
      </c>
      <c r="I129" s="228">
        <f>I$182+I$190</f>
        <v/>
      </c>
      <c r="J129" s="228">
        <f>J$182+J$190</f>
        <v/>
      </c>
      <c r="K129" s="228">
        <f>K$182+K$190</f>
        <v/>
      </c>
      <c r="L129" s="228">
        <f>L$182+L$190</f>
        <v/>
      </c>
      <c r="M129" s="228">
        <f>M$182+M$190</f>
        <v/>
      </c>
      <c r="N129" s="228">
        <f>N$182+N$190</f>
        <v/>
      </c>
      <c r="O129" s="228">
        <f>O$182+O$190</f>
        <v/>
      </c>
      <c r="P129" s="228">
        <f>P$182+P$190</f>
        <v/>
      </c>
      <c r="Q129" s="228">
        <f>Q$182+Q$190</f>
        <v/>
      </c>
      <c r="R129" s="228">
        <f>R$182+R$190</f>
        <v/>
      </c>
      <c r="S129" s="228">
        <f>S$182+S$190</f>
        <v/>
      </c>
      <c r="T129" s="228">
        <f>T$182+T$190</f>
        <v/>
      </c>
      <c r="U129" s="228">
        <f>U$182+U$190</f>
        <v/>
      </c>
      <c r="V129" s="228">
        <f>V$182+V$190</f>
        <v/>
      </c>
      <c r="W129" s="228">
        <f>W$182+W$190</f>
        <v/>
      </c>
      <c r="X129" s="228">
        <f>X$182+X$190</f>
        <v/>
      </c>
      <c r="Y129" s="228">
        <f>Y$182+Y$190</f>
        <v/>
      </c>
      <c r="Z129" s="228">
        <f>Z$182+Z$190</f>
        <v/>
      </c>
      <c r="AA129" s="228">
        <f>AA$182+AA$190</f>
        <v/>
      </c>
      <c r="AB129" s="228">
        <f>AB$182+AB$190</f>
        <v/>
      </c>
      <c r="AC129" s="228">
        <f>AC$182+AC$190</f>
        <v/>
      </c>
      <c r="AD129" s="228">
        <f>AD$182+AD$190</f>
        <v/>
      </c>
      <c r="AE129" s="228">
        <f>AE$182+AE$190</f>
        <v/>
      </c>
      <c r="AF129" s="228">
        <f>AF$182+AF$190</f>
        <v/>
      </c>
      <c r="AG129" s="228">
        <f>AG$182+AG$190</f>
        <v/>
      </c>
      <c r="AH129" s="228">
        <f>AH$182+AH$190</f>
        <v/>
      </c>
      <c r="AI129" s="228">
        <f>AI$182+AI$190</f>
        <v/>
      </c>
      <c r="AJ129" s="228">
        <f>AJ$182+AJ$190</f>
        <v/>
      </c>
      <c r="AK129" s="228">
        <f>AK$182+AK$190</f>
        <v/>
      </c>
      <c r="AL129" s="228">
        <f>AL$182+AL$190</f>
        <v/>
      </c>
      <c r="AM129" s="228">
        <f>AM$182+AM$190</f>
        <v/>
      </c>
      <c r="AN129" s="228">
        <f>AN$182+AN$190</f>
        <v/>
      </c>
      <c r="AO129" s="228">
        <f>AO$182+AO$190</f>
        <v/>
      </c>
      <c r="AP129" s="228">
        <f>AP$182+AP$190</f>
        <v/>
      </c>
      <c r="AQ129" s="228">
        <f>AQ$182+AQ$190</f>
        <v/>
      </c>
      <c r="AR129" s="228">
        <f>AR$182+AR$190</f>
        <v/>
      </c>
      <c r="AS129" s="228">
        <f>AS$182+AS$190</f>
        <v/>
      </c>
      <c r="AT129" s="228">
        <f>AT$182+AT$190</f>
        <v/>
      </c>
      <c r="AU129" s="228">
        <f>AU$182+AU$190</f>
        <v/>
      </c>
      <c r="AV129" s="228">
        <f>AV$182+AV$190</f>
        <v/>
      </c>
      <c r="AW129" s="228">
        <f>AW$182+AW$190</f>
        <v/>
      </c>
      <c r="AX129" s="228">
        <f>AX$182+AX$190</f>
        <v/>
      </c>
      <c r="AY129" s="228">
        <f>AY$182+AY$190</f>
        <v/>
      </c>
      <c r="AZ129" s="228">
        <f>AZ$182+AZ$190</f>
        <v/>
      </c>
      <c r="BA129" s="228">
        <f>BA$182+BA$190</f>
        <v/>
      </c>
      <c r="BB129" s="228">
        <f>BB$182+BB$190</f>
        <v/>
      </c>
      <c r="BC129" s="228">
        <f>BC$182+BC$190</f>
        <v/>
      </c>
      <c r="BD129" s="228">
        <f>BD$182+BD$190</f>
        <v/>
      </c>
      <c r="BE129" s="228">
        <f>BE$182+BE$190</f>
        <v/>
      </c>
      <c r="BF129" s="228">
        <f>BF$182+BF$190</f>
        <v/>
      </c>
      <c r="BG129" s="228">
        <f>BG$182+BG$190</f>
        <v/>
      </c>
      <c r="BH129" s="228">
        <f>BH$182+BH$190</f>
        <v/>
      </c>
      <c r="BI129" s="228">
        <f>BI$182+BI$190</f>
        <v/>
      </c>
      <c r="BJ129" s="228">
        <f>BJ$182+BJ$190</f>
        <v/>
      </c>
      <c r="BK129" s="228">
        <f>BK$182+BK$190</f>
        <v/>
      </c>
      <c r="BL129" s="228">
        <f>BL$182+BL$190</f>
        <v/>
      </c>
      <c r="BM129" s="228">
        <f>BM$182+BM$190</f>
        <v/>
      </c>
      <c r="BN129" s="228">
        <f>BN$182+BN$190</f>
        <v/>
      </c>
      <c r="BO129" s="228">
        <f>BO$182+BO$190</f>
        <v/>
      </c>
      <c r="BP129" s="228">
        <f>BP$182+BP$190</f>
        <v/>
      </c>
      <c r="BQ129" s="228">
        <f>BQ$182+BQ$190</f>
        <v/>
      </c>
      <c r="BR129" s="228">
        <f>BR$182+BR$190</f>
        <v/>
      </c>
      <c r="BS129" s="228">
        <f>BS$182+BS$190</f>
        <v/>
      </c>
      <c r="BT129" s="228">
        <f>BT$182+BT$190</f>
        <v/>
      </c>
      <c r="BU129" s="228">
        <f>BU$182+BU$190</f>
        <v/>
      </c>
      <c r="BV129" s="228">
        <f>BV$182+BV$190</f>
        <v/>
      </c>
      <c r="BW129" s="228">
        <f>BW$182+BW$190</f>
        <v/>
      </c>
      <c r="BX129" s="228">
        <f>BX$182+BX$190</f>
        <v/>
      </c>
      <c r="BY129" s="228">
        <f>BY$182+BY$190</f>
        <v/>
      </c>
      <c r="BZ129" s="228">
        <f>BZ$182+BZ$190</f>
        <v/>
      </c>
      <c r="CA129" s="228">
        <f>CA$182+CA$190</f>
        <v/>
      </c>
      <c r="CB129" s="228">
        <f>CB$182+CB$190</f>
        <v/>
      </c>
      <c r="CC129" s="228">
        <f>CC$182+CC$190</f>
        <v/>
      </c>
      <c r="CD129" s="228">
        <f>CD$182+CD$190</f>
        <v/>
      </c>
      <c r="CE129" s="228">
        <f>CE$182+CE$190</f>
        <v/>
      </c>
      <c r="CF129" s="228">
        <f>CF$182+CF$190</f>
        <v/>
      </c>
      <c r="CG129" s="228">
        <f>CG$182+CG$190</f>
        <v/>
      </c>
      <c r="CH129" s="228">
        <f>CH$182+CH$190</f>
        <v/>
      </c>
      <c r="CI129" s="228">
        <f>CI$182+CI$190</f>
        <v/>
      </c>
      <c r="CJ129" s="228">
        <f>CJ$182+CJ$190</f>
        <v/>
      </c>
      <c r="CK129" s="228">
        <f>CK$182+CK$190</f>
        <v/>
      </c>
      <c r="CL129" s="228">
        <f>CL$182+CL$190</f>
        <v/>
      </c>
      <c r="CM129" s="228">
        <f>CM$182+CM$190</f>
        <v/>
      </c>
      <c r="CN129" s="228">
        <f>CN$182+CN$190</f>
        <v/>
      </c>
      <c r="CO129" s="228">
        <f>CO$182+CO$190</f>
        <v/>
      </c>
      <c r="CP129" s="228">
        <f>CP$182+CP$190</f>
        <v/>
      </c>
      <c r="CQ129" s="228">
        <f>CQ$182+CQ$190</f>
        <v/>
      </c>
      <c r="CR129" s="228">
        <f>CR$182+CR$190</f>
        <v/>
      </c>
      <c r="CS129" s="228">
        <f>CS$182+CS$190</f>
        <v/>
      </c>
      <c r="CT129" s="228">
        <f>CT$182+CT$190</f>
        <v/>
      </c>
      <c r="CU129" s="228">
        <f>CU$182+CU$190</f>
        <v/>
      </c>
      <c r="CV129" s="228">
        <f>CV$182+CV$190</f>
        <v/>
      </c>
      <c r="CW129" s="228">
        <f>CW$182+CW$190</f>
        <v/>
      </c>
      <c r="CX129" s="228">
        <f>CX$182+CX$190</f>
        <v/>
      </c>
      <c r="CY129" s="228">
        <f>CY$182+CY$190</f>
        <v/>
      </c>
      <c r="CZ129" s="228">
        <f>CZ$182+CZ$190</f>
        <v/>
      </c>
      <c r="DA129" s="228">
        <f>DA$182+DA$190</f>
        <v/>
      </c>
      <c r="DB129" s="228">
        <f>DB$182+DB$190</f>
        <v/>
      </c>
      <c r="DC129" s="228">
        <f>DC$182+DC$190</f>
        <v/>
      </c>
      <c r="DD129" s="228">
        <f>DD$182+DD$190</f>
        <v/>
      </c>
      <c r="DE129" s="228">
        <f>DE$182+DE$190</f>
        <v/>
      </c>
      <c r="DF129" s="228">
        <f>DF$182+DF$190</f>
        <v/>
      </c>
      <c r="DG129" s="228">
        <f>DG$182+DG$190</f>
        <v/>
      </c>
      <c r="DH129" s="228">
        <f>DH$182+DH$190</f>
        <v/>
      </c>
      <c r="DI129" s="228">
        <f>DI$182+DI$190</f>
        <v/>
      </c>
      <c r="DJ129" s="228">
        <f>DJ$182+DJ$190</f>
        <v/>
      </c>
      <c r="DK129" s="228">
        <f>DK$182+DK$190</f>
        <v/>
      </c>
      <c r="DL129" s="228">
        <f>DL$182+DL$190</f>
        <v/>
      </c>
      <c r="DM129" s="228">
        <f>DM$182+DM$190</f>
        <v/>
      </c>
      <c r="DN129" s="228">
        <f>DN$182+DN$190</f>
        <v/>
      </c>
      <c r="DO129" s="228">
        <f>DO$182+DO$190</f>
        <v/>
      </c>
      <c r="DP129" s="228">
        <f>DP$182+DP$190</f>
        <v/>
      </c>
      <c r="DQ129" s="228">
        <f>DQ$182+DQ$190</f>
        <v/>
      </c>
      <c r="DR129" s="228">
        <f>DR$182+DR$190</f>
        <v/>
      </c>
      <c r="DS129" s="228">
        <f>DS$182+DS$190</f>
        <v/>
      </c>
      <c r="DT129" s="228">
        <f>DT$182+DT$190</f>
        <v/>
      </c>
    </row>
    <row r="130" ht="15" customHeight="1" s="148">
      <c r="A130" s="112" t="inlineStr">
        <is>
          <t>Cash Sweep Funding</t>
        </is>
      </c>
      <c r="C130" s="228">
        <f>SUM(D130:DT130)</f>
        <v/>
      </c>
      <c r="D130" s="228">
        <f>0</f>
        <v/>
      </c>
      <c r="E130" s="228">
        <f>0</f>
        <v/>
      </c>
      <c r="F130" s="228">
        <f>0</f>
        <v/>
      </c>
      <c r="G130" s="228">
        <f>0</f>
        <v/>
      </c>
      <c r="H130" s="228">
        <f>0</f>
        <v/>
      </c>
      <c r="I130" s="228">
        <f>0</f>
        <v/>
      </c>
      <c r="J130" s="228">
        <f>0</f>
        <v/>
      </c>
      <c r="K130" s="228">
        <f>0</f>
        <v/>
      </c>
      <c r="L130" s="228">
        <f>0</f>
        <v/>
      </c>
      <c r="M130" s="228">
        <f>0</f>
        <v/>
      </c>
      <c r="N130" s="228">
        <f>0</f>
        <v/>
      </c>
      <c r="O130" s="228">
        <f>0</f>
        <v/>
      </c>
      <c r="P130" s="228">
        <f>0</f>
        <v/>
      </c>
      <c r="Q130" s="228">
        <f>0</f>
        <v/>
      </c>
      <c r="R130" s="228">
        <f>0</f>
        <v/>
      </c>
      <c r="S130" s="228">
        <f>0</f>
        <v/>
      </c>
      <c r="T130" s="228">
        <f>0</f>
        <v/>
      </c>
      <c r="U130" s="228">
        <f>0</f>
        <v/>
      </c>
      <c r="V130" s="228">
        <f>0</f>
        <v/>
      </c>
      <c r="W130" s="228">
        <f>0</f>
        <v/>
      </c>
      <c r="X130" s="228">
        <f>0</f>
        <v/>
      </c>
      <c r="Y130" s="228">
        <f>0</f>
        <v/>
      </c>
      <c r="Z130" s="228">
        <f>0</f>
        <v/>
      </c>
      <c r="AA130" s="228">
        <f>0</f>
        <v/>
      </c>
      <c r="AB130" s="228">
        <f>0</f>
        <v/>
      </c>
      <c r="AC130" s="228">
        <f>0</f>
        <v/>
      </c>
      <c r="AD130" s="228">
        <f>0</f>
        <v/>
      </c>
      <c r="AE130" s="228">
        <f>0</f>
        <v/>
      </c>
      <c r="AF130" s="228">
        <f>0</f>
        <v/>
      </c>
      <c r="AG130" s="228">
        <f>0</f>
        <v/>
      </c>
      <c r="AH130" s="228">
        <f>0</f>
        <v/>
      </c>
      <c r="AI130" s="228">
        <f>0</f>
        <v/>
      </c>
      <c r="AJ130" s="228">
        <f>0</f>
        <v/>
      </c>
      <c r="AK130" s="228">
        <f>0</f>
        <v/>
      </c>
      <c r="AL130" s="228">
        <f>0</f>
        <v/>
      </c>
      <c r="AM130" s="228">
        <f>0</f>
        <v/>
      </c>
      <c r="AN130" s="228">
        <f>0</f>
        <v/>
      </c>
      <c r="AO130" s="228">
        <f>0</f>
        <v/>
      </c>
      <c r="AP130" s="228">
        <f>0</f>
        <v/>
      </c>
      <c r="AQ130" s="228">
        <f>0</f>
        <v/>
      </c>
      <c r="AR130" s="228">
        <f>0</f>
        <v/>
      </c>
      <c r="AS130" s="228">
        <f>0</f>
        <v/>
      </c>
      <c r="AT130" s="228">
        <f>0</f>
        <v/>
      </c>
      <c r="AU130" s="228">
        <f>0</f>
        <v/>
      </c>
      <c r="AV130" s="228">
        <f>0</f>
        <v/>
      </c>
      <c r="AW130" s="228">
        <f>0</f>
        <v/>
      </c>
      <c r="AX130" s="228">
        <f>0</f>
        <v/>
      </c>
      <c r="AY130" s="228">
        <f>0</f>
        <v/>
      </c>
      <c r="AZ130" s="228">
        <f>0</f>
        <v/>
      </c>
      <c r="BA130" s="228">
        <f>0</f>
        <v/>
      </c>
      <c r="BB130" s="228">
        <f>0</f>
        <v/>
      </c>
      <c r="BC130" s="228">
        <f>0</f>
        <v/>
      </c>
      <c r="BD130" s="228">
        <f>0</f>
        <v/>
      </c>
      <c r="BE130" s="228">
        <f>0</f>
        <v/>
      </c>
      <c r="BF130" s="228">
        <f>0</f>
        <v/>
      </c>
      <c r="BG130" s="228">
        <f>0</f>
        <v/>
      </c>
      <c r="BH130" s="228">
        <f>0</f>
        <v/>
      </c>
      <c r="BI130" s="228">
        <f>0</f>
        <v/>
      </c>
      <c r="BJ130" s="228">
        <f>0</f>
        <v/>
      </c>
      <c r="BK130" s="228">
        <f>0</f>
        <v/>
      </c>
      <c r="BL130" s="228">
        <f>0</f>
        <v/>
      </c>
      <c r="BM130" s="228">
        <f>0</f>
        <v/>
      </c>
      <c r="BN130" s="228">
        <f>0</f>
        <v/>
      </c>
      <c r="BO130" s="228">
        <f>0</f>
        <v/>
      </c>
      <c r="BP130" s="228">
        <f>0</f>
        <v/>
      </c>
      <c r="BQ130" s="228">
        <f>0</f>
        <v/>
      </c>
      <c r="BR130" s="228">
        <f>0</f>
        <v/>
      </c>
      <c r="BS130" s="228">
        <f>0</f>
        <v/>
      </c>
      <c r="BT130" s="228">
        <f>0</f>
        <v/>
      </c>
      <c r="BU130" s="228">
        <f>0</f>
        <v/>
      </c>
      <c r="BV130" s="228">
        <f>0</f>
        <v/>
      </c>
      <c r="BW130" s="228">
        <f>0</f>
        <v/>
      </c>
      <c r="BX130" s="228">
        <f>0</f>
        <v/>
      </c>
      <c r="BY130" s="228">
        <f>0</f>
        <v/>
      </c>
      <c r="BZ130" s="228">
        <f>0</f>
        <v/>
      </c>
      <c r="CA130" s="228">
        <f>0</f>
        <v/>
      </c>
      <c r="CB130" s="228">
        <f>0</f>
        <v/>
      </c>
      <c r="CC130" s="228">
        <f>0</f>
        <v/>
      </c>
      <c r="CD130" s="228">
        <f>0</f>
        <v/>
      </c>
      <c r="CE130" s="228">
        <f>0</f>
        <v/>
      </c>
      <c r="CF130" s="228">
        <f>0</f>
        <v/>
      </c>
      <c r="CG130" s="228">
        <f>0</f>
        <v/>
      </c>
      <c r="CH130" s="228">
        <f>0</f>
        <v/>
      </c>
      <c r="CI130" s="228">
        <f>0</f>
        <v/>
      </c>
      <c r="CJ130" s="228">
        <f>0</f>
        <v/>
      </c>
      <c r="CK130" s="228">
        <f>0</f>
        <v/>
      </c>
      <c r="CL130" s="228">
        <f>0</f>
        <v/>
      </c>
      <c r="CM130" s="228">
        <f>0</f>
        <v/>
      </c>
      <c r="CN130" s="228">
        <f>0</f>
        <v/>
      </c>
      <c r="CO130" s="228">
        <f>0</f>
        <v/>
      </c>
      <c r="CP130" s="228">
        <f>0</f>
        <v/>
      </c>
      <c r="CQ130" s="228">
        <f>0</f>
        <v/>
      </c>
      <c r="CR130" s="228">
        <f>0</f>
        <v/>
      </c>
      <c r="CS130" s="228">
        <f>0</f>
        <v/>
      </c>
      <c r="CT130" s="228">
        <f>0</f>
        <v/>
      </c>
      <c r="CU130" s="228">
        <f>0</f>
        <v/>
      </c>
      <c r="CV130" s="228">
        <f>0</f>
        <v/>
      </c>
      <c r="CW130" s="228">
        <f>0</f>
        <v/>
      </c>
      <c r="CX130" s="228">
        <f>0</f>
        <v/>
      </c>
      <c r="CY130" s="228">
        <f>0</f>
        <v/>
      </c>
      <c r="CZ130" s="228">
        <f>0</f>
        <v/>
      </c>
      <c r="DA130" s="228">
        <f>0</f>
        <v/>
      </c>
      <c r="DB130" s="228">
        <f>0</f>
        <v/>
      </c>
      <c r="DC130" s="228">
        <f>0</f>
        <v/>
      </c>
      <c r="DD130" s="228">
        <f>0</f>
        <v/>
      </c>
      <c r="DE130" s="228">
        <f>0</f>
        <v/>
      </c>
      <c r="DF130" s="228">
        <f>0</f>
        <v/>
      </c>
      <c r="DG130" s="228">
        <f>0</f>
        <v/>
      </c>
      <c r="DH130" s="228">
        <f>0</f>
        <v/>
      </c>
      <c r="DI130" s="228">
        <f>0</f>
        <v/>
      </c>
      <c r="DJ130" s="228">
        <f>0</f>
        <v/>
      </c>
      <c r="DK130" s="228">
        <f>0</f>
        <v/>
      </c>
      <c r="DL130" s="228">
        <f>0</f>
        <v/>
      </c>
      <c r="DM130" s="228">
        <f>0</f>
        <v/>
      </c>
      <c r="DN130" s="228">
        <f>0</f>
        <v/>
      </c>
      <c r="DO130" s="228">
        <f>0</f>
        <v/>
      </c>
      <c r="DP130" s="228">
        <f>0</f>
        <v/>
      </c>
      <c r="DQ130" s="228">
        <f>0</f>
        <v/>
      </c>
      <c r="DR130" s="228">
        <f>0</f>
        <v/>
      </c>
      <c r="DS130" s="228">
        <f>0</f>
        <v/>
      </c>
      <c r="DT130" s="228">
        <f>0</f>
        <v/>
      </c>
    </row>
    <row r="131" ht="15" customHeight="1" s="148">
      <c r="A131" s="112" t="inlineStr">
        <is>
          <t>Cash Sweep Proceeds</t>
        </is>
      </c>
      <c r="C131" s="228">
        <f>SUM(D131:DT131)</f>
        <v/>
      </c>
      <c r="D131" s="228">
        <f>0</f>
        <v/>
      </c>
      <c r="E131" s="228">
        <f>0</f>
        <v/>
      </c>
      <c r="F131" s="228">
        <f>0</f>
        <v/>
      </c>
      <c r="G131" s="228">
        <f>0</f>
        <v/>
      </c>
      <c r="H131" s="228">
        <f>0</f>
        <v/>
      </c>
      <c r="I131" s="228">
        <f>0</f>
        <v/>
      </c>
      <c r="J131" s="228">
        <f>0</f>
        <v/>
      </c>
      <c r="K131" s="228">
        <f>0</f>
        <v/>
      </c>
      <c r="L131" s="228">
        <f>0</f>
        <v/>
      </c>
      <c r="M131" s="228">
        <f>0</f>
        <v/>
      </c>
      <c r="N131" s="228">
        <f>0</f>
        <v/>
      </c>
      <c r="O131" s="228">
        <f>0</f>
        <v/>
      </c>
      <c r="P131" s="228">
        <f>0</f>
        <v/>
      </c>
      <c r="Q131" s="228">
        <f>0</f>
        <v/>
      </c>
      <c r="R131" s="228">
        <f>0</f>
        <v/>
      </c>
      <c r="S131" s="228">
        <f>0</f>
        <v/>
      </c>
      <c r="T131" s="228">
        <f>0</f>
        <v/>
      </c>
      <c r="U131" s="228">
        <f>0</f>
        <v/>
      </c>
      <c r="V131" s="228">
        <f>0</f>
        <v/>
      </c>
      <c r="W131" s="228">
        <f>0</f>
        <v/>
      </c>
      <c r="X131" s="228">
        <f>0</f>
        <v/>
      </c>
      <c r="Y131" s="228">
        <f>0</f>
        <v/>
      </c>
      <c r="Z131" s="228">
        <f>0</f>
        <v/>
      </c>
      <c r="AA131" s="228">
        <f>0</f>
        <v/>
      </c>
      <c r="AB131" s="228">
        <f>0</f>
        <v/>
      </c>
      <c r="AC131" s="228">
        <f>0</f>
        <v/>
      </c>
      <c r="AD131" s="228">
        <f>0</f>
        <v/>
      </c>
      <c r="AE131" s="228">
        <f>0</f>
        <v/>
      </c>
      <c r="AF131" s="228">
        <f>0</f>
        <v/>
      </c>
      <c r="AG131" s="228">
        <f>0</f>
        <v/>
      </c>
      <c r="AH131" s="228">
        <f>0</f>
        <v/>
      </c>
      <c r="AI131" s="228">
        <f>0</f>
        <v/>
      </c>
      <c r="AJ131" s="228">
        <f>0</f>
        <v/>
      </c>
      <c r="AK131" s="228">
        <f>0</f>
        <v/>
      </c>
      <c r="AL131" s="228">
        <f>0</f>
        <v/>
      </c>
      <c r="AM131" s="228">
        <f>0</f>
        <v/>
      </c>
      <c r="AN131" s="228">
        <f>0</f>
        <v/>
      </c>
      <c r="AO131" s="228">
        <f>0</f>
        <v/>
      </c>
      <c r="AP131" s="228">
        <f>0</f>
        <v/>
      </c>
      <c r="AQ131" s="228">
        <f>0</f>
        <v/>
      </c>
      <c r="AR131" s="228">
        <f>0</f>
        <v/>
      </c>
      <c r="AS131" s="228">
        <f>0</f>
        <v/>
      </c>
      <c r="AT131" s="228">
        <f>0</f>
        <v/>
      </c>
      <c r="AU131" s="228">
        <f>0</f>
        <v/>
      </c>
      <c r="AV131" s="228">
        <f>0</f>
        <v/>
      </c>
      <c r="AW131" s="228">
        <f>0</f>
        <v/>
      </c>
      <c r="AX131" s="228">
        <f>0</f>
        <v/>
      </c>
      <c r="AY131" s="228">
        <f>0</f>
        <v/>
      </c>
      <c r="AZ131" s="228">
        <f>0</f>
        <v/>
      </c>
      <c r="BA131" s="228">
        <f>0</f>
        <v/>
      </c>
      <c r="BB131" s="228">
        <f>0</f>
        <v/>
      </c>
      <c r="BC131" s="228">
        <f>0</f>
        <v/>
      </c>
      <c r="BD131" s="228">
        <f>0</f>
        <v/>
      </c>
      <c r="BE131" s="228">
        <f>0</f>
        <v/>
      </c>
      <c r="BF131" s="228">
        <f>0</f>
        <v/>
      </c>
      <c r="BG131" s="228">
        <f>0</f>
        <v/>
      </c>
      <c r="BH131" s="228">
        <f>0</f>
        <v/>
      </c>
      <c r="BI131" s="228">
        <f>0</f>
        <v/>
      </c>
      <c r="BJ131" s="228">
        <f>0</f>
        <v/>
      </c>
      <c r="BK131" s="228">
        <f>0</f>
        <v/>
      </c>
      <c r="BL131" s="228">
        <f>0</f>
        <v/>
      </c>
      <c r="BM131" s="228">
        <f>0</f>
        <v/>
      </c>
      <c r="BN131" s="228">
        <f>0</f>
        <v/>
      </c>
      <c r="BO131" s="228">
        <f>0</f>
        <v/>
      </c>
      <c r="BP131" s="228">
        <f>0</f>
        <v/>
      </c>
      <c r="BQ131" s="228">
        <f>0</f>
        <v/>
      </c>
      <c r="BR131" s="228">
        <f>0</f>
        <v/>
      </c>
      <c r="BS131" s="228">
        <f>0</f>
        <v/>
      </c>
      <c r="BT131" s="228">
        <f>0</f>
        <v/>
      </c>
      <c r="BU131" s="228">
        <f>0</f>
        <v/>
      </c>
      <c r="BV131" s="228">
        <f>0</f>
        <v/>
      </c>
      <c r="BW131" s="228">
        <f>0</f>
        <v/>
      </c>
      <c r="BX131" s="228">
        <f>0</f>
        <v/>
      </c>
      <c r="BY131" s="228">
        <f>0</f>
        <v/>
      </c>
      <c r="BZ131" s="228">
        <f>0</f>
        <v/>
      </c>
      <c r="CA131" s="228">
        <f>0</f>
        <v/>
      </c>
      <c r="CB131" s="228">
        <f>0</f>
        <v/>
      </c>
      <c r="CC131" s="228">
        <f>0</f>
        <v/>
      </c>
      <c r="CD131" s="228">
        <f>0</f>
        <v/>
      </c>
      <c r="CE131" s="228">
        <f>0</f>
        <v/>
      </c>
      <c r="CF131" s="228">
        <f>0</f>
        <v/>
      </c>
      <c r="CG131" s="228">
        <f>0</f>
        <v/>
      </c>
      <c r="CH131" s="228">
        <f>0</f>
        <v/>
      </c>
      <c r="CI131" s="228">
        <f>0</f>
        <v/>
      </c>
      <c r="CJ131" s="228">
        <f>0</f>
        <v/>
      </c>
      <c r="CK131" s="228">
        <f>0</f>
        <v/>
      </c>
      <c r="CL131" s="228">
        <f>0</f>
        <v/>
      </c>
      <c r="CM131" s="228">
        <f>0</f>
        <v/>
      </c>
      <c r="CN131" s="228">
        <f>0</f>
        <v/>
      </c>
      <c r="CO131" s="228">
        <f>0</f>
        <v/>
      </c>
      <c r="CP131" s="228">
        <f>0</f>
        <v/>
      </c>
      <c r="CQ131" s="228">
        <f>0</f>
        <v/>
      </c>
      <c r="CR131" s="228">
        <f>0</f>
        <v/>
      </c>
      <c r="CS131" s="228">
        <f>0</f>
        <v/>
      </c>
      <c r="CT131" s="228">
        <f>0</f>
        <v/>
      </c>
      <c r="CU131" s="228">
        <f>0</f>
        <v/>
      </c>
      <c r="CV131" s="228">
        <f>0</f>
        <v/>
      </c>
      <c r="CW131" s="228">
        <f>0</f>
        <v/>
      </c>
      <c r="CX131" s="228">
        <f>0</f>
        <v/>
      </c>
      <c r="CY131" s="228">
        <f>0</f>
        <v/>
      </c>
      <c r="CZ131" s="228">
        <f>0</f>
        <v/>
      </c>
      <c r="DA131" s="228">
        <f>0</f>
        <v/>
      </c>
      <c r="DB131" s="228">
        <f>0</f>
        <v/>
      </c>
      <c r="DC131" s="228">
        <f>0</f>
        <v/>
      </c>
      <c r="DD131" s="228">
        <f>0</f>
        <v/>
      </c>
      <c r="DE131" s="228">
        <f>0</f>
        <v/>
      </c>
      <c r="DF131" s="228">
        <f>0</f>
        <v/>
      </c>
      <c r="DG131" s="228">
        <f>0</f>
        <v/>
      </c>
      <c r="DH131" s="228">
        <f>0</f>
        <v/>
      </c>
      <c r="DI131" s="228">
        <f>0</f>
        <v/>
      </c>
      <c r="DJ131" s="228">
        <f>0</f>
        <v/>
      </c>
      <c r="DK131" s="228">
        <f>0</f>
        <v/>
      </c>
      <c r="DL131" s="228">
        <f>0</f>
        <v/>
      </c>
      <c r="DM131" s="228">
        <f>0</f>
        <v/>
      </c>
      <c r="DN131" s="228">
        <f>0</f>
        <v/>
      </c>
      <c r="DO131" s="228">
        <f>0</f>
        <v/>
      </c>
      <c r="DP131" s="228">
        <f>0</f>
        <v/>
      </c>
      <c r="DQ131" s="228">
        <f>0</f>
        <v/>
      </c>
      <c r="DR131" s="228">
        <f>0</f>
        <v/>
      </c>
      <c r="DS131" s="228">
        <f>0</f>
        <v/>
      </c>
      <c r="DT131" s="228">
        <f>0</f>
        <v/>
      </c>
    </row>
    <row r="132" ht="15" customHeight="1" s="148">
      <c r="A132" s="110" t="inlineStr">
        <is>
          <t>NCF After Leverage</t>
        </is>
      </c>
      <c r="C132" s="228">
        <f>SUM(D132:DT132)</f>
        <v/>
      </c>
      <c r="D132" s="228">
        <f>SUM(D$113,D$114,D$115,D$116,D$117,D$118,D$119,D$120,D$121,D$122,D$123,D$124,D$125,D$126,D$127,D$128,D$129,D$130,D$131)</f>
        <v/>
      </c>
      <c r="E132" s="228">
        <f>SUM(E$113,E$114,E$115,E$116,E$117,E$118,E$119,E$120,E$121,E$122,E$123,E$124,E$125,E$126,E$127,E$128,E$129,E$130,E$131)</f>
        <v/>
      </c>
      <c r="F132" s="228">
        <f>SUM(F$113,F$114,F$115,F$116,F$117,F$118,F$119,F$120,F$121,F$122,F$123,F$124,F$125,F$126,F$127,F$128,F$129,F$130,F$131)</f>
        <v/>
      </c>
      <c r="G132" s="228">
        <f>SUM(G$113,G$114,G$115,G$116,G$117,G$118,G$119,G$120,G$121,G$122,G$123,G$124,G$125,G$126,G$127,G$128,G$129,G$130,G$131)</f>
        <v/>
      </c>
      <c r="H132" s="228">
        <f>SUM(H$113,H$114,H$115,H$116,H$117,H$118,H$119,H$120,H$121,H$122,H$123,H$124,H$125,H$126,H$127,H$128,H$129,H$130,H$131)</f>
        <v/>
      </c>
      <c r="I132" s="228">
        <f>SUM(I$113,I$114,I$115,I$116,I$117,I$118,I$119,I$120,I$121,I$122,I$123,I$124,I$125,I$126,I$127,I$128,I$129,I$130,I$131)</f>
        <v/>
      </c>
      <c r="J132" s="228">
        <f>SUM(J$113,J$114,J$115,J$116,J$117,J$118,J$119,J$120,J$121,J$122,J$123,J$124,J$125,J$126,J$127,J$128,J$129,J$130,J$131)</f>
        <v/>
      </c>
      <c r="K132" s="228">
        <f>SUM(K$113,K$114,K$115,K$116,K$117,K$118,K$119,K$120,K$121,K$122,K$123,K$124,K$125,K$126,K$127,K$128,K$129,K$130,K$131)</f>
        <v/>
      </c>
      <c r="L132" s="228">
        <f>SUM(L$113,L$114,L$115,L$116,L$117,L$118,L$119,L$120,L$121,L$122,L$123,L$124,L$125,L$126,L$127,L$128,L$129,L$130,L$131)</f>
        <v/>
      </c>
      <c r="M132" s="228">
        <f>SUM(M$113,M$114,M$115,M$116,M$117,M$118,M$119,M$120,M$121,M$122,M$123,M$124,M$125,M$126,M$127,M$128,M$129,M$130,M$131)</f>
        <v/>
      </c>
      <c r="N132" s="228">
        <f>SUM(N$113,N$114,N$115,N$116,N$117,N$118,N$119,N$120,N$121,N$122,N$123,N$124,N$125,N$126,N$127,N$128,N$129,N$130,N$131)</f>
        <v/>
      </c>
      <c r="O132" s="228">
        <f>SUM(O$113,O$114,O$115,O$116,O$117,O$118,O$119,O$120,O$121,O$122,O$123,O$124,O$125,O$126,O$127,O$128,O$129,O$130,O$131)</f>
        <v/>
      </c>
      <c r="P132" s="228">
        <f>SUM(P$113,P$114,P$115,P$116,P$117,P$118,P$119,P$120,P$121,P$122,P$123,P$124,P$125,P$126,P$127,P$128,P$129,P$130,P$131)</f>
        <v/>
      </c>
      <c r="Q132" s="228">
        <f>SUM(Q$113,Q$114,Q$115,Q$116,Q$117,Q$118,Q$119,Q$120,Q$121,Q$122,Q$123,Q$124,Q$125,Q$126,Q$127,Q$128,Q$129,Q$130,Q$131)</f>
        <v/>
      </c>
      <c r="R132" s="228">
        <f>SUM(R$113,R$114,R$115,R$116,R$117,R$118,R$119,R$120,R$121,R$122,R$123,R$124,R$125,R$126,R$127,R$128,R$129,R$130,R$131)</f>
        <v/>
      </c>
      <c r="S132" s="228">
        <f>SUM(S$113,S$114,S$115,S$116,S$117,S$118,S$119,S$120,S$121,S$122,S$123,S$124,S$125,S$126,S$127,S$128,S$129,S$130,S$131)</f>
        <v/>
      </c>
      <c r="T132" s="228">
        <f>SUM(T$113,T$114,T$115,T$116,T$117,T$118,T$119,T$120,T$121,T$122,T$123,T$124,T$125,T$126,T$127,T$128,T$129,T$130,T$131)</f>
        <v/>
      </c>
      <c r="U132" s="228">
        <f>SUM(U$113,U$114,U$115,U$116,U$117,U$118,U$119,U$120,U$121,U$122,U$123,U$124,U$125,U$126,U$127,U$128,U$129,U$130,U$131)</f>
        <v/>
      </c>
      <c r="V132" s="228">
        <f>SUM(V$113,V$114,V$115,V$116,V$117,V$118,V$119,V$120,V$121,V$122,V$123,V$124,V$125,V$126,V$127,V$128,V$129,V$130,V$131)</f>
        <v/>
      </c>
      <c r="W132" s="228">
        <f>SUM(W$113,W$114,W$115,W$116,W$117,W$118,W$119,W$120,W$121,W$122,W$123,W$124,W$125,W$126,W$127,W$128,W$129,W$130,W$131)</f>
        <v/>
      </c>
      <c r="X132" s="228">
        <f>SUM(X$113,X$114,X$115,X$116,X$117,X$118,X$119,X$120,X$121,X$122,X$123,X$124,X$125,X$126,X$127,X$128,X$129,X$130,X$131)</f>
        <v/>
      </c>
      <c r="Y132" s="228">
        <f>SUM(Y$113,Y$114,Y$115,Y$116,Y$117,Y$118,Y$119,Y$120,Y$121,Y$122,Y$123,Y$124,Y$125,Y$126,Y$127,Y$128,Y$129,Y$130,Y$131)</f>
        <v/>
      </c>
      <c r="Z132" s="228">
        <f>SUM(Z$113,Z$114,Z$115,Z$116,Z$117,Z$118,Z$119,Z$120,Z$121,Z$122,Z$123,Z$124,Z$125,Z$126,Z$127,Z$128,Z$129,Z$130,Z$131)</f>
        <v/>
      </c>
      <c r="AA132" s="228">
        <f>SUM(AA$113,AA$114,AA$115,AA$116,AA$117,AA$118,AA$119,AA$120,AA$121,AA$122,AA$123,AA$124,AA$125,AA$126,AA$127,AA$128,AA$129,AA$130,AA$131)</f>
        <v/>
      </c>
      <c r="AB132" s="228">
        <f>SUM(AB$113,AB$114,AB$115,AB$116,AB$117,AB$118,AB$119,AB$120,AB$121,AB$122,AB$123,AB$124,AB$125,AB$126,AB$127,AB$128,AB$129,AB$130,AB$131)</f>
        <v/>
      </c>
      <c r="AC132" s="228">
        <f>SUM(AC$113,AC$114,AC$115,AC$116,AC$117,AC$118,AC$119,AC$120,AC$121,AC$122,AC$123,AC$124,AC$125,AC$126,AC$127,AC$128,AC$129,AC$130,AC$131)</f>
        <v/>
      </c>
      <c r="AD132" s="228">
        <f>SUM(AD$113,AD$114,AD$115,AD$116,AD$117,AD$118,AD$119,AD$120,AD$121,AD$122,AD$123,AD$124,AD$125,AD$126,AD$127,AD$128,AD$129,AD$130,AD$131)</f>
        <v/>
      </c>
      <c r="AE132" s="228">
        <f>SUM(AE$113,AE$114,AE$115,AE$116,AE$117,AE$118,AE$119,AE$120,AE$121,AE$122,AE$123,AE$124,AE$125,AE$126,AE$127,AE$128,AE$129,AE$130,AE$131)</f>
        <v/>
      </c>
      <c r="AF132" s="228">
        <f>SUM(AF$113,AF$114,AF$115,AF$116,AF$117,AF$118,AF$119,AF$120,AF$121,AF$122,AF$123,AF$124,AF$125,AF$126,AF$127,AF$128,AF$129,AF$130,AF$131)</f>
        <v/>
      </c>
      <c r="AG132" s="228">
        <f>SUM(AG$113,AG$114,AG$115,AG$116,AG$117,AG$118,AG$119,AG$120,AG$121,AG$122,AG$123,AG$124,AG$125,AG$126,AG$127,AG$128,AG$129,AG$130,AG$131)</f>
        <v/>
      </c>
      <c r="AH132" s="228">
        <f>SUM(AH$113,AH$114,AH$115,AH$116,AH$117,AH$118,AH$119,AH$120,AH$121,AH$122,AH$123,AH$124,AH$125,AH$126,AH$127,AH$128,AH$129,AH$130,AH$131)</f>
        <v/>
      </c>
      <c r="AI132" s="228">
        <f>SUM(AI$113,AI$114,AI$115,AI$116,AI$117,AI$118,AI$119,AI$120,AI$121,AI$122,AI$123,AI$124,AI$125,AI$126,AI$127,AI$128,AI$129,AI$130,AI$131)</f>
        <v/>
      </c>
      <c r="AJ132" s="228">
        <f>SUM(AJ$113,AJ$114,AJ$115,AJ$116,AJ$117,AJ$118,AJ$119,AJ$120,AJ$121,AJ$122,AJ$123,AJ$124,AJ$125,AJ$126,AJ$127,AJ$128,AJ$129,AJ$130,AJ$131)</f>
        <v/>
      </c>
      <c r="AK132" s="228">
        <f>SUM(AK$113,AK$114,AK$115,AK$116,AK$117,AK$118,AK$119,AK$120,AK$121,AK$122,AK$123,AK$124,AK$125,AK$126,AK$127,AK$128,AK$129,AK$130,AK$131)</f>
        <v/>
      </c>
      <c r="AL132" s="228">
        <f>SUM(AL$113,AL$114,AL$115,AL$116,AL$117,AL$118,AL$119,AL$120,AL$121,AL$122,AL$123,AL$124,AL$125,AL$126,AL$127,AL$128,AL$129,AL$130,AL$131)</f>
        <v/>
      </c>
      <c r="AM132" s="228">
        <f>SUM(AM$113,AM$114,AM$115,AM$116,AM$117,AM$118,AM$119,AM$120,AM$121,AM$122,AM$123,AM$124,AM$125,AM$126,AM$127,AM$128,AM$129,AM$130,AM$131)</f>
        <v/>
      </c>
      <c r="AN132" s="228">
        <f>SUM(AN$113,AN$114,AN$115,AN$116,AN$117,AN$118,AN$119,AN$120,AN$121,AN$122,AN$123,AN$124,AN$125,AN$126,AN$127,AN$128,AN$129,AN$130,AN$131)</f>
        <v/>
      </c>
      <c r="AO132" s="228">
        <f>SUM(AO$113,AO$114,AO$115,AO$116,AO$117,AO$118,AO$119,AO$120,AO$121,AO$122,AO$123,AO$124,AO$125,AO$126,AO$127,AO$128,AO$129,AO$130,AO$131)</f>
        <v/>
      </c>
      <c r="AP132" s="228">
        <f>SUM(AP$113,AP$114,AP$115,AP$116,AP$117,AP$118,AP$119,AP$120,AP$121,AP$122,AP$123,AP$124,AP$125,AP$126,AP$127,AP$128,AP$129,AP$130,AP$131)</f>
        <v/>
      </c>
      <c r="AQ132" s="228">
        <f>SUM(AQ$113,AQ$114,AQ$115,AQ$116,AQ$117,AQ$118,AQ$119,AQ$120,AQ$121,AQ$122,AQ$123,AQ$124,AQ$125,AQ$126,AQ$127,AQ$128,AQ$129,AQ$130,AQ$131)</f>
        <v/>
      </c>
      <c r="AR132" s="228">
        <f>SUM(AR$113,AR$114,AR$115,AR$116,AR$117,AR$118,AR$119,AR$120,AR$121,AR$122,AR$123,AR$124,AR$125,AR$126,AR$127,AR$128,AR$129,AR$130,AR$131)</f>
        <v/>
      </c>
      <c r="AS132" s="228">
        <f>SUM(AS$113,AS$114,AS$115,AS$116,AS$117,AS$118,AS$119,AS$120,AS$121,AS$122,AS$123,AS$124,AS$125,AS$126,AS$127,AS$128,AS$129,AS$130,AS$131)</f>
        <v/>
      </c>
      <c r="AT132" s="228">
        <f>SUM(AT$113,AT$114,AT$115,AT$116,AT$117,AT$118,AT$119,AT$120,AT$121,AT$122,AT$123,AT$124,AT$125,AT$126,AT$127,AT$128,AT$129,AT$130,AT$131)</f>
        <v/>
      </c>
      <c r="AU132" s="228">
        <f>SUM(AU$113,AU$114,AU$115,AU$116,AU$117,AU$118,AU$119,AU$120,AU$121,AU$122,AU$123,AU$124,AU$125,AU$126,AU$127,AU$128,AU$129,AU$130,AU$131)</f>
        <v/>
      </c>
      <c r="AV132" s="228">
        <f>SUM(AV$113,AV$114,AV$115,AV$116,AV$117,AV$118,AV$119,AV$120,AV$121,AV$122,AV$123,AV$124,AV$125,AV$126,AV$127,AV$128,AV$129,AV$130,AV$131)</f>
        <v/>
      </c>
      <c r="AW132" s="228">
        <f>SUM(AW$113,AW$114,AW$115,AW$116,AW$117,AW$118,AW$119,AW$120,AW$121,AW$122,AW$123,AW$124,AW$125,AW$126,AW$127,AW$128,AW$129,AW$130,AW$131)</f>
        <v/>
      </c>
      <c r="AX132" s="228">
        <f>SUM(AX$113,AX$114,AX$115,AX$116,AX$117,AX$118,AX$119,AX$120,AX$121,AX$122,AX$123,AX$124,AX$125,AX$126,AX$127,AX$128,AX$129,AX$130,AX$131)</f>
        <v/>
      </c>
      <c r="AY132" s="228">
        <f>SUM(AY$113,AY$114,AY$115,AY$116,AY$117,AY$118,AY$119,AY$120,AY$121,AY$122,AY$123,AY$124,AY$125,AY$126,AY$127,AY$128,AY$129,AY$130,AY$131)</f>
        <v/>
      </c>
      <c r="AZ132" s="228">
        <f>SUM(AZ$113,AZ$114,AZ$115,AZ$116,AZ$117,AZ$118,AZ$119,AZ$120,AZ$121,AZ$122,AZ$123,AZ$124,AZ$125,AZ$126,AZ$127,AZ$128,AZ$129,AZ$130,AZ$131)</f>
        <v/>
      </c>
      <c r="BA132" s="228">
        <f>SUM(BA$113,BA$114,BA$115,BA$116,BA$117,BA$118,BA$119,BA$120,BA$121,BA$122,BA$123,BA$124,BA$125,BA$126,BA$127,BA$128,BA$129,BA$130,BA$131)</f>
        <v/>
      </c>
      <c r="BB132" s="228">
        <f>SUM(BB$113,BB$114,BB$115,BB$116,BB$117,BB$118,BB$119,BB$120,BB$121,BB$122,BB$123,BB$124,BB$125,BB$126,BB$127,BB$128,BB$129,BB$130,BB$131)</f>
        <v/>
      </c>
      <c r="BC132" s="228">
        <f>SUM(BC$113,BC$114,BC$115,BC$116,BC$117,BC$118,BC$119,BC$120,BC$121,BC$122,BC$123,BC$124,BC$125,BC$126,BC$127,BC$128,BC$129,BC$130,BC$131)</f>
        <v/>
      </c>
      <c r="BD132" s="228">
        <f>SUM(BD$113,BD$114,BD$115,BD$116,BD$117,BD$118,BD$119,BD$120,BD$121,BD$122,BD$123,BD$124,BD$125,BD$126,BD$127,BD$128,BD$129,BD$130,BD$131)</f>
        <v/>
      </c>
      <c r="BE132" s="228">
        <f>SUM(BE$113,BE$114,BE$115,BE$116,BE$117,BE$118,BE$119,BE$120,BE$121,BE$122,BE$123,BE$124,BE$125,BE$126,BE$127,BE$128,BE$129,BE$130,BE$131)</f>
        <v/>
      </c>
      <c r="BF132" s="228">
        <f>SUM(BF$113,BF$114,BF$115,BF$116,BF$117,BF$118,BF$119,BF$120,BF$121,BF$122,BF$123,BF$124,BF$125,BF$126,BF$127,BF$128,BF$129,BF$130,BF$131)</f>
        <v/>
      </c>
      <c r="BG132" s="228">
        <f>SUM(BG$113,BG$114,BG$115,BG$116,BG$117,BG$118,BG$119,BG$120,BG$121,BG$122,BG$123,BG$124,BG$125,BG$126,BG$127,BG$128,BG$129,BG$130,BG$131)</f>
        <v/>
      </c>
      <c r="BH132" s="228">
        <f>SUM(BH$113,BH$114,BH$115,BH$116,BH$117,BH$118,BH$119,BH$120,BH$121,BH$122,BH$123,BH$124,BH$125,BH$126,BH$127,BH$128,BH$129,BH$130,BH$131)</f>
        <v/>
      </c>
      <c r="BI132" s="228">
        <f>SUM(BI$113,BI$114,BI$115,BI$116,BI$117,BI$118,BI$119,BI$120,BI$121,BI$122,BI$123,BI$124,BI$125,BI$126,BI$127,BI$128,BI$129,BI$130,BI$131)</f>
        <v/>
      </c>
      <c r="BJ132" s="228">
        <f>SUM(BJ$113,BJ$114,BJ$115,BJ$116,BJ$117,BJ$118,BJ$119,BJ$120,BJ$121,BJ$122,BJ$123,BJ$124,BJ$125,BJ$126,BJ$127,BJ$128,BJ$129,BJ$130,BJ$131)</f>
        <v/>
      </c>
      <c r="BK132" s="228">
        <f>SUM(BK$113,BK$114,BK$115,BK$116,BK$117,BK$118,BK$119,BK$120,BK$121,BK$122,BK$123,BK$124,BK$125,BK$126,BK$127,BK$128,BK$129,BK$130,BK$131)</f>
        <v/>
      </c>
      <c r="BL132" s="228">
        <f>SUM(BL$113,BL$114,BL$115,BL$116,BL$117,BL$118,BL$119,BL$120,BL$121,BL$122,BL$123,BL$124,BL$125,BL$126,BL$127,BL$128,BL$129,BL$130,BL$131)</f>
        <v/>
      </c>
      <c r="BM132" s="228">
        <f>SUM(BM$113,BM$114,BM$115,BM$116,BM$117,BM$118,BM$119,BM$120,BM$121,BM$122,BM$123,BM$124,BM$125,BM$126,BM$127,BM$128,BM$129,BM$130,BM$131)</f>
        <v/>
      </c>
      <c r="BN132" s="228">
        <f>SUM(BN$113,BN$114,BN$115,BN$116,BN$117,BN$118,BN$119,BN$120,BN$121,BN$122,BN$123,BN$124,BN$125,BN$126,BN$127,BN$128,BN$129,BN$130,BN$131)</f>
        <v/>
      </c>
      <c r="BO132" s="228">
        <f>SUM(BO$113,BO$114,BO$115,BO$116,BO$117,BO$118,BO$119,BO$120,BO$121,BO$122,BO$123,BO$124,BO$125,BO$126,BO$127,BO$128,BO$129,BO$130,BO$131)</f>
        <v/>
      </c>
      <c r="BP132" s="228">
        <f>SUM(BP$113,BP$114,BP$115,BP$116,BP$117,BP$118,BP$119,BP$120,BP$121,BP$122,BP$123,BP$124,BP$125,BP$126,BP$127,BP$128,BP$129,BP$130,BP$131)</f>
        <v/>
      </c>
      <c r="BQ132" s="228">
        <f>SUM(BQ$113,BQ$114,BQ$115,BQ$116,BQ$117,BQ$118,BQ$119,BQ$120,BQ$121,BQ$122,BQ$123,BQ$124,BQ$125,BQ$126,BQ$127,BQ$128,BQ$129,BQ$130,BQ$131)</f>
        <v/>
      </c>
      <c r="BR132" s="228">
        <f>SUM(BR$113,BR$114,BR$115,BR$116,BR$117,BR$118,BR$119,BR$120,BR$121,BR$122,BR$123,BR$124,BR$125,BR$126,BR$127,BR$128,BR$129,BR$130,BR$131)</f>
        <v/>
      </c>
      <c r="BS132" s="228">
        <f>SUM(BS$113,BS$114,BS$115,BS$116,BS$117,BS$118,BS$119,BS$120,BS$121,BS$122,BS$123,BS$124,BS$125,BS$126,BS$127,BS$128,BS$129,BS$130,BS$131)</f>
        <v/>
      </c>
      <c r="BT132" s="228">
        <f>SUM(BT$113,BT$114,BT$115,BT$116,BT$117,BT$118,BT$119,BT$120,BT$121,BT$122,BT$123,BT$124,BT$125,BT$126,BT$127,BT$128,BT$129,BT$130,BT$131)</f>
        <v/>
      </c>
      <c r="BU132" s="228">
        <f>SUM(BU$113,BU$114,BU$115,BU$116,BU$117,BU$118,BU$119,BU$120,BU$121,BU$122,BU$123,BU$124,BU$125,BU$126,BU$127,BU$128,BU$129,BU$130,BU$131)</f>
        <v/>
      </c>
      <c r="BV132" s="228">
        <f>SUM(BV$113,BV$114,BV$115,BV$116,BV$117,BV$118,BV$119,BV$120,BV$121,BV$122,BV$123,BV$124,BV$125,BV$126,BV$127,BV$128,BV$129,BV$130,BV$131)</f>
        <v/>
      </c>
      <c r="BW132" s="228">
        <f>SUM(BW$113,BW$114,BW$115,BW$116,BW$117,BW$118,BW$119,BW$120,BW$121,BW$122,BW$123,BW$124,BW$125,BW$126,BW$127,BW$128,BW$129,BW$130,BW$131)</f>
        <v/>
      </c>
      <c r="BX132" s="228">
        <f>SUM(BX$113,BX$114,BX$115,BX$116,BX$117,BX$118,BX$119,BX$120,BX$121,BX$122,BX$123,BX$124,BX$125,BX$126,BX$127,BX$128,BX$129,BX$130,BX$131)</f>
        <v/>
      </c>
      <c r="BY132" s="228">
        <f>SUM(BY$113,BY$114,BY$115,BY$116,BY$117,BY$118,BY$119,BY$120,BY$121,BY$122,BY$123,BY$124,BY$125,BY$126,BY$127,BY$128,BY$129,BY$130,BY$131)</f>
        <v/>
      </c>
      <c r="BZ132" s="228">
        <f>SUM(BZ$113,BZ$114,BZ$115,BZ$116,BZ$117,BZ$118,BZ$119,BZ$120,BZ$121,BZ$122,BZ$123,BZ$124,BZ$125,BZ$126,BZ$127,BZ$128,BZ$129,BZ$130,BZ$131)</f>
        <v/>
      </c>
      <c r="CA132" s="228">
        <f>SUM(CA$113,CA$114,CA$115,CA$116,CA$117,CA$118,CA$119,CA$120,CA$121,CA$122,CA$123,CA$124,CA$125,CA$126,CA$127,CA$128,CA$129,CA$130,CA$131)</f>
        <v/>
      </c>
      <c r="CB132" s="228">
        <f>SUM(CB$113,CB$114,CB$115,CB$116,CB$117,CB$118,CB$119,CB$120,CB$121,CB$122,CB$123,CB$124,CB$125,CB$126,CB$127,CB$128,CB$129,CB$130,CB$131)</f>
        <v/>
      </c>
      <c r="CC132" s="228">
        <f>SUM(CC$113,CC$114,CC$115,CC$116,CC$117,CC$118,CC$119,CC$120,CC$121,CC$122,CC$123,CC$124,CC$125,CC$126,CC$127,CC$128,CC$129,CC$130,CC$131)</f>
        <v/>
      </c>
      <c r="CD132" s="228">
        <f>SUM(CD$113,CD$114,CD$115,CD$116,CD$117,CD$118,CD$119,CD$120,CD$121,CD$122,CD$123,CD$124,CD$125,CD$126,CD$127,CD$128,CD$129,CD$130,CD$131)</f>
        <v/>
      </c>
      <c r="CE132" s="228">
        <f>SUM(CE$113,CE$114,CE$115,CE$116,CE$117,CE$118,CE$119,CE$120,CE$121,CE$122,CE$123,CE$124,CE$125,CE$126,CE$127,CE$128,CE$129,CE$130,CE$131)</f>
        <v/>
      </c>
      <c r="CF132" s="228">
        <f>SUM(CF$113,CF$114,CF$115,CF$116,CF$117,CF$118,CF$119,CF$120,CF$121,CF$122,CF$123,CF$124,CF$125,CF$126,CF$127,CF$128,CF$129,CF$130,CF$131)</f>
        <v/>
      </c>
      <c r="CG132" s="228">
        <f>SUM(CG$113,CG$114,CG$115,CG$116,CG$117,CG$118,CG$119,CG$120,CG$121,CG$122,CG$123,CG$124,CG$125,CG$126,CG$127,CG$128,CG$129,CG$130,CG$131)</f>
        <v/>
      </c>
      <c r="CH132" s="228">
        <f>SUM(CH$113,CH$114,CH$115,CH$116,CH$117,CH$118,CH$119,CH$120,CH$121,CH$122,CH$123,CH$124,CH$125,CH$126,CH$127,CH$128,CH$129,CH$130,CH$131)</f>
        <v/>
      </c>
      <c r="CI132" s="228">
        <f>SUM(CI$113,CI$114,CI$115,CI$116,CI$117,CI$118,CI$119,CI$120,CI$121,CI$122,CI$123,CI$124,CI$125,CI$126,CI$127,CI$128,CI$129,CI$130,CI$131)</f>
        <v/>
      </c>
      <c r="CJ132" s="228">
        <f>SUM(CJ$113,CJ$114,CJ$115,CJ$116,CJ$117,CJ$118,CJ$119,CJ$120,CJ$121,CJ$122,CJ$123,CJ$124,CJ$125,CJ$126,CJ$127,CJ$128,CJ$129,CJ$130,CJ$131)</f>
        <v/>
      </c>
      <c r="CK132" s="228">
        <f>SUM(CK$113,CK$114,CK$115,CK$116,CK$117,CK$118,CK$119,CK$120,CK$121,CK$122,CK$123,CK$124,CK$125,CK$126,CK$127,CK$128,CK$129,CK$130,CK$131)</f>
        <v/>
      </c>
      <c r="CL132" s="228">
        <f>SUM(CL$113,CL$114,CL$115,CL$116,CL$117,CL$118,CL$119,CL$120,CL$121,CL$122,CL$123,CL$124,CL$125,CL$126,CL$127,CL$128,CL$129,CL$130,CL$131)</f>
        <v/>
      </c>
      <c r="CM132" s="228">
        <f>SUM(CM$113,CM$114,CM$115,CM$116,CM$117,CM$118,CM$119,CM$120,CM$121,CM$122,CM$123,CM$124,CM$125,CM$126,CM$127,CM$128,CM$129,CM$130,CM$131)</f>
        <v/>
      </c>
      <c r="CN132" s="228">
        <f>SUM(CN$113,CN$114,CN$115,CN$116,CN$117,CN$118,CN$119,CN$120,CN$121,CN$122,CN$123,CN$124,CN$125,CN$126,CN$127,CN$128,CN$129,CN$130,CN$131)</f>
        <v/>
      </c>
      <c r="CO132" s="228">
        <f>SUM(CO$113,CO$114,CO$115,CO$116,CO$117,CO$118,CO$119,CO$120,CO$121,CO$122,CO$123,CO$124,CO$125,CO$126,CO$127,CO$128,CO$129,CO$130,CO$131)</f>
        <v/>
      </c>
      <c r="CP132" s="228">
        <f>SUM(CP$113,CP$114,CP$115,CP$116,CP$117,CP$118,CP$119,CP$120,CP$121,CP$122,CP$123,CP$124,CP$125,CP$126,CP$127,CP$128,CP$129,CP$130,CP$131)</f>
        <v/>
      </c>
      <c r="CQ132" s="228">
        <f>SUM(CQ$113,CQ$114,CQ$115,CQ$116,CQ$117,CQ$118,CQ$119,CQ$120,CQ$121,CQ$122,CQ$123,CQ$124,CQ$125,CQ$126,CQ$127,CQ$128,CQ$129,CQ$130,CQ$131)</f>
        <v/>
      </c>
      <c r="CR132" s="228">
        <f>SUM(CR$113,CR$114,CR$115,CR$116,CR$117,CR$118,CR$119,CR$120,CR$121,CR$122,CR$123,CR$124,CR$125,CR$126,CR$127,CR$128,CR$129,CR$130,CR$131)</f>
        <v/>
      </c>
      <c r="CS132" s="228">
        <f>SUM(CS$113,CS$114,CS$115,CS$116,CS$117,CS$118,CS$119,CS$120,CS$121,CS$122,CS$123,CS$124,CS$125,CS$126,CS$127,CS$128,CS$129,CS$130,CS$131)</f>
        <v/>
      </c>
      <c r="CT132" s="228">
        <f>SUM(CT$113,CT$114,CT$115,CT$116,CT$117,CT$118,CT$119,CT$120,CT$121,CT$122,CT$123,CT$124,CT$125,CT$126,CT$127,CT$128,CT$129,CT$130,CT$131)</f>
        <v/>
      </c>
      <c r="CU132" s="228">
        <f>SUM(CU$113,CU$114,CU$115,CU$116,CU$117,CU$118,CU$119,CU$120,CU$121,CU$122,CU$123,CU$124,CU$125,CU$126,CU$127,CU$128,CU$129,CU$130,CU$131)</f>
        <v/>
      </c>
      <c r="CV132" s="228">
        <f>SUM(CV$113,CV$114,CV$115,CV$116,CV$117,CV$118,CV$119,CV$120,CV$121,CV$122,CV$123,CV$124,CV$125,CV$126,CV$127,CV$128,CV$129,CV$130,CV$131)</f>
        <v/>
      </c>
      <c r="CW132" s="228">
        <f>SUM(CW$113,CW$114,CW$115,CW$116,CW$117,CW$118,CW$119,CW$120,CW$121,CW$122,CW$123,CW$124,CW$125,CW$126,CW$127,CW$128,CW$129,CW$130,CW$131)</f>
        <v/>
      </c>
      <c r="CX132" s="228">
        <f>SUM(CX$113,CX$114,CX$115,CX$116,CX$117,CX$118,CX$119,CX$120,CX$121,CX$122,CX$123,CX$124,CX$125,CX$126,CX$127,CX$128,CX$129,CX$130,CX$131)</f>
        <v/>
      </c>
      <c r="CY132" s="228">
        <f>SUM(CY$113,CY$114,CY$115,CY$116,CY$117,CY$118,CY$119,CY$120,CY$121,CY$122,CY$123,CY$124,CY$125,CY$126,CY$127,CY$128,CY$129,CY$130,CY$131)</f>
        <v/>
      </c>
      <c r="CZ132" s="228">
        <f>SUM(CZ$113,CZ$114,CZ$115,CZ$116,CZ$117,CZ$118,CZ$119,CZ$120,CZ$121,CZ$122,CZ$123,CZ$124,CZ$125,CZ$126,CZ$127,CZ$128,CZ$129,CZ$130,CZ$131)</f>
        <v/>
      </c>
      <c r="DA132" s="228">
        <f>SUM(DA$113,DA$114,DA$115,DA$116,DA$117,DA$118,DA$119,DA$120,DA$121,DA$122,DA$123,DA$124,DA$125,DA$126,DA$127,DA$128,DA$129,DA$130,DA$131)</f>
        <v/>
      </c>
      <c r="DB132" s="228">
        <f>SUM(DB$113,DB$114,DB$115,DB$116,DB$117,DB$118,DB$119,DB$120,DB$121,DB$122,DB$123,DB$124,DB$125,DB$126,DB$127,DB$128,DB$129,DB$130,DB$131)</f>
        <v/>
      </c>
      <c r="DC132" s="228">
        <f>SUM(DC$113,DC$114,DC$115,DC$116,DC$117,DC$118,DC$119,DC$120,DC$121,DC$122,DC$123,DC$124,DC$125,DC$126,DC$127,DC$128,DC$129,DC$130,DC$131)</f>
        <v/>
      </c>
      <c r="DD132" s="228">
        <f>SUM(DD$113,DD$114,DD$115,DD$116,DD$117,DD$118,DD$119,DD$120,DD$121,DD$122,DD$123,DD$124,DD$125,DD$126,DD$127,DD$128,DD$129,DD$130,DD$131)</f>
        <v/>
      </c>
      <c r="DE132" s="228">
        <f>SUM(DE$113,DE$114,DE$115,DE$116,DE$117,DE$118,DE$119,DE$120,DE$121,DE$122,DE$123,DE$124,DE$125,DE$126,DE$127,DE$128,DE$129,DE$130,DE$131)</f>
        <v/>
      </c>
      <c r="DF132" s="228">
        <f>SUM(DF$113,DF$114,DF$115,DF$116,DF$117,DF$118,DF$119,DF$120,DF$121,DF$122,DF$123,DF$124,DF$125,DF$126,DF$127,DF$128,DF$129,DF$130,DF$131)</f>
        <v/>
      </c>
      <c r="DG132" s="228">
        <f>SUM(DG$113,DG$114,DG$115,DG$116,DG$117,DG$118,DG$119,DG$120,DG$121,DG$122,DG$123,DG$124,DG$125,DG$126,DG$127,DG$128,DG$129,DG$130,DG$131)</f>
        <v/>
      </c>
      <c r="DH132" s="228">
        <f>SUM(DH$113,DH$114,DH$115,DH$116,DH$117,DH$118,DH$119,DH$120,DH$121,DH$122,DH$123,DH$124,DH$125,DH$126,DH$127,DH$128,DH$129,DH$130,DH$131)</f>
        <v/>
      </c>
      <c r="DI132" s="228">
        <f>SUM(DI$113,DI$114,DI$115,DI$116,DI$117,DI$118,DI$119,DI$120,DI$121,DI$122,DI$123,DI$124,DI$125,DI$126,DI$127,DI$128,DI$129,DI$130,DI$131)</f>
        <v/>
      </c>
      <c r="DJ132" s="228">
        <f>SUM(DJ$113,DJ$114,DJ$115,DJ$116,DJ$117,DJ$118,DJ$119,DJ$120,DJ$121,DJ$122,DJ$123,DJ$124,DJ$125,DJ$126,DJ$127,DJ$128,DJ$129,DJ$130,DJ$131)</f>
        <v/>
      </c>
      <c r="DK132" s="228">
        <f>SUM(DK$113,DK$114,DK$115,DK$116,DK$117,DK$118,DK$119,DK$120,DK$121,DK$122,DK$123,DK$124,DK$125,DK$126,DK$127,DK$128,DK$129,DK$130,DK$131)</f>
        <v/>
      </c>
      <c r="DL132" s="228">
        <f>SUM(DL$113,DL$114,DL$115,DL$116,DL$117,DL$118,DL$119,DL$120,DL$121,DL$122,DL$123,DL$124,DL$125,DL$126,DL$127,DL$128,DL$129,DL$130,DL$131)</f>
        <v/>
      </c>
      <c r="DM132" s="228">
        <f>SUM(DM$113,DM$114,DM$115,DM$116,DM$117,DM$118,DM$119,DM$120,DM$121,DM$122,DM$123,DM$124,DM$125,DM$126,DM$127,DM$128,DM$129,DM$130,DM$131)</f>
        <v/>
      </c>
      <c r="DN132" s="228">
        <f>SUM(DN$113,DN$114,DN$115,DN$116,DN$117,DN$118,DN$119,DN$120,DN$121,DN$122,DN$123,DN$124,DN$125,DN$126,DN$127,DN$128,DN$129,DN$130,DN$131)</f>
        <v/>
      </c>
      <c r="DO132" s="228">
        <f>SUM(DO$113,DO$114,DO$115,DO$116,DO$117,DO$118,DO$119,DO$120,DO$121,DO$122,DO$123,DO$124,DO$125,DO$126,DO$127,DO$128,DO$129,DO$130,DO$131)</f>
        <v/>
      </c>
      <c r="DP132" s="228">
        <f>SUM(DP$113,DP$114,DP$115,DP$116,DP$117,DP$118,DP$119,DP$120,DP$121,DP$122,DP$123,DP$124,DP$125,DP$126,DP$127,DP$128,DP$129,DP$130,DP$131)</f>
        <v/>
      </c>
      <c r="DQ132" s="228">
        <f>SUM(DQ$113,DQ$114,DQ$115,DQ$116,DQ$117,DQ$118,DQ$119,DQ$120,DQ$121,DQ$122,DQ$123,DQ$124,DQ$125,DQ$126,DQ$127,DQ$128,DQ$129,DQ$130,DQ$131)</f>
        <v/>
      </c>
      <c r="DR132" s="228">
        <f>SUM(DR$113,DR$114,DR$115,DR$116,DR$117,DR$118,DR$119,DR$120,DR$121,DR$122,DR$123,DR$124,DR$125,DR$126,DR$127,DR$128,DR$129,DR$130,DR$131)</f>
        <v/>
      </c>
      <c r="DS132" s="228">
        <f>SUM(DS$113,DS$114,DS$115,DS$116,DS$117,DS$118,DS$119,DS$120,DS$121,DS$122,DS$123,DS$124,DS$125,DS$126,DS$127,DS$128,DS$129,DS$130,DS$131)</f>
        <v/>
      </c>
      <c r="DT132" s="228">
        <f>SUM(DT$113,DT$114,DT$115,DT$116,DT$117,DT$118,DT$119,DT$120,DT$121,DT$122,DT$123,DT$124,DT$125,DT$126,DT$127,DT$128,DT$129,DT$130,DT$131)</f>
        <v/>
      </c>
    </row>
    <row r="133" ht="15" customHeight="1" s="148">
      <c r="A133" s="112" t="inlineStr">
        <is>
          <t>Cumulative NCF after Leverage</t>
        </is>
      </c>
      <c r="C133" s="228">
        <f>SUM(D133:DT133)</f>
        <v/>
      </c>
      <c r="D133" s="228">
        <f>D$132</f>
        <v/>
      </c>
      <c r="E133" s="228">
        <f>D$133+E$132</f>
        <v/>
      </c>
      <c r="F133" s="228">
        <f>E$133+F$132</f>
        <v/>
      </c>
      <c r="G133" s="228">
        <f>F$133+G$132</f>
        <v/>
      </c>
      <c r="H133" s="228">
        <f>G$133+H$132</f>
        <v/>
      </c>
      <c r="I133" s="228">
        <f>H$133+I$132</f>
        <v/>
      </c>
      <c r="J133" s="228">
        <f>I$133+J$132</f>
        <v/>
      </c>
      <c r="K133" s="228">
        <f>J$133+K$132</f>
        <v/>
      </c>
      <c r="L133" s="228">
        <f>K$133+L$132</f>
        <v/>
      </c>
      <c r="M133" s="228">
        <f>L$133+M$132</f>
        <v/>
      </c>
      <c r="N133" s="228">
        <f>M$133+N$132</f>
        <v/>
      </c>
      <c r="O133" s="228">
        <f>N$133+O$132</f>
        <v/>
      </c>
      <c r="P133" s="228">
        <f>O$133+P$132</f>
        <v/>
      </c>
      <c r="Q133" s="228">
        <f>P$133+Q$132</f>
        <v/>
      </c>
      <c r="R133" s="228">
        <f>Q$133+R$132</f>
        <v/>
      </c>
      <c r="S133" s="228">
        <f>R$133+S$132</f>
        <v/>
      </c>
      <c r="T133" s="228">
        <f>S$133+T$132</f>
        <v/>
      </c>
      <c r="U133" s="228">
        <f>T$133+U$132</f>
        <v/>
      </c>
      <c r="V133" s="228">
        <f>U$133+V$132</f>
        <v/>
      </c>
      <c r="W133" s="228">
        <f>V$133+W$132</f>
        <v/>
      </c>
      <c r="X133" s="228">
        <f>W$133+X$132</f>
        <v/>
      </c>
      <c r="Y133" s="228">
        <f>X$133+Y$132</f>
        <v/>
      </c>
      <c r="Z133" s="228">
        <f>Y$133+Z$132</f>
        <v/>
      </c>
      <c r="AA133" s="228">
        <f>Z$133+AA$132</f>
        <v/>
      </c>
      <c r="AB133" s="228">
        <f>AA$133+AB$132</f>
        <v/>
      </c>
      <c r="AC133" s="228">
        <f>AB$133+AC$132</f>
        <v/>
      </c>
      <c r="AD133" s="228">
        <f>AC$133+AD$132</f>
        <v/>
      </c>
      <c r="AE133" s="228">
        <f>AD$133+AE$132</f>
        <v/>
      </c>
      <c r="AF133" s="228">
        <f>AE$133+AF$132</f>
        <v/>
      </c>
      <c r="AG133" s="228">
        <f>AF$133+AG$132</f>
        <v/>
      </c>
      <c r="AH133" s="228">
        <f>AG$133+AH$132</f>
        <v/>
      </c>
      <c r="AI133" s="228">
        <f>AH$133+AI$132</f>
        <v/>
      </c>
      <c r="AJ133" s="228">
        <f>AI$133+AJ$132</f>
        <v/>
      </c>
      <c r="AK133" s="228">
        <f>AJ$133+AK$132</f>
        <v/>
      </c>
      <c r="AL133" s="228">
        <f>AK$133+AL$132</f>
        <v/>
      </c>
      <c r="AM133" s="228">
        <f>AL$133+AM$132</f>
        <v/>
      </c>
      <c r="AN133" s="228">
        <f>AM$133+AN$132</f>
        <v/>
      </c>
      <c r="AO133" s="228">
        <f>AN$133+AO$132</f>
        <v/>
      </c>
      <c r="AP133" s="228">
        <f>AO$133+AP$132</f>
        <v/>
      </c>
      <c r="AQ133" s="228">
        <f>AP$133+AQ$132</f>
        <v/>
      </c>
      <c r="AR133" s="228">
        <f>AQ$133+AR$132</f>
        <v/>
      </c>
      <c r="AS133" s="228">
        <f>AR$133+AS$132</f>
        <v/>
      </c>
      <c r="AT133" s="228">
        <f>AS$133+AT$132</f>
        <v/>
      </c>
      <c r="AU133" s="228">
        <f>AT$133+AU$132</f>
        <v/>
      </c>
      <c r="AV133" s="228">
        <f>AU$133+AV$132</f>
        <v/>
      </c>
      <c r="AW133" s="228">
        <f>AV$133+AW$132</f>
        <v/>
      </c>
      <c r="AX133" s="228">
        <f>AW$133+AX$132</f>
        <v/>
      </c>
      <c r="AY133" s="228">
        <f>AX$133+AY$132</f>
        <v/>
      </c>
      <c r="AZ133" s="228">
        <f>AY$133+AZ$132</f>
        <v/>
      </c>
      <c r="BA133" s="228">
        <f>AZ$133+BA$132</f>
        <v/>
      </c>
      <c r="BB133" s="228">
        <f>BA$133+BB$132</f>
        <v/>
      </c>
      <c r="BC133" s="228">
        <f>BB$133+BC$132</f>
        <v/>
      </c>
      <c r="BD133" s="228">
        <f>BC$133+BD$132</f>
        <v/>
      </c>
      <c r="BE133" s="228">
        <f>BD$133+BE$132</f>
        <v/>
      </c>
      <c r="BF133" s="228">
        <f>BE$133+BF$132</f>
        <v/>
      </c>
      <c r="BG133" s="228">
        <f>BF$133+BG$132</f>
        <v/>
      </c>
      <c r="BH133" s="228">
        <f>BG$133+BH$132</f>
        <v/>
      </c>
      <c r="BI133" s="228">
        <f>BH$133+BI$132</f>
        <v/>
      </c>
      <c r="BJ133" s="228">
        <f>BI$133+BJ$132</f>
        <v/>
      </c>
      <c r="BK133" s="228">
        <f>BJ$133+BK$132</f>
        <v/>
      </c>
      <c r="BL133" s="228">
        <f>BK$133+BL$132</f>
        <v/>
      </c>
      <c r="BM133" s="228">
        <f>BL$133+BM$132</f>
        <v/>
      </c>
      <c r="BN133" s="228">
        <f>BM$133+BN$132</f>
        <v/>
      </c>
      <c r="BO133" s="228">
        <f>BN$133+BO$132</f>
        <v/>
      </c>
      <c r="BP133" s="228">
        <f>BO$133+BP$132</f>
        <v/>
      </c>
      <c r="BQ133" s="228">
        <f>BP$133+BQ$132</f>
        <v/>
      </c>
      <c r="BR133" s="228">
        <f>BQ$133+BR$132</f>
        <v/>
      </c>
      <c r="BS133" s="228">
        <f>BR$133+BS$132</f>
        <v/>
      </c>
      <c r="BT133" s="228">
        <f>BS$133+BT$132</f>
        <v/>
      </c>
      <c r="BU133" s="228">
        <f>BT$133+BU$132</f>
        <v/>
      </c>
      <c r="BV133" s="228">
        <f>BU$133+BV$132</f>
        <v/>
      </c>
      <c r="BW133" s="228">
        <f>BV$133+BW$132</f>
        <v/>
      </c>
      <c r="BX133" s="228">
        <f>BW$133+BX$132</f>
        <v/>
      </c>
      <c r="BY133" s="228">
        <f>BX$133+BY$132</f>
        <v/>
      </c>
      <c r="BZ133" s="228">
        <f>BY$133+BZ$132</f>
        <v/>
      </c>
      <c r="CA133" s="228">
        <f>BZ$133+CA$132</f>
        <v/>
      </c>
      <c r="CB133" s="228">
        <f>CA$133+CB$132</f>
        <v/>
      </c>
      <c r="CC133" s="228">
        <f>CB$133+CC$132</f>
        <v/>
      </c>
      <c r="CD133" s="228">
        <f>CC$133+CD$132</f>
        <v/>
      </c>
      <c r="CE133" s="228">
        <f>CD$133+CE$132</f>
        <v/>
      </c>
      <c r="CF133" s="228">
        <f>CE$133+CF$132</f>
        <v/>
      </c>
      <c r="CG133" s="228">
        <f>CF$133+CG$132</f>
        <v/>
      </c>
      <c r="CH133" s="228">
        <f>CG$133+CH$132</f>
        <v/>
      </c>
      <c r="CI133" s="228">
        <f>CH$133+CI$132</f>
        <v/>
      </c>
      <c r="CJ133" s="228">
        <f>CI$133+CJ$132</f>
        <v/>
      </c>
      <c r="CK133" s="228">
        <f>CJ$133+CK$132</f>
        <v/>
      </c>
      <c r="CL133" s="228">
        <f>CK$133+CL$132</f>
        <v/>
      </c>
      <c r="CM133" s="228">
        <f>CL$133+CM$132</f>
        <v/>
      </c>
      <c r="CN133" s="228">
        <f>CM$133+CN$132</f>
        <v/>
      </c>
      <c r="CO133" s="228">
        <f>CN$133+CO$132</f>
        <v/>
      </c>
      <c r="CP133" s="228">
        <f>CO$133+CP$132</f>
        <v/>
      </c>
      <c r="CQ133" s="228">
        <f>CP$133+CQ$132</f>
        <v/>
      </c>
      <c r="CR133" s="228">
        <f>CQ$133+CR$132</f>
        <v/>
      </c>
      <c r="CS133" s="228">
        <f>CR$133+CS$132</f>
        <v/>
      </c>
      <c r="CT133" s="228">
        <f>CS$133+CT$132</f>
        <v/>
      </c>
      <c r="CU133" s="228">
        <f>CT$133+CU$132</f>
        <v/>
      </c>
      <c r="CV133" s="228">
        <f>CU$133+CV$132</f>
        <v/>
      </c>
      <c r="CW133" s="228">
        <f>CV$133+CW$132</f>
        <v/>
      </c>
      <c r="CX133" s="228">
        <f>CW$133+CX$132</f>
        <v/>
      </c>
      <c r="CY133" s="228">
        <f>CX$133+CY$132</f>
        <v/>
      </c>
      <c r="CZ133" s="228">
        <f>CY$133+CZ$132</f>
        <v/>
      </c>
      <c r="DA133" s="228">
        <f>CZ$133+DA$132</f>
        <v/>
      </c>
      <c r="DB133" s="228">
        <f>DA$133+DB$132</f>
        <v/>
      </c>
      <c r="DC133" s="228">
        <f>DB$133+DC$132</f>
        <v/>
      </c>
      <c r="DD133" s="228">
        <f>DC$133+DD$132</f>
        <v/>
      </c>
      <c r="DE133" s="228">
        <f>DD$133+DE$132</f>
        <v/>
      </c>
      <c r="DF133" s="228">
        <f>DE$133+DF$132</f>
        <v/>
      </c>
      <c r="DG133" s="228">
        <f>DF$133+DG$132</f>
        <v/>
      </c>
      <c r="DH133" s="228">
        <f>DG$133+DH$132</f>
        <v/>
      </c>
      <c r="DI133" s="228">
        <f>DH$133+DI$132</f>
        <v/>
      </c>
      <c r="DJ133" s="228">
        <f>DI$133+DJ$132</f>
        <v/>
      </c>
      <c r="DK133" s="228">
        <f>DJ$133+DK$132</f>
        <v/>
      </c>
      <c r="DL133" s="228">
        <f>DK$133+DL$132</f>
        <v/>
      </c>
      <c r="DM133" s="228">
        <f>DL$133+DM$132</f>
        <v/>
      </c>
      <c r="DN133" s="228">
        <f>DM$133+DN$132</f>
        <v/>
      </c>
      <c r="DO133" s="228">
        <f>DN$133+DO$132</f>
        <v/>
      </c>
      <c r="DP133" s="228">
        <f>DO$133+DP$132</f>
        <v/>
      </c>
      <c r="DQ133" s="228">
        <f>DP$133+DQ$132</f>
        <v/>
      </c>
      <c r="DR133" s="228">
        <f>DQ$133+DR$132</f>
        <v/>
      </c>
      <c r="DS133" s="228">
        <f>DR$133+DS$132</f>
        <v/>
      </c>
      <c r="DT133" s="228">
        <f>DS$133+DT$132</f>
        <v/>
      </c>
    </row>
    <row r="134">
      <c r="A134" t="inlineStr">
        <is>
          <t>LP Cashflow (No Promote)</t>
        </is>
      </c>
      <c r="C134">
        <f>SUM(D134:DT134)</f>
        <v/>
      </c>
      <c r="D134">
        <f>D132*Assumptions!$P$43</f>
        <v/>
      </c>
      <c r="E134">
        <f>E132*Assumptions!$P$43</f>
        <v/>
      </c>
      <c r="F134">
        <f>F132*Assumptions!$P$43</f>
        <v/>
      </c>
      <c r="G134">
        <f>G132*Assumptions!$P$43</f>
        <v/>
      </c>
      <c r="H134">
        <f>H132*Assumptions!$P$43</f>
        <v/>
      </c>
      <c r="I134">
        <f>I132*Assumptions!$P$43</f>
        <v/>
      </c>
      <c r="J134">
        <f>J132*Assumptions!$P$43</f>
        <v/>
      </c>
      <c r="K134">
        <f>K132*Assumptions!$P$43</f>
        <v/>
      </c>
      <c r="L134">
        <f>L132*Assumptions!$P$43</f>
        <v/>
      </c>
      <c r="M134">
        <f>M132*Assumptions!$P$43</f>
        <v/>
      </c>
      <c r="N134">
        <f>N132*Assumptions!$P$43</f>
        <v/>
      </c>
      <c r="O134">
        <f>O132*Assumptions!$P$43</f>
        <v/>
      </c>
      <c r="P134">
        <f>P132*Assumptions!$P$43</f>
        <v/>
      </c>
      <c r="Q134">
        <f>Q132*Assumptions!$P$43</f>
        <v/>
      </c>
      <c r="R134">
        <f>R132*Assumptions!$P$43</f>
        <v/>
      </c>
      <c r="S134">
        <f>S132*Assumptions!$P$43</f>
        <v/>
      </c>
      <c r="T134">
        <f>T132*Assumptions!$P$43</f>
        <v/>
      </c>
      <c r="U134">
        <f>U132*Assumptions!$P$43</f>
        <v/>
      </c>
      <c r="V134">
        <f>V132*Assumptions!$P$43</f>
        <v/>
      </c>
      <c r="W134">
        <f>W132*Assumptions!$P$43</f>
        <v/>
      </c>
      <c r="X134">
        <f>X132*Assumptions!$P$43</f>
        <v/>
      </c>
      <c r="Y134">
        <f>Y132*Assumptions!$P$43</f>
        <v/>
      </c>
      <c r="Z134">
        <f>Z132*Assumptions!$P$43</f>
        <v/>
      </c>
      <c r="AA134">
        <f>AA132*Assumptions!$P$43</f>
        <v/>
      </c>
      <c r="AB134">
        <f>AB132*Assumptions!$P$43</f>
        <v/>
      </c>
      <c r="AC134">
        <f>AC132*Assumptions!$P$43</f>
        <v/>
      </c>
      <c r="AD134">
        <f>AD132*Assumptions!$P$43</f>
        <v/>
      </c>
      <c r="AE134">
        <f>AE132*Assumptions!$P$43</f>
        <v/>
      </c>
      <c r="AF134">
        <f>AF132*Assumptions!$P$43</f>
        <v/>
      </c>
      <c r="AG134">
        <f>AG132*Assumptions!$P$43</f>
        <v/>
      </c>
      <c r="AH134">
        <f>AH132*Assumptions!$P$43</f>
        <v/>
      </c>
      <c r="AI134">
        <f>AI132*Assumptions!$P$43</f>
        <v/>
      </c>
      <c r="AJ134">
        <f>AJ132*Assumptions!$P$43</f>
        <v/>
      </c>
      <c r="AK134">
        <f>AK132*Assumptions!$P$43</f>
        <v/>
      </c>
      <c r="AL134">
        <f>AL132*Assumptions!$P$43</f>
        <v/>
      </c>
      <c r="AM134">
        <f>AM132*Assumptions!$P$43</f>
        <v/>
      </c>
      <c r="AN134">
        <f>AN132*Assumptions!$P$43</f>
        <v/>
      </c>
      <c r="AO134">
        <f>AO132*Assumptions!$P$43</f>
        <v/>
      </c>
      <c r="AP134">
        <f>AP132*Assumptions!$P$43</f>
        <v/>
      </c>
      <c r="AQ134">
        <f>AQ132*Assumptions!$P$43</f>
        <v/>
      </c>
      <c r="AR134">
        <f>AR132*Assumptions!$P$43</f>
        <v/>
      </c>
      <c r="AS134">
        <f>AS132*Assumptions!$P$43</f>
        <v/>
      </c>
      <c r="AT134">
        <f>AT132*Assumptions!$P$43</f>
        <v/>
      </c>
      <c r="AU134">
        <f>AU132*Assumptions!$P$43</f>
        <v/>
      </c>
      <c r="AV134">
        <f>AV132*Assumptions!$P$43</f>
        <v/>
      </c>
      <c r="AW134">
        <f>AW132*Assumptions!$P$43</f>
        <v/>
      </c>
      <c r="AX134">
        <f>AX132*Assumptions!$P$43</f>
        <v/>
      </c>
      <c r="AY134">
        <f>AY132*Assumptions!$P$43</f>
        <v/>
      </c>
      <c r="AZ134">
        <f>AZ132*Assumptions!$P$43</f>
        <v/>
      </c>
      <c r="BA134">
        <f>BA132*Assumptions!$P$43</f>
        <v/>
      </c>
      <c r="BB134">
        <f>BB132*Assumptions!$P$43</f>
        <v/>
      </c>
      <c r="BC134">
        <f>BC132*Assumptions!$P$43</f>
        <v/>
      </c>
      <c r="BD134">
        <f>BD132*Assumptions!$P$43</f>
        <v/>
      </c>
      <c r="BE134">
        <f>BE132*Assumptions!$P$43</f>
        <v/>
      </c>
      <c r="BF134">
        <f>BF132*Assumptions!$P$43</f>
        <v/>
      </c>
      <c r="BG134">
        <f>BG132*Assumptions!$P$43</f>
        <v/>
      </c>
      <c r="BH134">
        <f>BH132*Assumptions!$P$43</f>
        <v/>
      </c>
      <c r="BI134">
        <f>BI132*Assumptions!$P$43</f>
        <v/>
      </c>
      <c r="BJ134">
        <f>BJ132*Assumptions!$P$43</f>
        <v/>
      </c>
      <c r="BK134">
        <f>BK132*Assumptions!$P$43</f>
        <v/>
      </c>
      <c r="BL134">
        <f>BL132*Assumptions!$P$43</f>
        <v/>
      </c>
      <c r="BM134">
        <f>BM132*Assumptions!$P$43</f>
        <v/>
      </c>
      <c r="BN134">
        <f>BN132*Assumptions!$P$43</f>
        <v/>
      </c>
      <c r="BO134">
        <f>BO132*Assumptions!$P$43</f>
        <v/>
      </c>
      <c r="BP134">
        <f>BP132*Assumptions!$P$43</f>
        <v/>
      </c>
      <c r="BQ134">
        <f>BQ132*Assumptions!$P$43</f>
        <v/>
      </c>
      <c r="BR134">
        <f>BR132*Assumptions!$P$43</f>
        <v/>
      </c>
      <c r="BS134">
        <f>BS132*Assumptions!$P$43</f>
        <v/>
      </c>
      <c r="BT134">
        <f>BT132*Assumptions!$P$43</f>
        <v/>
      </c>
      <c r="BU134">
        <f>BU132*Assumptions!$P$43</f>
        <v/>
      </c>
      <c r="BV134">
        <f>BV132*Assumptions!$P$43</f>
        <v/>
      </c>
      <c r="BW134">
        <f>BW132*Assumptions!$P$43</f>
        <v/>
      </c>
      <c r="BX134">
        <f>BX132*Assumptions!$P$43</f>
        <v/>
      </c>
      <c r="BY134">
        <f>BY132*Assumptions!$P$43</f>
        <v/>
      </c>
      <c r="BZ134">
        <f>BZ132*Assumptions!$P$43</f>
        <v/>
      </c>
      <c r="CA134">
        <f>CA132*Assumptions!$P$43</f>
        <v/>
      </c>
      <c r="CB134">
        <f>CB132*Assumptions!$P$43</f>
        <v/>
      </c>
      <c r="CC134">
        <f>CC132*Assumptions!$P$43</f>
        <v/>
      </c>
      <c r="CD134">
        <f>CD132*Assumptions!$P$43</f>
        <v/>
      </c>
      <c r="CE134">
        <f>CE132*Assumptions!$P$43</f>
        <v/>
      </c>
      <c r="CF134">
        <f>CF132*Assumptions!$P$43</f>
        <v/>
      </c>
      <c r="CG134">
        <f>CG132*Assumptions!$P$43</f>
        <v/>
      </c>
      <c r="CH134">
        <f>CH132*Assumptions!$P$43</f>
        <v/>
      </c>
      <c r="CI134">
        <f>CI132*Assumptions!$P$43</f>
        <v/>
      </c>
      <c r="CJ134">
        <f>CJ132*Assumptions!$P$43</f>
        <v/>
      </c>
      <c r="CK134">
        <f>CK132*Assumptions!$P$43</f>
        <v/>
      </c>
      <c r="CL134">
        <f>CL132*Assumptions!$P$43</f>
        <v/>
      </c>
      <c r="CM134">
        <f>CM132*Assumptions!$P$43</f>
        <v/>
      </c>
      <c r="CN134">
        <f>CN132*Assumptions!$P$43</f>
        <v/>
      </c>
      <c r="CO134">
        <f>CO132*Assumptions!$P$43</f>
        <v/>
      </c>
      <c r="CP134">
        <f>CP132*Assumptions!$P$43</f>
        <v/>
      </c>
      <c r="CQ134">
        <f>CQ132*Assumptions!$P$43</f>
        <v/>
      </c>
      <c r="CR134">
        <f>CR132*Assumptions!$P$43</f>
        <v/>
      </c>
      <c r="CS134">
        <f>CS132*Assumptions!$P$43</f>
        <v/>
      </c>
      <c r="CT134">
        <f>CT132*Assumptions!$P$43</f>
        <v/>
      </c>
      <c r="CU134">
        <f>CU132*Assumptions!$P$43</f>
        <v/>
      </c>
      <c r="CV134">
        <f>CV132*Assumptions!$P$43</f>
        <v/>
      </c>
      <c r="CW134">
        <f>CW132*Assumptions!$P$43</f>
        <v/>
      </c>
      <c r="CX134">
        <f>CX132*Assumptions!$P$43</f>
        <v/>
      </c>
      <c r="CY134">
        <f>CY132*Assumptions!$P$43</f>
        <v/>
      </c>
      <c r="CZ134">
        <f>CZ132*Assumptions!$P$43</f>
        <v/>
      </c>
      <c r="DA134">
        <f>DA132*Assumptions!$P$43</f>
        <v/>
      </c>
      <c r="DB134">
        <f>DB132*Assumptions!$P$43</f>
        <v/>
      </c>
      <c r="DC134">
        <f>DC132*Assumptions!$P$43</f>
        <v/>
      </c>
      <c r="DD134">
        <f>DD132*Assumptions!$P$43</f>
        <v/>
      </c>
      <c r="DE134">
        <f>DE132*Assumptions!$P$43</f>
        <v/>
      </c>
      <c r="DF134">
        <f>DF132*Assumptions!$P$43</f>
        <v/>
      </c>
      <c r="DG134">
        <f>DG132*Assumptions!$P$43</f>
        <v/>
      </c>
      <c r="DH134">
        <f>DH132*Assumptions!$P$43</f>
        <v/>
      </c>
      <c r="DI134">
        <f>DI132*Assumptions!$P$43</f>
        <v/>
      </c>
      <c r="DJ134">
        <f>DJ132*Assumptions!$P$43</f>
        <v/>
      </c>
      <c r="DK134">
        <f>DK132*Assumptions!$P$43</f>
        <v/>
      </c>
      <c r="DL134">
        <f>DL132*Assumptions!$P$43</f>
        <v/>
      </c>
      <c r="DM134">
        <f>DM132*Assumptions!$P$43</f>
        <v/>
      </c>
      <c r="DN134">
        <f>DN132*Assumptions!$P$43</f>
        <v/>
      </c>
      <c r="DO134">
        <f>DO132*Assumptions!$P$43</f>
        <v/>
      </c>
      <c r="DP134">
        <f>DP132*Assumptions!$P$43</f>
        <v/>
      </c>
      <c r="DQ134">
        <f>DQ132*Assumptions!$P$43</f>
        <v/>
      </c>
      <c r="DR134">
        <f>DR132*Assumptions!$P$43</f>
        <v/>
      </c>
      <c r="DS134">
        <f>DS132*Assumptions!$P$43</f>
        <v/>
      </c>
      <c r="DT134">
        <f>DT132*Assumptions!$P$43</f>
        <v/>
      </c>
    </row>
    <row r="135">
      <c r="A135" t="inlineStr">
        <is>
          <t>Cumulative LP Cashflow</t>
        </is>
      </c>
      <c r="D135">
        <f>D133*Assumptions!$P$43</f>
        <v/>
      </c>
      <c r="E135">
        <f>E133*Assumptions!$P$43</f>
        <v/>
      </c>
      <c r="F135">
        <f>F133*Assumptions!$P$43</f>
        <v/>
      </c>
      <c r="G135">
        <f>G133*Assumptions!$P$43</f>
        <v/>
      </c>
      <c r="H135">
        <f>H133*Assumptions!$P$43</f>
        <v/>
      </c>
      <c r="I135">
        <f>I133*Assumptions!$P$43</f>
        <v/>
      </c>
      <c r="J135">
        <f>J133*Assumptions!$P$43</f>
        <v/>
      </c>
      <c r="K135">
        <f>K133*Assumptions!$P$43</f>
        <v/>
      </c>
      <c r="L135">
        <f>L133*Assumptions!$P$43</f>
        <v/>
      </c>
      <c r="M135">
        <f>M133*Assumptions!$P$43</f>
        <v/>
      </c>
      <c r="N135">
        <f>N133*Assumptions!$P$43</f>
        <v/>
      </c>
      <c r="O135">
        <f>O133*Assumptions!$P$43</f>
        <v/>
      </c>
      <c r="P135">
        <f>P133*Assumptions!$P$43</f>
        <v/>
      </c>
      <c r="Q135">
        <f>Q133*Assumptions!$P$43</f>
        <v/>
      </c>
      <c r="R135">
        <f>R133*Assumptions!$P$43</f>
        <v/>
      </c>
      <c r="S135">
        <f>S133*Assumptions!$P$43</f>
        <v/>
      </c>
      <c r="T135">
        <f>T133*Assumptions!$P$43</f>
        <v/>
      </c>
      <c r="U135">
        <f>U133*Assumptions!$P$43</f>
        <v/>
      </c>
      <c r="V135">
        <f>V133*Assumptions!$P$43</f>
        <v/>
      </c>
      <c r="W135">
        <f>W133*Assumptions!$P$43</f>
        <v/>
      </c>
      <c r="X135">
        <f>X133*Assumptions!$P$43</f>
        <v/>
      </c>
      <c r="Y135">
        <f>Y133*Assumptions!$P$43</f>
        <v/>
      </c>
      <c r="Z135">
        <f>Z133*Assumptions!$P$43</f>
        <v/>
      </c>
      <c r="AA135">
        <f>AA133*Assumptions!$P$43</f>
        <v/>
      </c>
      <c r="AB135">
        <f>AB133*Assumptions!$P$43</f>
        <v/>
      </c>
      <c r="AC135">
        <f>AC133*Assumptions!$P$43</f>
        <v/>
      </c>
      <c r="AD135">
        <f>AD133*Assumptions!$P$43</f>
        <v/>
      </c>
      <c r="AE135">
        <f>AE133*Assumptions!$P$43</f>
        <v/>
      </c>
      <c r="AF135">
        <f>AF133*Assumptions!$P$43</f>
        <v/>
      </c>
      <c r="AG135">
        <f>AG133*Assumptions!$P$43</f>
        <v/>
      </c>
      <c r="AH135">
        <f>AH133*Assumptions!$P$43</f>
        <v/>
      </c>
      <c r="AI135">
        <f>AI133*Assumptions!$P$43</f>
        <v/>
      </c>
      <c r="AJ135">
        <f>AJ133*Assumptions!$P$43</f>
        <v/>
      </c>
      <c r="AK135">
        <f>AK133*Assumptions!$P$43</f>
        <v/>
      </c>
      <c r="AL135">
        <f>AL133*Assumptions!$P$43</f>
        <v/>
      </c>
      <c r="AM135">
        <f>AM133*Assumptions!$P$43</f>
        <v/>
      </c>
      <c r="AN135">
        <f>AN133*Assumptions!$P$43</f>
        <v/>
      </c>
      <c r="AO135">
        <f>AO133*Assumptions!$P$43</f>
        <v/>
      </c>
      <c r="AP135">
        <f>AP133*Assumptions!$P$43</f>
        <v/>
      </c>
      <c r="AQ135">
        <f>AQ133*Assumptions!$P$43</f>
        <v/>
      </c>
      <c r="AR135">
        <f>AR133*Assumptions!$P$43</f>
        <v/>
      </c>
      <c r="AS135">
        <f>AS133*Assumptions!$P$43</f>
        <v/>
      </c>
      <c r="AT135">
        <f>AT133*Assumptions!$P$43</f>
        <v/>
      </c>
      <c r="AU135">
        <f>AU133*Assumptions!$P$43</f>
        <v/>
      </c>
      <c r="AV135">
        <f>AV133*Assumptions!$P$43</f>
        <v/>
      </c>
      <c r="AW135">
        <f>AW133*Assumptions!$P$43</f>
        <v/>
      </c>
      <c r="AX135">
        <f>AX133*Assumptions!$P$43</f>
        <v/>
      </c>
      <c r="AY135">
        <f>AY133*Assumptions!$P$43</f>
        <v/>
      </c>
      <c r="AZ135">
        <f>AZ133*Assumptions!$P$43</f>
        <v/>
      </c>
      <c r="BA135">
        <f>BA133*Assumptions!$P$43</f>
        <v/>
      </c>
      <c r="BB135">
        <f>BB133*Assumptions!$P$43</f>
        <v/>
      </c>
      <c r="BC135">
        <f>BC133*Assumptions!$P$43</f>
        <v/>
      </c>
      <c r="BD135">
        <f>BD133*Assumptions!$P$43</f>
        <v/>
      </c>
      <c r="BE135">
        <f>BE133*Assumptions!$P$43</f>
        <v/>
      </c>
      <c r="BF135">
        <f>BF133*Assumptions!$P$43</f>
        <v/>
      </c>
      <c r="BG135">
        <f>BG133*Assumptions!$P$43</f>
        <v/>
      </c>
      <c r="BH135">
        <f>BH133*Assumptions!$P$43</f>
        <v/>
      </c>
      <c r="BI135">
        <f>BI133*Assumptions!$P$43</f>
        <v/>
      </c>
      <c r="BJ135">
        <f>BJ133*Assumptions!$P$43</f>
        <v/>
      </c>
      <c r="BK135">
        <f>BK133*Assumptions!$P$43</f>
        <v/>
      </c>
      <c r="BL135">
        <f>BL133*Assumptions!$P$43</f>
        <v/>
      </c>
      <c r="BM135">
        <f>BM133*Assumptions!$P$43</f>
        <v/>
      </c>
      <c r="BN135">
        <f>BN133*Assumptions!$P$43</f>
        <v/>
      </c>
      <c r="BO135">
        <f>BO133*Assumptions!$P$43</f>
        <v/>
      </c>
      <c r="BP135">
        <f>BP133*Assumptions!$P$43</f>
        <v/>
      </c>
      <c r="BQ135">
        <f>BQ133*Assumptions!$P$43</f>
        <v/>
      </c>
      <c r="BR135">
        <f>BR133*Assumptions!$P$43</f>
        <v/>
      </c>
      <c r="BS135">
        <f>BS133*Assumptions!$P$43</f>
        <v/>
      </c>
      <c r="BT135">
        <f>BT133*Assumptions!$P$43</f>
        <v/>
      </c>
      <c r="BU135">
        <f>BU133*Assumptions!$P$43</f>
        <v/>
      </c>
      <c r="BV135">
        <f>BV133*Assumptions!$P$43</f>
        <v/>
      </c>
      <c r="BW135">
        <f>BW133*Assumptions!$P$43</f>
        <v/>
      </c>
      <c r="BX135">
        <f>BX133*Assumptions!$P$43</f>
        <v/>
      </c>
      <c r="BY135">
        <f>BY133*Assumptions!$P$43</f>
        <v/>
      </c>
      <c r="BZ135">
        <f>BZ133*Assumptions!$P$43</f>
        <v/>
      </c>
      <c r="CA135">
        <f>CA133*Assumptions!$P$43</f>
        <v/>
      </c>
      <c r="CB135">
        <f>CB133*Assumptions!$P$43</f>
        <v/>
      </c>
      <c r="CC135">
        <f>CC133*Assumptions!$P$43</f>
        <v/>
      </c>
      <c r="CD135">
        <f>CD133*Assumptions!$P$43</f>
        <v/>
      </c>
      <c r="CE135">
        <f>CE133*Assumptions!$P$43</f>
        <v/>
      </c>
      <c r="CF135">
        <f>CF133*Assumptions!$P$43</f>
        <v/>
      </c>
      <c r="CG135">
        <f>CG133*Assumptions!$P$43</f>
        <v/>
      </c>
      <c r="CH135">
        <f>CH133*Assumptions!$P$43</f>
        <v/>
      </c>
      <c r="CI135">
        <f>CI133*Assumptions!$P$43</f>
        <v/>
      </c>
      <c r="CJ135">
        <f>CJ133*Assumptions!$P$43</f>
        <v/>
      </c>
      <c r="CK135">
        <f>CK133*Assumptions!$P$43</f>
        <v/>
      </c>
      <c r="CL135">
        <f>CL133*Assumptions!$P$43</f>
        <v/>
      </c>
      <c r="CM135">
        <f>CM133*Assumptions!$P$43</f>
        <v/>
      </c>
      <c r="CN135">
        <f>CN133*Assumptions!$P$43</f>
        <v/>
      </c>
      <c r="CO135">
        <f>CO133*Assumptions!$P$43</f>
        <v/>
      </c>
      <c r="CP135">
        <f>CP133*Assumptions!$P$43</f>
        <v/>
      </c>
      <c r="CQ135">
        <f>CQ133*Assumptions!$P$43</f>
        <v/>
      </c>
      <c r="CR135">
        <f>CR133*Assumptions!$P$43</f>
        <v/>
      </c>
      <c r="CS135">
        <f>CS133*Assumptions!$P$43</f>
        <v/>
      </c>
      <c r="CT135">
        <f>CT133*Assumptions!$P$43</f>
        <v/>
      </c>
      <c r="CU135">
        <f>CU133*Assumptions!$P$43</f>
        <v/>
      </c>
      <c r="CV135">
        <f>CV133*Assumptions!$P$43</f>
        <v/>
      </c>
      <c r="CW135">
        <f>CW133*Assumptions!$P$43</f>
        <v/>
      </c>
      <c r="CX135">
        <f>CX133*Assumptions!$P$43</f>
        <v/>
      </c>
      <c r="CY135">
        <f>CY133*Assumptions!$P$43</f>
        <v/>
      </c>
      <c r="CZ135">
        <f>CZ133*Assumptions!$P$43</f>
        <v/>
      </c>
      <c r="DA135">
        <f>DA133*Assumptions!$P$43</f>
        <v/>
      </c>
      <c r="DB135">
        <f>DB133*Assumptions!$P$43</f>
        <v/>
      </c>
      <c r="DC135">
        <f>DC133*Assumptions!$P$43</f>
        <v/>
      </c>
      <c r="DD135">
        <f>DD133*Assumptions!$P$43</f>
        <v/>
      </c>
      <c r="DE135">
        <f>DE133*Assumptions!$P$43</f>
        <v/>
      </c>
      <c r="DF135">
        <f>DF133*Assumptions!$P$43</f>
        <v/>
      </c>
      <c r="DG135">
        <f>DG133*Assumptions!$P$43</f>
        <v/>
      </c>
      <c r="DH135">
        <f>DH133*Assumptions!$P$43</f>
        <v/>
      </c>
      <c r="DI135">
        <f>DI133*Assumptions!$P$43</f>
        <v/>
      </c>
      <c r="DJ135">
        <f>DJ133*Assumptions!$P$43</f>
        <v/>
      </c>
      <c r="DK135">
        <f>DK133*Assumptions!$P$43</f>
        <v/>
      </c>
      <c r="DL135">
        <f>DL133*Assumptions!$P$43</f>
        <v/>
      </c>
      <c r="DM135">
        <f>DM133*Assumptions!$P$43</f>
        <v/>
      </c>
      <c r="DN135">
        <f>DN133*Assumptions!$P$43</f>
        <v/>
      </c>
      <c r="DO135">
        <f>DO133*Assumptions!$P$43</f>
        <v/>
      </c>
      <c r="DP135">
        <f>DP133*Assumptions!$P$43</f>
        <v/>
      </c>
      <c r="DQ135">
        <f>DQ133*Assumptions!$P$43</f>
        <v/>
      </c>
      <c r="DR135">
        <f>DR133*Assumptions!$P$43</f>
        <v/>
      </c>
      <c r="DS135">
        <f>DS133*Assumptions!$P$43</f>
        <v/>
      </c>
      <c r="DT135">
        <f>DT133*Assumptions!$P$43</f>
        <v/>
      </c>
    </row>
    <row r="136">
      <c r="A136" t="inlineStr">
        <is>
          <t>GP Cashflow (No Promote)</t>
        </is>
      </c>
      <c r="C136">
        <f>SUM(D136:DT136)</f>
        <v/>
      </c>
      <c r="D136">
        <f>D132*(1-Assumptions!$P$43)</f>
        <v/>
      </c>
      <c r="E136">
        <f>E132*(1-Assumptions!$P$43)</f>
        <v/>
      </c>
      <c r="F136">
        <f>F132*(1-Assumptions!$P$43)</f>
        <v/>
      </c>
      <c r="G136">
        <f>G132*(1-Assumptions!$P$43)</f>
        <v/>
      </c>
      <c r="H136">
        <f>H132*(1-Assumptions!$P$43)</f>
        <v/>
      </c>
      <c r="I136">
        <f>I132*(1-Assumptions!$P$43)</f>
        <v/>
      </c>
      <c r="J136">
        <f>J132*(1-Assumptions!$P$43)</f>
        <v/>
      </c>
      <c r="K136">
        <f>K132*(1-Assumptions!$P$43)</f>
        <v/>
      </c>
      <c r="L136">
        <f>L132*(1-Assumptions!$P$43)</f>
        <v/>
      </c>
      <c r="M136">
        <f>M132*(1-Assumptions!$P$43)</f>
        <v/>
      </c>
      <c r="N136">
        <f>N132*(1-Assumptions!$P$43)</f>
        <v/>
      </c>
      <c r="O136">
        <f>O132*(1-Assumptions!$P$43)</f>
        <v/>
      </c>
      <c r="P136">
        <f>P132*(1-Assumptions!$P$43)</f>
        <v/>
      </c>
      <c r="Q136">
        <f>Q132*(1-Assumptions!$P$43)</f>
        <v/>
      </c>
      <c r="R136">
        <f>R132*(1-Assumptions!$P$43)</f>
        <v/>
      </c>
      <c r="S136">
        <f>S132*(1-Assumptions!$P$43)</f>
        <v/>
      </c>
      <c r="T136">
        <f>T132*(1-Assumptions!$P$43)</f>
        <v/>
      </c>
      <c r="U136">
        <f>U132*(1-Assumptions!$P$43)</f>
        <v/>
      </c>
      <c r="V136">
        <f>V132*(1-Assumptions!$P$43)</f>
        <v/>
      </c>
      <c r="W136">
        <f>W132*(1-Assumptions!$P$43)</f>
        <v/>
      </c>
      <c r="X136">
        <f>X132*(1-Assumptions!$P$43)</f>
        <v/>
      </c>
      <c r="Y136">
        <f>Y132*(1-Assumptions!$P$43)</f>
        <v/>
      </c>
      <c r="Z136">
        <f>Z132*(1-Assumptions!$P$43)</f>
        <v/>
      </c>
      <c r="AA136">
        <f>AA132*(1-Assumptions!$P$43)</f>
        <v/>
      </c>
      <c r="AB136">
        <f>AB132*(1-Assumptions!$P$43)</f>
        <v/>
      </c>
      <c r="AC136">
        <f>AC132*(1-Assumptions!$P$43)</f>
        <v/>
      </c>
      <c r="AD136">
        <f>AD132*(1-Assumptions!$P$43)</f>
        <v/>
      </c>
      <c r="AE136">
        <f>AE132*(1-Assumptions!$P$43)</f>
        <v/>
      </c>
      <c r="AF136">
        <f>AF132*(1-Assumptions!$P$43)</f>
        <v/>
      </c>
      <c r="AG136">
        <f>AG132*(1-Assumptions!$P$43)</f>
        <v/>
      </c>
      <c r="AH136">
        <f>AH132*(1-Assumptions!$P$43)</f>
        <v/>
      </c>
      <c r="AI136">
        <f>AI132*(1-Assumptions!$P$43)</f>
        <v/>
      </c>
      <c r="AJ136">
        <f>AJ132*(1-Assumptions!$P$43)</f>
        <v/>
      </c>
      <c r="AK136">
        <f>AK132*(1-Assumptions!$P$43)</f>
        <v/>
      </c>
      <c r="AL136">
        <f>AL132*(1-Assumptions!$P$43)</f>
        <v/>
      </c>
      <c r="AM136">
        <f>AM132*(1-Assumptions!$P$43)</f>
        <v/>
      </c>
      <c r="AN136">
        <f>AN132*(1-Assumptions!$P$43)</f>
        <v/>
      </c>
      <c r="AO136">
        <f>AO132*(1-Assumptions!$P$43)</f>
        <v/>
      </c>
      <c r="AP136">
        <f>AP132*(1-Assumptions!$P$43)</f>
        <v/>
      </c>
      <c r="AQ136">
        <f>AQ132*(1-Assumptions!$P$43)</f>
        <v/>
      </c>
      <c r="AR136">
        <f>AR132*(1-Assumptions!$P$43)</f>
        <v/>
      </c>
      <c r="AS136">
        <f>AS132*(1-Assumptions!$P$43)</f>
        <v/>
      </c>
      <c r="AT136">
        <f>AT132*(1-Assumptions!$P$43)</f>
        <v/>
      </c>
      <c r="AU136">
        <f>AU132*(1-Assumptions!$P$43)</f>
        <v/>
      </c>
      <c r="AV136">
        <f>AV132*(1-Assumptions!$P$43)</f>
        <v/>
      </c>
      <c r="AW136">
        <f>AW132*(1-Assumptions!$P$43)</f>
        <v/>
      </c>
      <c r="AX136">
        <f>AX132*(1-Assumptions!$P$43)</f>
        <v/>
      </c>
      <c r="AY136">
        <f>AY132*(1-Assumptions!$P$43)</f>
        <v/>
      </c>
      <c r="AZ136">
        <f>AZ132*(1-Assumptions!$P$43)</f>
        <v/>
      </c>
      <c r="BA136">
        <f>BA132*(1-Assumptions!$P$43)</f>
        <v/>
      </c>
      <c r="BB136">
        <f>BB132*(1-Assumptions!$P$43)</f>
        <v/>
      </c>
      <c r="BC136">
        <f>BC132*(1-Assumptions!$P$43)</f>
        <v/>
      </c>
      <c r="BD136">
        <f>BD132*(1-Assumptions!$P$43)</f>
        <v/>
      </c>
      <c r="BE136">
        <f>BE132*(1-Assumptions!$P$43)</f>
        <v/>
      </c>
      <c r="BF136">
        <f>BF132*(1-Assumptions!$P$43)</f>
        <v/>
      </c>
      <c r="BG136">
        <f>BG132*(1-Assumptions!$P$43)</f>
        <v/>
      </c>
      <c r="BH136">
        <f>BH132*(1-Assumptions!$P$43)</f>
        <v/>
      </c>
      <c r="BI136">
        <f>BI132*(1-Assumptions!$P$43)</f>
        <v/>
      </c>
      <c r="BJ136">
        <f>BJ132*(1-Assumptions!$P$43)</f>
        <v/>
      </c>
      <c r="BK136">
        <f>BK132*(1-Assumptions!$P$43)</f>
        <v/>
      </c>
      <c r="BL136">
        <f>BL132*(1-Assumptions!$P$43)</f>
        <v/>
      </c>
      <c r="BM136">
        <f>BM132*(1-Assumptions!$P$43)</f>
        <v/>
      </c>
      <c r="BN136">
        <f>BN132*(1-Assumptions!$P$43)</f>
        <v/>
      </c>
      <c r="BO136">
        <f>BO132*(1-Assumptions!$P$43)</f>
        <v/>
      </c>
      <c r="BP136">
        <f>BP132*(1-Assumptions!$P$43)</f>
        <v/>
      </c>
      <c r="BQ136">
        <f>BQ132*(1-Assumptions!$P$43)</f>
        <v/>
      </c>
      <c r="BR136">
        <f>BR132*(1-Assumptions!$P$43)</f>
        <v/>
      </c>
      <c r="BS136">
        <f>BS132*(1-Assumptions!$P$43)</f>
        <v/>
      </c>
      <c r="BT136">
        <f>BT132*(1-Assumptions!$P$43)</f>
        <v/>
      </c>
      <c r="BU136">
        <f>BU132*(1-Assumptions!$P$43)</f>
        <v/>
      </c>
      <c r="BV136">
        <f>BV132*(1-Assumptions!$P$43)</f>
        <v/>
      </c>
      <c r="BW136">
        <f>BW132*(1-Assumptions!$P$43)</f>
        <v/>
      </c>
      <c r="BX136">
        <f>BX132*(1-Assumptions!$P$43)</f>
        <v/>
      </c>
      <c r="BY136">
        <f>BY132*(1-Assumptions!$P$43)</f>
        <v/>
      </c>
      <c r="BZ136">
        <f>BZ132*(1-Assumptions!$P$43)</f>
        <v/>
      </c>
      <c r="CA136">
        <f>CA132*(1-Assumptions!$P$43)</f>
        <v/>
      </c>
      <c r="CB136">
        <f>CB132*(1-Assumptions!$P$43)</f>
        <v/>
      </c>
      <c r="CC136">
        <f>CC132*(1-Assumptions!$P$43)</f>
        <v/>
      </c>
      <c r="CD136">
        <f>CD132*(1-Assumptions!$P$43)</f>
        <v/>
      </c>
      <c r="CE136">
        <f>CE132*(1-Assumptions!$P$43)</f>
        <v/>
      </c>
      <c r="CF136">
        <f>CF132*(1-Assumptions!$P$43)</f>
        <v/>
      </c>
      <c r="CG136">
        <f>CG132*(1-Assumptions!$P$43)</f>
        <v/>
      </c>
      <c r="CH136">
        <f>CH132*(1-Assumptions!$P$43)</f>
        <v/>
      </c>
      <c r="CI136">
        <f>CI132*(1-Assumptions!$P$43)</f>
        <v/>
      </c>
      <c r="CJ136">
        <f>CJ132*(1-Assumptions!$P$43)</f>
        <v/>
      </c>
      <c r="CK136">
        <f>CK132*(1-Assumptions!$P$43)</f>
        <v/>
      </c>
      <c r="CL136">
        <f>CL132*(1-Assumptions!$P$43)</f>
        <v/>
      </c>
      <c r="CM136">
        <f>CM132*(1-Assumptions!$P$43)</f>
        <v/>
      </c>
      <c r="CN136">
        <f>CN132*(1-Assumptions!$P$43)</f>
        <v/>
      </c>
      <c r="CO136">
        <f>CO132*(1-Assumptions!$P$43)</f>
        <v/>
      </c>
      <c r="CP136">
        <f>CP132*(1-Assumptions!$P$43)</f>
        <v/>
      </c>
      <c r="CQ136">
        <f>CQ132*(1-Assumptions!$P$43)</f>
        <v/>
      </c>
      <c r="CR136">
        <f>CR132*(1-Assumptions!$P$43)</f>
        <v/>
      </c>
      <c r="CS136">
        <f>CS132*(1-Assumptions!$P$43)</f>
        <v/>
      </c>
      <c r="CT136">
        <f>CT132*(1-Assumptions!$P$43)</f>
        <v/>
      </c>
      <c r="CU136">
        <f>CU132*(1-Assumptions!$P$43)</f>
        <v/>
      </c>
      <c r="CV136">
        <f>CV132*(1-Assumptions!$P$43)</f>
        <v/>
      </c>
      <c r="CW136">
        <f>CW132*(1-Assumptions!$P$43)</f>
        <v/>
      </c>
      <c r="CX136">
        <f>CX132*(1-Assumptions!$P$43)</f>
        <v/>
      </c>
      <c r="CY136">
        <f>CY132*(1-Assumptions!$P$43)</f>
        <v/>
      </c>
      <c r="CZ136">
        <f>CZ132*(1-Assumptions!$P$43)</f>
        <v/>
      </c>
      <c r="DA136">
        <f>DA132*(1-Assumptions!$P$43)</f>
        <v/>
      </c>
      <c r="DB136">
        <f>DB132*(1-Assumptions!$P$43)</f>
        <v/>
      </c>
      <c r="DC136">
        <f>DC132*(1-Assumptions!$P$43)</f>
        <v/>
      </c>
      <c r="DD136">
        <f>DD132*(1-Assumptions!$P$43)</f>
        <v/>
      </c>
      <c r="DE136">
        <f>DE132*(1-Assumptions!$P$43)</f>
        <v/>
      </c>
      <c r="DF136">
        <f>DF132*(1-Assumptions!$P$43)</f>
        <v/>
      </c>
      <c r="DG136">
        <f>DG132*(1-Assumptions!$P$43)</f>
        <v/>
      </c>
      <c r="DH136">
        <f>DH132*(1-Assumptions!$P$43)</f>
        <v/>
      </c>
      <c r="DI136">
        <f>DI132*(1-Assumptions!$P$43)</f>
        <v/>
      </c>
      <c r="DJ136">
        <f>DJ132*(1-Assumptions!$P$43)</f>
        <v/>
      </c>
      <c r="DK136">
        <f>DK132*(1-Assumptions!$P$43)</f>
        <v/>
      </c>
      <c r="DL136">
        <f>DL132*(1-Assumptions!$P$43)</f>
        <v/>
      </c>
      <c r="DM136">
        <f>DM132*(1-Assumptions!$P$43)</f>
        <v/>
      </c>
      <c r="DN136">
        <f>DN132*(1-Assumptions!$P$43)</f>
        <v/>
      </c>
      <c r="DO136">
        <f>DO132*(1-Assumptions!$P$43)</f>
        <v/>
      </c>
      <c r="DP136">
        <f>DP132*(1-Assumptions!$P$43)</f>
        <v/>
      </c>
      <c r="DQ136">
        <f>DQ132*(1-Assumptions!$P$43)</f>
        <v/>
      </c>
      <c r="DR136">
        <f>DR132*(1-Assumptions!$P$43)</f>
        <v/>
      </c>
      <c r="DS136">
        <f>DS132*(1-Assumptions!$P$43)</f>
        <v/>
      </c>
      <c r="DT136">
        <f>DT132*(1-Assumptions!$P$43)</f>
        <v/>
      </c>
    </row>
    <row r="137">
      <c r="A137" t="inlineStr">
        <is>
          <t>Cumulative GP Cashflow</t>
        </is>
      </c>
      <c r="D137">
        <f>D133*(1-Assumptions!$P$43)</f>
        <v/>
      </c>
      <c r="E137">
        <f>E133*(1-Assumptions!$P$43)</f>
        <v/>
      </c>
      <c r="F137">
        <f>F133*(1-Assumptions!$P$43)</f>
        <v/>
      </c>
      <c r="G137">
        <f>G133*(1-Assumptions!$P$43)</f>
        <v/>
      </c>
      <c r="H137">
        <f>H133*(1-Assumptions!$P$43)</f>
        <v/>
      </c>
      <c r="I137">
        <f>I133*(1-Assumptions!$P$43)</f>
        <v/>
      </c>
      <c r="J137">
        <f>J133*(1-Assumptions!$P$43)</f>
        <v/>
      </c>
      <c r="K137">
        <f>K133*(1-Assumptions!$P$43)</f>
        <v/>
      </c>
      <c r="L137">
        <f>L133*(1-Assumptions!$P$43)</f>
        <v/>
      </c>
      <c r="M137">
        <f>M133*(1-Assumptions!$P$43)</f>
        <v/>
      </c>
      <c r="N137">
        <f>N133*(1-Assumptions!$P$43)</f>
        <v/>
      </c>
      <c r="O137">
        <f>O133*(1-Assumptions!$P$43)</f>
        <v/>
      </c>
      <c r="P137">
        <f>P133*(1-Assumptions!$P$43)</f>
        <v/>
      </c>
      <c r="Q137">
        <f>Q133*(1-Assumptions!$P$43)</f>
        <v/>
      </c>
      <c r="R137">
        <f>R133*(1-Assumptions!$P$43)</f>
        <v/>
      </c>
      <c r="S137">
        <f>S133*(1-Assumptions!$P$43)</f>
        <v/>
      </c>
      <c r="T137">
        <f>T133*(1-Assumptions!$P$43)</f>
        <v/>
      </c>
      <c r="U137">
        <f>U133*(1-Assumptions!$P$43)</f>
        <v/>
      </c>
      <c r="V137">
        <f>V133*(1-Assumptions!$P$43)</f>
        <v/>
      </c>
      <c r="W137">
        <f>W133*(1-Assumptions!$P$43)</f>
        <v/>
      </c>
      <c r="X137">
        <f>X133*(1-Assumptions!$P$43)</f>
        <v/>
      </c>
      <c r="Y137">
        <f>Y133*(1-Assumptions!$P$43)</f>
        <v/>
      </c>
      <c r="Z137">
        <f>Z133*(1-Assumptions!$P$43)</f>
        <v/>
      </c>
      <c r="AA137">
        <f>AA133*(1-Assumptions!$P$43)</f>
        <v/>
      </c>
      <c r="AB137">
        <f>AB133*(1-Assumptions!$P$43)</f>
        <v/>
      </c>
      <c r="AC137">
        <f>AC133*(1-Assumptions!$P$43)</f>
        <v/>
      </c>
      <c r="AD137">
        <f>AD133*(1-Assumptions!$P$43)</f>
        <v/>
      </c>
      <c r="AE137">
        <f>AE133*(1-Assumptions!$P$43)</f>
        <v/>
      </c>
      <c r="AF137">
        <f>AF133*(1-Assumptions!$P$43)</f>
        <v/>
      </c>
      <c r="AG137">
        <f>AG133*(1-Assumptions!$P$43)</f>
        <v/>
      </c>
      <c r="AH137">
        <f>AH133*(1-Assumptions!$P$43)</f>
        <v/>
      </c>
      <c r="AI137">
        <f>AI133*(1-Assumptions!$P$43)</f>
        <v/>
      </c>
      <c r="AJ137">
        <f>AJ133*(1-Assumptions!$P$43)</f>
        <v/>
      </c>
      <c r="AK137">
        <f>AK133*(1-Assumptions!$P$43)</f>
        <v/>
      </c>
      <c r="AL137">
        <f>AL133*(1-Assumptions!$P$43)</f>
        <v/>
      </c>
      <c r="AM137">
        <f>AM133*(1-Assumptions!$P$43)</f>
        <v/>
      </c>
      <c r="AN137">
        <f>AN133*(1-Assumptions!$P$43)</f>
        <v/>
      </c>
      <c r="AO137">
        <f>AO133*(1-Assumptions!$P$43)</f>
        <v/>
      </c>
      <c r="AP137">
        <f>AP133*(1-Assumptions!$P$43)</f>
        <v/>
      </c>
      <c r="AQ137">
        <f>AQ133*(1-Assumptions!$P$43)</f>
        <v/>
      </c>
      <c r="AR137">
        <f>AR133*(1-Assumptions!$P$43)</f>
        <v/>
      </c>
      <c r="AS137">
        <f>AS133*(1-Assumptions!$P$43)</f>
        <v/>
      </c>
      <c r="AT137">
        <f>AT133*(1-Assumptions!$P$43)</f>
        <v/>
      </c>
      <c r="AU137">
        <f>AU133*(1-Assumptions!$P$43)</f>
        <v/>
      </c>
      <c r="AV137">
        <f>AV133*(1-Assumptions!$P$43)</f>
        <v/>
      </c>
      <c r="AW137">
        <f>AW133*(1-Assumptions!$P$43)</f>
        <v/>
      </c>
      <c r="AX137">
        <f>AX133*(1-Assumptions!$P$43)</f>
        <v/>
      </c>
      <c r="AY137">
        <f>AY133*(1-Assumptions!$P$43)</f>
        <v/>
      </c>
      <c r="AZ137">
        <f>AZ133*(1-Assumptions!$P$43)</f>
        <v/>
      </c>
      <c r="BA137">
        <f>BA133*(1-Assumptions!$P$43)</f>
        <v/>
      </c>
      <c r="BB137">
        <f>BB133*(1-Assumptions!$P$43)</f>
        <v/>
      </c>
      <c r="BC137">
        <f>BC133*(1-Assumptions!$P$43)</f>
        <v/>
      </c>
      <c r="BD137">
        <f>BD133*(1-Assumptions!$P$43)</f>
        <v/>
      </c>
      <c r="BE137">
        <f>BE133*(1-Assumptions!$P$43)</f>
        <v/>
      </c>
      <c r="BF137">
        <f>BF133*(1-Assumptions!$P$43)</f>
        <v/>
      </c>
      <c r="BG137">
        <f>BG133*(1-Assumptions!$P$43)</f>
        <v/>
      </c>
      <c r="BH137">
        <f>BH133*(1-Assumptions!$P$43)</f>
        <v/>
      </c>
      <c r="BI137">
        <f>BI133*(1-Assumptions!$P$43)</f>
        <v/>
      </c>
      <c r="BJ137">
        <f>BJ133*(1-Assumptions!$P$43)</f>
        <v/>
      </c>
      <c r="BK137">
        <f>BK133*(1-Assumptions!$P$43)</f>
        <v/>
      </c>
      <c r="BL137">
        <f>BL133*(1-Assumptions!$P$43)</f>
        <v/>
      </c>
      <c r="BM137">
        <f>BM133*(1-Assumptions!$P$43)</f>
        <v/>
      </c>
      <c r="BN137">
        <f>BN133*(1-Assumptions!$P$43)</f>
        <v/>
      </c>
      <c r="BO137">
        <f>BO133*(1-Assumptions!$P$43)</f>
        <v/>
      </c>
      <c r="BP137">
        <f>BP133*(1-Assumptions!$P$43)</f>
        <v/>
      </c>
      <c r="BQ137">
        <f>BQ133*(1-Assumptions!$P$43)</f>
        <v/>
      </c>
      <c r="BR137">
        <f>BR133*(1-Assumptions!$P$43)</f>
        <v/>
      </c>
      <c r="BS137">
        <f>BS133*(1-Assumptions!$P$43)</f>
        <v/>
      </c>
      <c r="BT137">
        <f>BT133*(1-Assumptions!$P$43)</f>
        <v/>
      </c>
      <c r="BU137">
        <f>BU133*(1-Assumptions!$P$43)</f>
        <v/>
      </c>
      <c r="BV137">
        <f>BV133*(1-Assumptions!$P$43)</f>
        <v/>
      </c>
      <c r="BW137">
        <f>BW133*(1-Assumptions!$P$43)</f>
        <v/>
      </c>
      <c r="BX137">
        <f>BX133*(1-Assumptions!$P$43)</f>
        <v/>
      </c>
      <c r="BY137">
        <f>BY133*(1-Assumptions!$P$43)</f>
        <v/>
      </c>
      <c r="BZ137">
        <f>BZ133*(1-Assumptions!$P$43)</f>
        <v/>
      </c>
      <c r="CA137">
        <f>CA133*(1-Assumptions!$P$43)</f>
        <v/>
      </c>
      <c r="CB137">
        <f>CB133*(1-Assumptions!$P$43)</f>
        <v/>
      </c>
      <c r="CC137">
        <f>CC133*(1-Assumptions!$P$43)</f>
        <v/>
      </c>
      <c r="CD137">
        <f>CD133*(1-Assumptions!$P$43)</f>
        <v/>
      </c>
      <c r="CE137">
        <f>CE133*(1-Assumptions!$P$43)</f>
        <v/>
      </c>
      <c r="CF137">
        <f>CF133*(1-Assumptions!$P$43)</f>
        <v/>
      </c>
      <c r="CG137">
        <f>CG133*(1-Assumptions!$P$43)</f>
        <v/>
      </c>
      <c r="CH137">
        <f>CH133*(1-Assumptions!$P$43)</f>
        <v/>
      </c>
      <c r="CI137">
        <f>CI133*(1-Assumptions!$P$43)</f>
        <v/>
      </c>
      <c r="CJ137">
        <f>CJ133*(1-Assumptions!$P$43)</f>
        <v/>
      </c>
      <c r="CK137">
        <f>CK133*(1-Assumptions!$P$43)</f>
        <v/>
      </c>
      <c r="CL137">
        <f>CL133*(1-Assumptions!$P$43)</f>
        <v/>
      </c>
      <c r="CM137">
        <f>CM133*(1-Assumptions!$P$43)</f>
        <v/>
      </c>
      <c r="CN137">
        <f>CN133*(1-Assumptions!$P$43)</f>
        <v/>
      </c>
      <c r="CO137">
        <f>CO133*(1-Assumptions!$P$43)</f>
        <v/>
      </c>
      <c r="CP137">
        <f>CP133*(1-Assumptions!$P$43)</f>
        <v/>
      </c>
      <c r="CQ137">
        <f>CQ133*(1-Assumptions!$P$43)</f>
        <v/>
      </c>
      <c r="CR137">
        <f>CR133*(1-Assumptions!$P$43)</f>
        <v/>
      </c>
      <c r="CS137">
        <f>CS133*(1-Assumptions!$P$43)</f>
        <v/>
      </c>
      <c r="CT137">
        <f>CT133*(1-Assumptions!$P$43)</f>
        <v/>
      </c>
      <c r="CU137">
        <f>CU133*(1-Assumptions!$P$43)</f>
        <v/>
      </c>
      <c r="CV137">
        <f>CV133*(1-Assumptions!$P$43)</f>
        <v/>
      </c>
      <c r="CW137">
        <f>CW133*(1-Assumptions!$P$43)</f>
        <v/>
      </c>
      <c r="CX137">
        <f>CX133*(1-Assumptions!$P$43)</f>
        <v/>
      </c>
      <c r="CY137">
        <f>CY133*(1-Assumptions!$P$43)</f>
        <v/>
      </c>
      <c r="CZ137">
        <f>CZ133*(1-Assumptions!$P$43)</f>
        <v/>
      </c>
      <c r="DA137">
        <f>DA133*(1-Assumptions!$P$43)</f>
        <v/>
      </c>
      <c r="DB137">
        <f>DB133*(1-Assumptions!$P$43)</f>
        <v/>
      </c>
      <c r="DC137">
        <f>DC133*(1-Assumptions!$P$43)</f>
        <v/>
      </c>
      <c r="DD137">
        <f>DD133*(1-Assumptions!$P$43)</f>
        <v/>
      </c>
      <c r="DE137">
        <f>DE133*(1-Assumptions!$P$43)</f>
        <v/>
      </c>
      <c r="DF137">
        <f>DF133*(1-Assumptions!$P$43)</f>
        <v/>
      </c>
      <c r="DG137">
        <f>DG133*(1-Assumptions!$P$43)</f>
        <v/>
      </c>
      <c r="DH137">
        <f>DH133*(1-Assumptions!$P$43)</f>
        <v/>
      </c>
      <c r="DI137">
        <f>DI133*(1-Assumptions!$P$43)</f>
        <v/>
      </c>
      <c r="DJ137">
        <f>DJ133*(1-Assumptions!$P$43)</f>
        <v/>
      </c>
      <c r="DK137">
        <f>DK133*(1-Assumptions!$P$43)</f>
        <v/>
      </c>
      <c r="DL137">
        <f>DL133*(1-Assumptions!$P$43)</f>
        <v/>
      </c>
      <c r="DM137">
        <f>DM133*(1-Assumptions!$P$43)</f>
        <v/>
      </c>
      <c r="DN137">
        <f>DN133*(1-Assumptions!$P$43)</f>
        <v/>
      </c>
      <c r="DO137">
        <f>DO133*(1-Assumptions!$P$43)</f>
        <v/>
      </c>
      <c r="DP137">
        <f>DP133*(1-Assumptions!$P$43)</f>
        <v/>
      </c>
      <c r="DQ137">
        <f>DQ133*(1-Assumptions!$P$43)</f>
        <v/>
      </c>
      <c r="DR137">
        <f>DR133*(1-Assumptions!$P$43)</f>
        <v/>
      </c>
      <c r="DS137">
        <f>DS133*(1-Assumptions!$P$43)</f>
        <v/>
      </c>
      <c r="DT137">
        <f>DT133*(1-Assumptions!$P$43)</f>
        <v/>
      </c>
    </row>
    <row r="140" ht="15" customHeight="1" s="148">
      <c r="DV140" s="118" t="inlineStr">
        <is>
          <t>Tenant</t>
        </is>
      </c>
      <c r="DW140" s="118" t="inlineStr">
        <is>
          <t>Set</t>
        </is>
      </c>
      <c r="DX140" s="118" t="inlineStr">
        <is>
          <t>SqFt</t>
        </is>
      </c>
      <c r="DY140" s="118" t="inlineStr">
        <is>
          <t>Rent PSF</t>
        </is>
      </c>
      <c r="DZ140" s="118" t="inlineStr">
        <is>
          <t>Bump</t>
        </is>
      </c>
      <c r="EA140" s="118" t="inlineStr">
        <is>
          <t>Start</t>
        </is>
      </c>
      <c r="EB140" s="118" t="inlineStr">
        <is>
          <t>End</t>
        </is>
      </c>
      <c r="EC140" s="118" t="inlineStr">
        <is>
          <t>Free</t>
        </is>
      </c>
      <c r="ED140" s="118" t="inlineStr">
        <is>
          <t>TI $/SF</t>
        </is>
      </c>
      <c r="EE140" s="118" t="inlineStr">
        <is>
          <t>LC Calc</t>
        </is>
      </c>
      <c r="EF140" s="118" t="inlineStr">
        <is>
          <t>LC Rate</t>
        </is>
      </c>
      <c r="EG140" s="118" t="inlineStr">
        <is>
          <t>Lease Months</t>
        </is>
      </c>
      <c r="EH140" s="118" t="inlineStr">
        <is>
          <t>Total Rent</t>
        </is>
      </c>
      <c r="EI140" s="118" t="inlineStr">
        <is>
          <t>LC $</t>
        </is>
      </c>
      <c r="EJ140" s="118" t="inlineStr">
        <is>
          <t>Y0</t>
        </is>
      </c>
      <c r="EK140" s="118" t="inlineStr">
        <is>
          <t>Y1</t>
        </is>
      </c>
      <c r="EL140" s="118" t="inlineStr">
        <is>
          <t>Y2</t>
        </is>
      </c>
      <c r="EM140" s="118" t="inlineStr">
        <is>
          <t>Y3</t>
        </is>
      </c>
      <c r="EN140" s="118" t="inlineStr">
        <is>
          <t>Y4</t>
        </is>
      </c>
      <c r="EO140" s="118" t="inlineStr">
        <is>
          <t>Y5</t>
        </is>
      </c>
      <c r="EP140" s="118" t="inlineStr">
        <is>
          <t>Y6</t>
        </is>
      </c>
      <c r="EQ140" s="118" t="inlineStr">
        <is>
          <t>Y7</t>
        </is>
      </c>
      <c r="ER140" s="118" t="inlineStr">
        <is>
          <t>Y8</t>
        </is>
      </c>
      <c r="ES140" s="118" t="inlineStr">
        <is>
          <t>Y9</t>
        </is>
      </c>
      <c r="ET140" s="118" t="inlineStr">
        <is>
          <t>Y10</t>
        </is>
      </c>
      <c r="EU140" s="118" t="inlineStr">
        <is>
          <t>Y11</t>
        </is>
      </c>
      <c r="EV140" s="118" t="inlineStr">
        <is>
          <t>Y12</t>
        </is>
      </c>
      <c r="EW140" s="118" t="inlineStr">
        <is>
          <t>Y13</t>
        </is>
      </c>
      <c r="EX140" s="118" t="inlineStr">
        <is>
          <t>Y14</t>
        </is>
      </c>
    </row>
    <row r="141" ht="15" customHeight="1" s="148">
      <c r="DV141" s="119">
        <f>IF('Rent Roll'!A9="","",'Rent Roll'!A9)</f>
        <v/>
      </c>
      <c r="DW141" s="119" t="inlineStr">
        <is>
          <t>Base</t>
        </is>
      </c>
      <c r="DX141" s="120">
        <f>'Rent Roll'!B9</f>
        <v/>
      </c>
      <c r="DY141" s="230">
        <f>'Rent Roll'!D9</f>
        <v/>
      </c>
      <c r="DZ141" s="122">
        <f>'Rent Roll'!F9</f>
        <v/>
      </c>
      <c r="EA141" s="231">
        <f>'Rent Roll'!G9</f>
        <v/>
      </c>
      <c r="EB141" s="231">
        <f>'Rent Roll'!H9</f>
        <v/>
      </c>
      <c r="EC141" s="120">
        <f>'Rent Roll'!K9</f>
        <v/>
      </c>
      <c r="ED141" s="230">
        <f>'Rent Roll'!L9</f>
        <v/>
      </c>
      <c r="EE141" s="124">
        <f>'Rent Roll'!M9</f>
        <v/>
      </c>
      <c r="EF141" s="122">
        <f>'Rent Roll'!N9</f>
        <v/>
      </c>
      <c r="EG141" s="120">
        <f>IF(EA141="",0,DATEDIF(EA141,EB141,"m")+1)</f>
        <v/>
      </c>
      <c r="EH141" s="230">
        <f>SUM(EJ141:EX141)</f>
        <v/>
      </c>
      <c r="EI141" s="230">
        <f>IF(EE141="$/SF",DX141*EF141,EF141*EH141)</f>
        <v/>
      </c>
      <c r="EJ141" s="230">
        <f>IF(EG141=0,0,MAX(0,MIN(12,EG141-0))-MAX(0,MIN(12,EC141-0)))*DX141*DY141*(1+DZ141)^0/12</f>
        <v/>
      </c>
      <c r="EK141" s="230">
        <f>IF(EG141=0,0,MAX(0,MIN(12,EG141-12))-MAX(0,MIN(12,EC141-12)))*DX141*DY141*(1+DZ141)^1/12</f>
        <v/>
      </c>
      <c r="EL141" s="230">
        <f>IF(EG141=0,0,MAX(0,MIN(12,EG141-24))-MAX(0,MIN(12,EC141-24)))*DX141*DY141*(1+DZ141)^2/12</f>
        <v/>
      </c>
      <c r="EM141" s="230">
        <f>IF(EG141=0,0,MAX(0,MIN(12,EG141-36))-MAX(0,MIN(12,EC141-36)))*DX141*DY141*(1+DZ141)^3/12</f>
        <v/>
      </c>
      <c r="EN141" s="230">
        <f>IF(EG141=0,0,MAX(0,MIN(12,EG141-48))-MAX(0,MIN(12,EC141-48)))*DX141*DY141*(1+DZ141)^4/12</f>
        <v/>
      </c>
      <c r="EO141" s="230">
        <f>IF(EG141=0,0,MAX(0,MIN(12,EG141-60))-MAX(0,MIN(12,EC141-60)))*DX141*DY141*(1+DZ141)^5/12</f>
        <v/>
      </c>
      <c r="EP141" s="230">
        <f>IF(EG141=0,0,MAX(0,MIN(12,EG141-72))-MAX(0,MIN(12,EC141-72)))*DX141*DY141*(1+DZ141)^6/12</f>
        <v/>
      </c>
      <c r="EQ141" s="230">
        <f>IF(EG141=0,0,MAX(0,MIN(12,EG141-84))-MAX(0,MIN(12,EC141-84)))*DX141*DY141*(1+DZ141)^7/12</f>
        <v/>
      </c>
      <c r="ER141" s="230">
        <f>IF(EG141=0,0,MAX(0,MIN(12,EG141-96))-MAX(0,MIN(12,EC141-96)))*DX141*DY141*(1+DZ141)^8/12</f>
        <v/>
      </c>
      <c r="ES141" s="230">
        <f>IF(EG141=0,0,MAX(0,MIN(12,EG141-108))-MAX(0,MIN(12,EC141-108)))*DX141*DY141*(1+DZ141)^9/12</f>
        <v/>
      </c>
      <c r="ET141" s="230">
        <f>IF(EG141=0,0,MAX(0,MIN(12,EG141-120))-MAX(0,MIN(12,EC141-120)))*DX141*DY141*(1+DZ141)^10/12</f>
        <v/>
      </c>
      <c r="EU141" s="230">
        <f>IF(EG141=0,0,MAX(0,MIN(12,EG141-132))-MAX(0,MIN(12,EC141-132)))*DX141*DY141*(1+DZ141)^11/12</f>
        <v/>
      </c>
      <c r="EV141" s="230">
        <f>IF(EG141=0,0,MAX(0,MIN(12,EG141-144))-MAX(0,MIN(12,EC141-144)))*DX141*DY141*(1+DZ141)^12/12</f>
        <v/>
      </c>
      <c r="EW141" s="230">
        <f>IF(EG141=0,0,MAX(0,MIN(12,EG141-156))-MAX(0,MIN(12,EC141-156)))*DX141*DY141*(1+DZ141)^13/12</f>
        <v/>
      </c>
      <c r="EX141" s="230">
        <f>IF(EG141=0,0,MAX(0,MIN(12,EG141-168))-MAX(0,MIN(12,EC141-168)))*DX141*DY141*(1+DZ141)^14/12</f>
        <v/>
      </c>
      <c r="FB141" s="125">
        <f>IF('Rent Roll'!$G$9="",0,12*(YEAR('Rent Roll'!$G$9)-YEAR(Assumptions!$F$11))+(MONTH('Rent Roll'!$G$9)-MONTH(Assumptions!$F$11)))</f>
        <v/>
      </c>
      <c r="FC141" s="125">
        <f>IF('Rent Roll'!$H$9="",0,12*(YEAR('Rent Roll'!$H$9)-YEAR(Assumptions!$F$11))+(MONTH('Rent Roll'!$H$9)-MONTH(Assumptions!$F$11)))</f>
        <v/>
      </c>
    </row>
    <row r="142" ht="15" customHeight="1" s="148">
      <c r="DV142" s="119">
        <f>IF('Rent Roll'!A10="","",'Rent Roll'!A10)</f>
        <v/>
      </c>
      <c r="DW142" s="119" t="inlineStr">
        <is>
          <t>Base</t>
        </is>
      </c>
      <c r="DX142" s="120">
        <f>'Rent Roll'!B10</f>
        <v/>
      </c>
      <c r="DY142" s="230">
        <f>'Rent Roll'!D10</f>
        <v/>
      </c>
      <c r="DZ142" s="122">
        <f>'Rent Roll'!F10</f>
        <v/>
      </c>
      <c r="EA142" s="231">
        <f>'Rent Roll'!G10</f>
        <v/>
      </c>
      <c r="EB142" s="231">
        <f>'Rent Roll'!H10</f>
        <v/>
      </c>
      <c r="EC142" s="120">
        <f>'Rent Roll'!K10</f>
        <v/>
      </c>
      <c r="ED142" s="230">
        <f>'Rent Roll'!L10</f>
        <v/>
      </c>
      <c r="EE142" s="124">
        <f>'Rent Roll'!M10</f>
        <v/>
      </c>
      <c r="EF142" s="122">
        <f>'Rent Roll'!N10</f>
        <v/>
      </c>
      <c r="EG142" s="120">
        <f>IF(EA142="",0,DATEDIF(EA142,EB142,"m")+1)</f>
        <v/>
      </c>
      <c r="EH142" s="230">
        <f>SUM(EJ142:EX142)</f>
        <v/>
      </c>
      <c r="EI142" s="230">
        <f>IF(EE142="$/SF",DX142*EF142,EF142*EH142)</f>
        <v/>
      </c>
      <c r="EJ142" s="230">
        <f>IF(EG142=0,0,MAX(0,MIN(12,EG142-0))-MAX(0,MIN(12,EC142-0)))*DX142*DY142*(1+DZ142)^0/12</f>
        <v/>
      </c>
      <c r="EK142" s="230">
        <f>IF(EG142=0,0,MAX(0,MIN(12,EG142-12))-MAX(0,MIN(12,EC142-12)))*DX142*DY142*(1+DZ142)^1/12</f>
        <v/>
      </c>
      <c r="EL142" s="230">
        <f>IF(EG142=0,0,MAX(0,MIN(12,EG142-24))-MAX(0,MIN(12,EC142-24)))*DX142*DY142*(1+DZ142)^2/12</f>
        <v/>
      </c>
      <c r="EM142" s="230">
        <f>IF(EG142=0,0,MAX(0,MIN(12,EG142-36))-MAX(0,MIN(12,EC142-36)))*DX142*DY142*(1+DZ142)^3/12</f>
        <v/>
      </c>
      <c r="EN142" s="230">
        <f>IF(EG142=0,0,MAX(0,MIN(12,EG142-48))-MAX(0,MIN(12,EC142-48)))*DX142*DY142*(1+DZ142)^4/12</f>
        <v/>
      </c>
      <c r="EO142" s="230">
        <f>IF(EG142=0,0,MAX(0,MIN(12,EG142-60))-MAX(0,MIN(12,EC142-60)))*DX142*DY142*(1+DZ142)^5/12</f>
        <v/>
      </c>
      <c r="EP142" s="230">
        <f>IF(EG142=0,0,MAX(0,MIN(12,EG142-72))-MAX(0,MIN(12,EC142-72)))*DX142*DY142*(1+DZ142)^6/12</f>
        <v/>
      </c>
      <c r="EQ142" s="230">
        <f>IF(EG142=0,0,MAX(0,MIN(12,EG142-84))-MAX(0,MIN(12,EC142-84)))*DX142*DY142*(1+DZ142)^7/12</f>
        <v/>
      </c>
      <c r="ER142" s="230">
        <f>IF(EG142=0,0,MAX(0,MIN(12,EG142-96))-MAX(0,MIN(12,EC142-96)))*DX142*DY142*(1+DZ142)^8/12</f>
        <v/>
      </c>
      <c r="ES142" s="230">
        <f>IF(EG142=0,0,MAX(0,MIN(12,EG142-108))-MAX(0,MIN(12,EC142-108)))*DX142*DY142*(1+DZ142)^9/12</f>
        <v/>
      </c>
      <c r="ET142" s="230">
        <f>IF(EG142=0,0,MAX(0,MIN(12,EG142-120))-MAX(0,MIN(12,EC142-120)))*DX142*DY142*(1+DZ142)^10/12</f>
        <v/>
      </c>
      <c r="EU142" s="230">
        <f>IF(EG142=0,0,MAX(0,MIN(12,EG142-132))-MAX(0,MIN(12,EC142-132)))*DX142*DY142*(1+DZ142)^11/12</f>
        <v/>
      </c>
      <c r="EV142" s="230">
        <f>IF(EG142=0,0,MAX(0,MIN(12,EG142-144))-MAX(0,MIN(12,EC142-144)))*DX142*DY142*(1+DZ142)^12/12</f>
        <v/>
      </c>
      <c r="EW142" s="230">
        <f>IF(EG142=0,0,MAX(0,MIN(12,EG142-156))-MAX(0,MIN(12,EC142-156)))*DX142*DY142*(1+DZ142)^13/12</f>
        <v/>
      </c>
      <c r="EX142" s="230">
        <f>IF(EG142=0,0,MAX(0,MIN(12,EG142-168))-MAX(0,MIN(12,EC142-168)))*DX142*DY142*(1+DZ142)^14/12</f>
        <v/>
      </c>
      <c r="FB142" s="125">
        <f>IF('Rent Roll'!$G$10="",0,12*(YEAR('Rent Roll'!$G$10)-YEAR(Assumptions!$F$11))+(MONTH('Rent Roll'!$G$10)-MONTH(Assumptions!$F$11)))</f>
        <v/>
      </c>
      <c r="FC142" s="125">
        <f>IF('Rent Roll'!$H$10="",0,12*(YEAR('Rent Roll'!$H$10)-YEAR(Assumptions!$F$11))+(MONTH('Rent Roll'!$H$10)-MONTH(Assumptions!$F$11)))</f>
        <v/>
      </c>
    </row>
    <row r="143" ht="15" customHeight="1" s="148">
      <c r="DV143" s="119">
        <f>IF('Rent Roll'!A11="","",'Rent Roll'!A11)</f>
        <v/>
      </c>
      <c r="DW143" s="119" t="inlineStr">
        <is>
          <t>Base</t>
        </is>
      </c>
      <c r="DX143" s="120">
        <f>'Rent Roll'!B11</f>
        <v/>
      </c>
      <c r="DY143" s="230">
        <f>'Rent Roll'!D11</f>
        <v/>
      </c>
      <c r="DZ143" s="122">
        <f>'Rent Roll'!F11</f>
        <v/>
      </c>
      <c r="EA143" s="231">
        <f>'Rent Roll'!G11</f>
        <v/>
      </c>
      <c r="EB143" s="231">
        <f>'Rent Roll'!H11</f>
        <v/>
      </c>
      <c r="EC143" s="120">
        <f>'Rent Roll'!K11</f>
        <v/>
      </c>
      <c r="ED143" s="230">
        <f>'Rent Roll'!L11</f>
        <v/>
      </c>
      <c r="EE143" s="124">
        <f>'Rent Roll'!M11</f>
        <v/>
      </c>
      <c r="EF143" s="122">
        <f>'Rent Roll'!N11</f>
        <v/>
      </c>
      <c r="EG143" s="120">
        <f>IF(EA143="",0,DATEDIF(EA143,EB143,"m")+1)</f>
        <v/>
      </c>
      <c r="EH143" s="230">
        <f>SUM(EJ143:EX143)</f>
        <v/>
      </c>
      <c r="EI143" s="230">
        <f>IF(EE143="$/SF",DX143*EF143,EF143*EH143)</f>
        <v/>
      </c>
      <c r="EJ143" s="230">
        <f>IF(EG143=0,0,MAX(0,MIN(12,EG143-0))-MAX(0,MIN(12,EC143-0)))*DX143*DY143*(1+DZ143)^0/12</f>
        <v/>
      </c>
      <c r="EK143" s="230">
        <f>IF(EG143=0,0,MAX(0,MIN(12,EG143-12))-MAX(0,MIN(12,EC143-12)))*DX143*DY143*(1+DZ143)^1/12</f>
        <v/>
      </c>
      <c r="EL143" s="230">
        <f>IF(EG143=0,0,MAX(0,MIN(12,EG143-24))-MAX(0,MIN(12,EC143-24)))*DX143*DY143*(1+DZ143)^2/12</f>
        <v/>
      </c>
      <c r="EM143" s="230">
        <f>IF(EG143=0,0,MAX(0,MIN(12,EG143-36))-MAX(0,MIN(12,EC143-36)))*DX143*DY143*(1+DZ143)^3/12</f>
        <v/>
      </c>
      <c r="EN143" s="230">
        <f>IF(EG143=0,0,MAX(0,MIN(12,EG143-48))-MAX(0,MIN(12,EC143-48)))*DX143*DY143*(1+DZ143)^4/12</f>
        <v/>
      </c>
      <c r="EO143" s="230">
        <f>IF(EG143=0,0,MAX(0,MIN(12,EG143-60))-MAX(0,MIN(12,EC143-60)))*DX143*DY143*(1+DZ143)^5/12</f>
        <v/>
      </c>
      <c r="EP143" s="230">
        <f>IF(EG143=0,0,MAX(0,MIN(12,EG143-72))-MAX(0,MIN(12,EC143-72)))*DX143*DY143*(1+DZ143)^6/12</f>
        <v/>
      </c>
      <c r="EQ143" s="230">
        <f>IF(EG143=0,0,MAX(0,MIN(12,EG143-84))-MAX(0,MIN(12,EC143-84)))*DX143*DY143*(1+DZ143)^7/12</f>
        <v/>
      </c>
      <c r="ER143" s="230">
        <f>IF(EG143=0,0,MAX(0,MIN(12,EG143-96))-MAX(0,MIN(12,EC143-96)))*DX143*DY143*(1+DZ143)^8/12</f>
        <v/>
      </c>
      <c r="ES143" s="230">
        <f>IF(EG143=0,0,MAX(0,MIN(12,EG143-108))-MAX(0,MIN(12,EC143-108)))*DX143*DY143*(1+DZ143)^9/12</f>
        <v/>
      </c>
      <c r="ET143" s="230">
        <f>IF(EG143=0,0,MAX(0,MIN(12,EG143-120))-MAX(0,MIN(12,EC143-120)))*DX143*DY143*(1+DZ143)^10/12</f>
        <v/>
      </c>
      <c r="EU143" s="230">
        <f>IF(EG143=0,0,MAX(0,MIN(12,EG143-132))-MAX(0,MIN(12,EC143-132)))*DX143*DY143*(1+DZ143)^11/12</f>
        <v/>
      </c>
      <c r="EV143" s="230">
        <f>IF(EG143=0,0,MAX(0,MIN(12,EG143-144))-MAX(0,MIN(12,EC143-144)))*DX143*DY143*(1+DZ143)^12/12</f>
        <v/>
      </c>
      <c r="EW143" s="230">
        <f>IF(EG143=0,0,MAX(0,MIN(12,EG143-156))-MAX(0,MIN(12,EC143-156)))*DX143*DY143*(1+DZ143)^13/12</f>
        <v/>
      </c>
      <c r="EX143" s="230">
        <f>IF(EG143=0,0,MAX(0,MIN(12,EG143-168))-MAX(0,MIN(12,EC143-168)))*DX143*DY143*(1+DZ143)^14/12</f>
        <v/>
      </c>
      <c r="FB143" s="125">
        <f>IF('Rent Roll'!$G$11="",0,12*(YEAR('Rent Roll'!$G$11)-YEAR(Assumptions!$F$11))+(MONTH('Rent Roll'!$G$11)-MONTH(Assumptions!$F$11)))</f>
        <v/>
      </c>
      <c r="FC143" s="125">
        <f>IF('Rent Roll'!$H$11="",0,12*(YEAR('Rent Roll'!$H$11)-YEAR(Assumptions!$F$11))+(MONTH('Rent Roll'!$H$11)-MONTH(Assumptions!$F$11)))</f>
        <v/>
      </c>
    </row>
    <row r="144" ht="15" customHeight="1" s="148">
      <c r="DV144" s="119">
        <f>IF('Rent Roll'!A12="","",'Rent Roll'!A12)</f>
        <v/>
      </c>
      <c r="DW144" s="119" t="inlineStr">
        <is>
          <t>Base</t>
        </is>
      </c>
      <c r="DX144" s="120">
        <f>'Rent Roll'!B12</f>
        <v/>
      </c>
      <c r="DY144" s="230">
        <f>'Rent Roll'!D12</f>
        <v/>
      </c>
      <c r="DZ144" s="122">
        <f>'Rent Roll'!F12</f>
        <v/>
      </c>
      <c r="EA144" s="231">
        <f>'Rent Roll'!G12</f>
        <v/>
      </c>
      <c r="EB144" s="231">
        <f>'Rent Roll'!H12</f>
        <v/>
      </c>
      <c r="EC144" s="120">
        <f>'Rent Roll'!K12</f>
        <v/>
      </c>
      <c r="ED144" s="230">
        <f>'Rent Roll'!L12</f>
        <v/>
      </c>
      <c r="EE144" s="124">
        <f>'Rent Roll'!M12</f>
        <v/>
      </c>
      <c r="EF144" s="122">
        <f>'Rent Roll'!N12</f>
        <v/>
      </c>
      <c r="EG144" s="120">
        <f>IF(EA144="",0,DATEDIF(EA144,EB144,"m")+1)</f>
        <v/>
      </c>
      <c r="EH144" s="230">
        <f>SUM(EJ144:EX144)</f>
        <v/>
      </c>
      <c r="EI144" s="230">
        <f>IF(EE144="$/SF",DX144*EF144,EF144*EH144)</f>
        <v/>
      </c>
      <c r="EJ144" s="230">
        <f>IF(EG144=0,0,MAX(0,MIN(12,EG144-0))-MAX(0,MIN(12,EC144-0)))*DX144*DY144*(1+DZ144)^0/12</f>
        <v/>
      </c>
      <c r="EK144" s="230">
        <f>IF(EG144=0,0,MAX(0,MIN(12,EG144-12))-MAX(0,MIN(12,EC144-12)))*DX144*DY144*(1+DZ144)^1/12</f>
        <v/>
      </c>
      <c r="EL144" s="230">
        <f>IF(EG144=0,0,MAX(0,MIN(12,EG144-24))-MAX(0,MIN(12,EC144-24)))*DX144*DY144*(1+DZ144)^2/12</f>
        <v/>
      </c>
      <c r="EM144" s="230">
        <f>IF(EG144=0,0,MAX(0,MIN(12,EG144-36))-MAX(0,MIN(12,EC144-36)))*DX144*DY144*(1+DZ144)^3/12</f>
        <v/>
      </c>
      <c r="EN144" s="230">
        <f>IF(EG144=0,0,MAX(0,MIN(12,EG144-48))-MAX(0,MIN(12,EC144-48)))*DX144*DY144*(1+DZ144)^4/12</f>
        <v/>
      </c>
      <c r="EO144" s="230">
        <f>IF(EG144=0,0,MAX(0,MIN(12,EG144-60))-MAX(0,MIN(12,EC144-60)))*DX144*DY144*(1+DZ144)^5/12</f>
        <v/>
      </c>
      <c r="EP144" s="230">
        <f>IF(EG144=0,0,MAX(0,MIN(12,EG144-72))-MAX(0,MIN(12,EC144-72)))*DX144*DY144*(1+DZ144)^6/12</f>
        <v/>
      </c>
      <c r="EQ144" s="230">
        <f>IF(EG144=0,0,MAX(0,MIN(12,EG144-84))-MAX(0,MIN(12,EC144-84)))*DX144*DY144*(1+DZ144)^7/12</f>
        <v/>
      </c>
      <c r="ER144" s="230">
        <f>IF(EG144=0,0,MAX(0,MIN(12,EG144-96))-MAX(0,MIN(12,EC144-96)))*DX144*DY144*(1+DZ144)^8/12</f>
        <v/>
      </c>
      <c r="ES144" s="230">
        <f>IF(EG144=0,0,MAX(0,MIN(12,EG144-108))-MAX(0,MIN(12,EC144-108)))*DX144*DY144*(1+DZ144)^9/12</f>
        <v/>
      </c>
      <c r="ET144" s="230">
        <f>IF(EG144=0,0,MAX(0,MIN(12,EG144-120))-MAX(0,MIN(12,EC144-120)))*DX144*DY144*(1+DZ144)^10/12</f>
        <v/>
      </c>
      <c r="EU144" s="230">
        <f>IF(EG144=0,0,MAX(0,MIN(12,EG144-132))-MAX(0,MIN(12,EC144-132)))*DX144*DY144*(1+DZ144)^11/12</f>
        <v/>
      </c>
      <c r="EV144" s="230">
        <f>IF(EG144=0,0,MAX(0,MIN(12,EG144-144))-MAX(0,MIN(12,EC144-144)))*DX144*DY144*(1+DZ144)^12/12</f>
        <v/>
      </c>
      <c r="EW144" s="230">
        <f>IF(EG144=0,0,MAX(0,MIN(12,EG144-156))-MAX(0,MIN(12,EC144-156)))*DX144*DY144*(1+DZ144)^13/12</f>
        <v/>
      </c>
      <c r="EX144" s="230">
        <f>IF(EG144=0,0,MAX(0,MIN(12,EG144-168))-MAX(0,MIN(12,EC144-168)))*DX144*DY144*(1+DZ144)^14/12</f>
        <v/>
      </c>
      <c r="FB144" s="125">
        <f>IF('Rent Roll'!$G$12="",0,12*(YEAR('Rent Roll'!$G$12)-YEAR(Assumptions!$F$11))+(MONTH('Rent Roll'!$G$12)-MONTH(Assumptions!$F$11)))</f>
        <v/>
      </c>
      <c r="FC144" s="125">
        <f>IF('Rent Roll'!$H$12="",0,12*(YEAR('Rent Roll'!$H$12)-YEAR(Assumptions!$F$11))+(MONTH('Rent Roll'!$H$12)-MONTH(Assumptions!$F$11)))</f>
        <v/>
      </c>
    </row>
    <row r="145" ht="15" customHeight="1" s="148">
      <c r="DV145" s="119">
        <f>IF('Rent Roll'!A13="","",'Rent Roll'!A13)</f>
        <v/>
      </c>
      <c r="DW145" s="119" t="inlineStr">
        <is>
          <t>Base</t>
        </is>
      </c>
      <c r="DX145" s="120">
        <f>'Rent Roll'!B13</f>
        <v/>
      </c>
      <c r="DY145" s="230">
        <f>'Rent Roll'!D13</f>
        <v/>
      </c>
      <c r="DZ145" s="122">
        <f>'Rent Roll'!F13</f>
        <v/>
      </c>
      <c r="EA145" s="231">
        <f>'Rent Roll'!G13</f>
        <v/>
      </c>
      <c r="EB145" s="231">
        <f>'Rent Roll'!H13</f>
        <v/>
      </c>
      <c r="EC145" s="120">
        <f>'Rent Roll'!K13</f>
        <v/>
      </c>
      <c r="ED145" s="230">
        <f>'Rent Roll'!L13</f>
        <v/>
      </c>
      <c r="EE145" s="124">
        <f>'Rent Roll'!M13</f>
        <v/>
      </c>
      <c r="EF145" s="122">
        <f>'Rent Roll'!N13</f>
        <v/>
      </c>
      <c r="EG145" s="120">
        <f>IF(EA145="",0,DATEDIF(EA145,EB145,"m")+1)</f>
        <v/>
      </c>
      <c r="EH145" s="230">
        <f>SUM(EJ145:EX145)</f>
        <v/>
      </c>
      <c r="EI145" s="230">
        <f>IF(EE145="$/SF",DX145*EF145,EF145*EH145)</f>
        <v/>
      </c>
      <c r="EJ145" s="230">
        <f>IF(EG145=0,0,MAX(0,MIN(12,EG145-0))-MAX(0,MIN(12,EC145-0)))*DX145*DY145*(1+DZ145)^0/12</f>
        <v/>
      </c>
      <c r="EK145" s="230">
        <f>IF(EG145=0,0,MAX(0,MIN(12,EG145-12))-MAX(0,MIN(12,EC145-12)))*DX145*DY145*(1+DZ145)^1/12</f>
        <v/>
      </c>
      <c r="EL145" s="230">
        <f>IF(EG145=0,0,MAX(0,MIN(12,EG145-24))-MAX(0,MIN(12,EC145-24)))*DX145*DY145*(1+DZ145)^2/12</f>
        <v/>
      </c>
      <c r="EM145" s="230">
        <f>IF(EG145=0,0,MAX(0,MIN(12,EG145-36))-MAX(0,MIN(12,EC145-36)))*DX145*DY145*(1+DZ145)^3/12</f>
        <v/>
      </c>
      <c r="EN145" s="230">
        <f>IF(EG145=0,0,MAX(0,MIN(12,EG145-48))-MAX(0,MIN(12,EC145-48)))*DX145*DY145*(1+DZ145)^4/12</f>
        <v/>
      </c>
      <c r="EO145" s="230">
        <f>IF(EG145=0,0,MAX(0,MIN(12,EG145-60))-MAX(0,MIN(12,EC145-60)))*DX145*DY145*(1+DZ145)^5/12</f>
        <v/>
      </c>
      <c r="EP145" s="230">
        <f>IF(EG145=0,0,MAX(0,MIN(12,EG145-72))-MAX(0,MIN(12,EC145-72)))*DX145*DY145*(1+DZ145)^6/12</f>
        <v/>
      </c>
      <c r="EQ145" s="230">
        <f>IF(EG145=0,0,MAX(0,MIN(12,EG145-84))-MAX(0,MIN(12,EC145-84)))*DX145*DY145*(1+DZ145)^7/12</f>
        <v/>
      </c>
      <c r="ER145" s="230">
        <f>IF(EG145=0,0,MAX(0,MIN(12,EG145-96))-MAX(0,MIN(12,EC145-96)))*DX145*DY145*(1+DZ145)^8/12</f>
        <v/>
      </c>
      <c r="ES145" s="230">
        <f>IF(EG145=0,0,MAX(0,MIN(12,EG145-108))-MAX(0,MIN(12,EC145-108)))*DX145*DY145*(1+DZ145)^9/12</f>
        <v/>
      </c>
      <c r="ET145" s="230">
        <f>IF(EG145=0,0,MAX(0,MIN(12,EG145-120))-MAX(0,MIN(12,EC145-120)))*DX145*DY145*(1+DZ145)^10/12</f>
        <v/>
      </c>
      <c r="EU145" s="230">
        <f>IF(EG145=0,0,MAX(0,MIN(12,EG145-132))-MAX(0,MIN(12,EC145-132)))*DX145*DY145*(1+DZ145)^11/12</f>
        <v/>
      </c>
      <c r="EV145" s="230">
        <f>IF(EG145=0,0,MAX(0,MIN(12,EG145-144))-MAX(0,MIN(12,EC145-144)))*DX145*DY145*(1+DZ145)^12/12</f>
        <v/>
      </c>
      <c r="EW145" s="230">
        <f>IF(EG145=0,0,MAX(0,MIN(12,EG145-156))-MAX(0,MIN(12,EC145-156)))*DX145*DY145*(1+DZ145)^13/12</f>
        <v/>
      </c>
      <c r="EX145" s="230">
        <f>IF(EG145=0,0,MAX(0,MIN(12,EG145-168))-MAX(0,MIN(12,EC145-168)))*DX145*DY145*(1+DZ145)^14/12</f>
        <v/>
      </c>
      <c r="FB145" s="125">
        <f>IF('Rent Roll'!$G$13="",0,12*(YEAR('Rent Roll'!$G$13)-YEAR(Assumptions!$F$11))+(MONTH('Rent Roll'!$G$13)-MONTH(Assumptions!$F$11)))</f>
        <v/>
      </c>
      <c r="FC145" s="125">
        <f>IF('Rent Roll'!$H$13="",0,12*(YEAR('Rent Roll'!$H$13)-YEAR(Assumptions!$F$11))+(MONTH('Rent Roll'!$H$13)-MONTH(Assumptions!$F$11)))</f>
        <v/>
      </c>
    </row>
    <row r="146" ht="15" customHeight="1" s="148">
      <c r="DV146" s="119">
        <f>IF('Rent Roll'!A36="","",'Rent Roll'!A36)</f>
        <v/>
      </c>
      <c r="DW146" s="119" t="inlineStr">
        <is>
          <t>Market</t>
        </is>
      </c>
      <c r="DX146" s="120">
        <f>'Rent Roll'!B36</f>
        <v/>
      </c>
      <c r="DY146" s="230">
        <f>'Rent Roll'!D36</f>
        <v/>
      </c>
      <c r="DZ146" s="122">
        <f>'Rent Roll'!F36</f>
        <v/>
      </c>
      <c r="EA146" s="231">
        <f>'Rent Roll'!G36</f>
        <v/>
      </c>
      <c r="EB146" s="231">
        <f>'Rent Roll'!H36</f>
        <v/>
      </c>
      <c r="EC146" s="120">
        <f>'Rent Roll'!K36</f>
        <v/>
      </c>
      <c r="ED146" s="230">
        <f>'Rent Roll'!L36</f>
        <v/>
      </c>
      <c r="EE146" s="124">
        <f>'Rent Roll'!M36</f>
        <v/>
      </c>
      <c r="EF146" s="122">
        <f>'Rent Roll'!N36</f>
        <v/>
      </c>
      <c r="EG146" s="120">
        <f>IF(EA146="",0,DATEDIF(EA146,EB146,"m")+1)</f>
        <v/>
      </c>
      <c r="EH146" s="230">
        <f>SUM(EJ146:EX146)</f>
        <v/>
      </c>
      <c r="EI146" s="230">
        <f>IF(EE146="$/SF",DX146*EF146,EF146*EH146)</f>
        <v/>
      </c>
      <c r="EJ146" s="230">
        <f>IF(EG146=0,0,MAX(0,MIN(12,EG146-0))-MAX(0,MIN(12,EC146-0)))*DX146*DY146*(1+DZ146)^0/12</f>
        <v/>
      </c>
      <c r="EK146" s="230">
        <f>IF(EG146=0,0,MAX(0,MIN(12,EG146-12))-MAX(0,MIN(12,EC146-12)))*DX146*DY146*(1+DZ146)^1/12</f>
        <v/>
      </c>
      <c r="EL146" s="230">
        <f>IF(EG146=0,0,MAX(0,MIN(12,EG146-24))-MAX(0,MIN(12,EC146-24)))*DX146*DY146*(1+DZ146)^2/12</f>
        <v/>
      </c>
      <c r="EM146" s="230">
        <f>IF(EG146=0,0,MAX(0,MIN(12,EG146-36))-MAX(0,MIN(12,EC146-36)))*DX146*DY146*(1+DZ146)^3/12</f>
        <v/>
      </c>
      <c r="EN146" s="230">
        <f>IF(EG146=0,0,MAX(0,MIN(12,EG146-48))-MAX(0,MIN(12,EC146-48)))*DX146*DY146*(1+DZ146)^4/12</f>
        <v/>
      </c>
      <c r="EO146" s="230">
        <f>IF(EG146=0,0,MAX(0,MIN(12,EG146-60))-MAX(0,MIN(12,EC146-60)))*DX146*DY146*(1+DZ146)^5/12</f>
        <v/>
      </c>
      <c r="EP146" s="230">
        <f>IF(EG146=0,0,MAX(0,MIN(12,EG146-72))-MAX(0,MIN(12,EC146-72)))*DX146*DY146*(1+DZ146)^6/12</f>
        <v/>
      </c>
      <c r="EQ146" s="230">
        <f>IF(EG146=0,0,MAX(0,MIN(12,EG146-84))-MAX(0,MIN(12,EC146-84)))*DX146*DY146*(1+DZ146)^7/12</f>
        <v/>
      </c>
      <c r="ER146" s="230">
        <f>IF(EG146=0,0,MAX(0,MIN(12,EG146-96))-MAX(0,MIN(12,EC146-96)))*DX146*DY146*(1+DZ146)^8/12</f>
        <v/>
      </c>
      <c r="ES146" s="230">
        <f>IF(EG146=0,0,MAX(0,MIN(12,EG146-108))-MAX(0,MIN(12,EC146-108)))*DX146*DY146*(1+DZ146)^9/12</f>
        <v/>
      </c>
      <c r="ET146" s="230">
        <f>IF(EG146=0,0,MAX(0,MIN(12,EG146-120))-MAX(0,MIN(12,EC146-120)))*DX146*DY146*(1+DZ146)^10/12</f>
        <v/>
      </c>
      <c r="EU146" s="230">
        <f>IF(EG146=0,0,MAX(0,MIN(12,EG146-132))-MAX(0,MIN(12,EC146-132)))*DX146*DY146*(1+DZ146)^11/12</f>
        <v/>
      </c>
      <c r="EV146" s="230">
        <f>IF(EG146=0,0,MAX(0,MIN(12,EG146-144))-MAX(0,MIN(12,EC146-144)))*DX146*DY146*(1+DZ146)^12/12</f>
        <v/>
      </c>
      <c r="EW146" s="230">
        <f>IF(EG146=0,0,MAX(0,MIN(12,EG146-156))-MAX(0,MIN(12,EC146-156)))*DX146*DY146*(1+DZ146)^13/12</f>
        <v/>
      </c>
      <c r="EX146" s="230">
        <f>IF(EG146=0,0,MAX(0,MIN(12,EG146-168))-MAX(0,MIN(12,EC146-168)))*DX146*DY146*(1+DZ146)^14/12</f>
        <v/>
      </c>
      <c r="FB146" s="125">
        <f>IF('Rent Roll'!$G$36="",0,12*(YEAR('Rent Roll'!$G$36)-YEAR(Assumptions!$F$11))+(MONTH('Rent Roll'!$G$36)-MONTH(Assumptions!$F$11)))</f>
        <v/>
      </c>
      <c r="FC146" s="125">
        <f>IF('Rent Roll'!$H$36="",0,12*(YEAR('Rent Roll'!$H$36)-YEAR(Assumptions!$F$11))+(MONTH('Rent Roll'!$H$36)-MONTH(Assumptions!$F$11)))</f>
        <v/>
      </c>
    </row>
    <row r="147" ht="15" customHeight="1" s="148">
      <c r="DV147" s="119">
        <f>IF('Rent Roll'!A37="","",'Rent Roll'!A37)</f>
        <v/>
      </c>
      <c r="DW147" s="119" t="inlineStr">
        <is>
          <t>Market</t>
        </is>
      </c>
      <c r="DX147" s="120">
        <f>'Rent Roll'!B37</f>
        <v/>
      </c>
      <c r="DY147" s="230">
        <f>'Rent Roll'!D37</f>
        <v/>
      </c>
      <c r="DZ147" s="122">
        <f>'Rent Roll'!F37</f>
        <v/>
      </c>
      <c r="EA147" s="231">
        <f>'Rent Roll'!G37</f>
        <v/>
      </c>
      <c r="EB147" s="231">
        <f>'Rent Roll'!H37</f>
        <v/>
      </c>
      <c r="EC147" s="120">
        <f>'Rent Roll'!K37</f>
        <v/>
      </c>
      <c r="ED147" s="230">
        <f>'Rent Roll'!L37</f>
        <v/>
      </c>
      <c r="EE147" s="124">
        <f>'Rent Roll'!M37</f>
        <v/>
      </c>
      <c r="EF147" s="122">
        <f>'Rent Roll'!N37</f>
        <v/>
      </c>
      <c r="EG147" s="120">
        <f>IF(EA147="",0,DATEDIF(EA147,EB147,"m")+1)</f>
        <v/>
      </c>
      <c r="EH147" s="230">
        <f>SUM(EJ147:EX147)</f>
        <v/>
      </c>
      <c r="EI147" s="230">
        <f>IF(EE147="$/SF",DX147*EF147,EF147*EH147)</f>
        <v/>
      </c>
      <c r="EJ147" s="230">
        <f>IF(EG147=0,0,MAX(0,MIN(12,EG147-0))-MAX(0,MIN(12,EC147-0)))*DX147*DY147*(1+DZ147)^0/12</f>
        <v/>
      </c>
      <c r="EK147" s="230">
        <f>IF(EG147=0,0,MAX(0,MIN(12,EG147-12))-MAX(0,MIN(12,EC147-12)))*DX147*DY147*(1+DZ147)^1/12</f>
        <v/>
      </c>
      <c r="EL147" s="230">
        <f>IF(EG147=0,0,MAX(0,MIN(12,EG147-24))-MAX(0,MIN(12,EC147-24)))*DX147*DY147*(1+DZ147)^2/12</f>
        <v/>
      </c>
      <c r="EM147" s="230">
        <f>IF(EG147=0,0,MAX(0,MIN(12,EG147-36))-MAX(0,MIN(12,EC147-36)))*DX147*DY147*(1+DZ147)^3/12</f>
        <v/>
      </c>
      <c r="EN147" s="230">
        <f>IF(EG147=0,0,MAX(0,MIN(12,EG147-48))-MAX(0,MIN(12,EC147-48)))*DX147*DY147*(1+DZ147)^4/12</f>
        <v/>
      </c>
      <c r="EO147" s="230">
        <f>IF(EG147=0,0,MAX(0,MIN(12,EG147-60))-MAX(0,MIN(12,EC147-60)))*DX147*DY147*(1+DZ147)^5/12</f>
        <v/>
      </c>
      <c r="EP147" s="230">
        <f>IF(EG147=0,0,MAX(0,MIN(12,EG147-72))-MAX(0,MIN(12,EC147-72)))*DX147*DY147*(1+DZ147)^6/12</f>
        <v/>
      </c>
      <c r="EQ147" s="230">
        <f>IF(EG147=0,0,MAX(0,MIN(12,EG147-84))-MAX(0,MIN(12,EC147-84)))*DX147*DY147*(1+DZ147)^7/12</f>
        <v/>
      </c>
      <c r="ER147" s="230">
        <f>IF(EG147=0,0,MAX(0,MIN(12,EG147-96))-MAX(0,MIN(12,EC147-96)))*DX147*DY147*(1+DZ147)^8/12</f>
        <v/>
      </c>
      <c r="ES147" s="230">
        <f>IF(EG147=0,0,MAX(0,MIN(12,EG147-108))-MAX(0,MIN(12,EC147-108)))*DX147*DY147*(1+DZ147)^9/12</f>
        <v/>
      </c>
      <c r="ET147" s="230">
        <f>IF(EG147=0,0,MAX(0,MIN(12,EG147-120))-MAX(0,MIN(12,EC147-120)))*DX147*DY147*(1+DZ147)^10/12</f>
        <v/>
      </c>
      <c r="EU147" s="230">
        <f>IF(EG147=0,0,MAX(0,MIN(12,EG147-132))-MAX(0,MIN(12,EC147-132)))*DX147*DY147*(1+DZ147)^11/12</f>
        <v/>
      </c>
      <c r="EV147" s="230">
        <f>IF(EG147=0,0,MAX(0,MIN(12,EG147-144))-MAX(0,MIN(12,EC147-144)))*DX147*DY147*(1+DZ147)^12/12</f>
        <v/>
      </c>
      <c r="EW147" s="230">
        <f>IF(EG147=0,0,MAX(0,MIN(12,EG147-156))-MAX(0,MIN(12,EC147-156)))*DX147*DY147*(1+DZ147)^13/12</f>
        <v/>
      </c>
      <c r="EX147" s="230">
        <f>IF(EG147=0,0,MAX(0,MIN(12,EG147-168))-MAX(0,MIN(12,EC147-168)))*DX147*DY147*(1+DZ147)^14/12</f>
        <v/>
      </c>
      <c r="FB147" s="125">
        <f>IF('Rent Roll'!$G$37="",0,12*(YEAR('Rent Roll'!$G$37)-YEAR(Assumptions!$F$11))+(MONTH('Rent Roll'!$G$37)-MONTH(Assumptions!$F$11)))</f>
        <v/>
      </c>
      <c r="FC147" s="125">
        <f>IF('Rent Roll'!$H$37="",0,12*(YEAR('Rent Roll'!$H$37)-YEAR(Assumptions!$F$11))+(MONTH('Rent Roll'!$H$37)-MONTH(Assumptions!$F$11)))</f>
        <v/>
      </c>
    </row>
    <row r="148" ht="15" customHeight="1" s="148">
      <c r="DV148" s="119">
        <f>IF('Rent Roll'!A38="","",'Rent Roll'!A38)</f>
        <v/>
      </c>
      <c r="DW148" s="119" t="inlineStr">
        <is>
          <t>Market</t>
        </is>
      </c>
      <c r="DX148" s="120">
        <f>'Rent Roll'!B38</f>
        <v/>
      </c>
      <c r="DY148" s="230">
        <f>'Rent Roll'!D38</f>
        <v/>
      </c>
      <c r="DZ148" s="122">
        <f>'Rent Roll'!F38</f>
        <v/>
      </c>
      <c r="EA148" s="231">
        <f>'Rent Roll'!G38</f>
        <v/>
      </c>
      <c r="EB148" s="231">
        <f>'Rent Roll'!H38</f>
        <v/>
      </c>
      <c r="EC148" s="120">
        <f>'Rent Roll'!K38</f>
        <v/>
      </c>
      <c r="ED148" s="230">
        <f>'Rent Roll'!L38</f>
        <v/>
      </c>
      <c r="EE148" s="124">
        <f>'Rent Roll'!M38</f>
        <v/>
      </c>
      <c r="EF148" s="122">
        <f>'Rent Roll'!N38</f>
        <v/>
      </c>
      <c r="EG148" s="120">
        <f>IF(EA148="",0,DATEDIF(EA148,EB148,"m")+1)</f>
        <v/>
      </c>
      <c r="EH148" s="230">
        <f>SUM(EJ148:EX148)</f>
        <v/>
      </c>
      <c r="EI148" s="230">
        <f>IF(EE148="$/SF",DX148*EF148,EF148*EH148)</f>
        <v/>
      </c>
      <c r="EJ148" s="230">
        <f>IF(EG148=0,0,MAX(0,MIN(12,EG148-0))-MAX(0,MIN(12,EC148-0)))*DX148*DY148*(1+DZ148)^0/12</f>
        <v/>
      </c>
      <c r="EK148" s="230">
        <f>IF(EG148=0,0,MAX(0,MIN(12,EG148-12))-MAX(0,MIN(12,EC148-12)))*DX148*DY148*(1+DZ148)^1/12</f>
        <v/>
      </c>
      <c r="EL148" s="230">
        <f>IF(EG148=0,0,MAX(0,MIN(12,EG148-24))-MAX(0,MIN(12,EC148-24)))*DX148*DY148*(1+DZ148)^2/12</f>
        <v/>
      </c>
      <c r="EM148" s="230">
        <f>IF(EG148=0,0,MAX(0,MIN(12,EG148-36))-MAX(0,MIN(12,EC148-36)))*DX148*DY148*(1+DZ148)^3/12</f>
        <v/>
      </c>
      <c r="EN148" s="230">
        <f>IF(EG148=0,0,MAX(0,MIN(12,EG148-48))-MAX(0,MIN(12,EC148-48)))*DX148*DY148*(1+DZ148)^4/12</f>
        <v/>
      </c>
      <c r="EO148" s="230">
        <f>IF(EG148=0,0,MAX(0,MIN(12,EG148-60))-MAX(0,MIN(12,EC148-60)))*DX148*DY148*(1+DZ148)^5/12</f>
        <v/>
      </c>
      <c r="EP148" s="230">
        <f>IF(EG148=0,0,MAX(0,MIN(12,EG148-72))-MAX(0,MIN(12,EC148-72)))*DX148*DY148*(1+DZ148)^6/12</f>
        <v/>
      </c>
      <c r="EQ148" s="230">
        <f>IF(EG148=0,0,MAX(0,MIN(12,EG148-84))-MAX(0,MIN(12,EC148-84)))*DX148*DY148*(1+DZ148)^7/12</f>
        <v/>
      </c>
      <c r="ER148" s="230">
        <f>IF(EG148=0,0,MAX(0,MIN(12,EG148-96))-MAX(0,MIN(12,EC148-96)))*DX148*DY148*(1+DZ148)^8/12</f>
        <v/>
      </c>
      <c r="ES148" s="230">
        <f>IF(EG148=0,0,MAX(0,MIN(12,EG148-108))-MAX(0,MIN(12,EC148-108)))*DX148*DY148*(1+DZ148)^9/12</f>
        <v/>
      </c>
      <c r="ET148" s="230">
        <f>IF(EG148=0,0,MAX(0,MIN(12,EG148-120))-MAX(0,MIN(12,EC148-120)))*DX148*DY148*(1+DZ148)^10/12</f>
        <v/>
      </c>
      <c r="EU148" s="230">
        <f>IF(EG148=0,0,MAX(0,MIN(12,EG148-132))-MAX(0,MIN(12,EC148-132)))*DX148*DY148*(1+DZ148)^11/12</f>
        <v/>
      </c>
      <c r="EV148" s="230">
        <f>IF(EG148=0,0,MAX(0,MIN(12,EG148-144))-MAX(0,MIN(12,EC148-144)))*DX148*DY148*(1+DZ148)^12/12</f>
        <v/>
      </c>
      <c r="EW148" s="230">
        <f>IF(EG148=0,0,MAX(0,MIN(12,EG148-156))-MAX(0,MIN(12,EC148-156)))*DX148*DY148*(1+DZ148)^13/12</f>
        <v/>
      </c>
      <c r="EX148" s="230">
        <f>IF(EG148=0,0,MAX(0,MIN(12,EG148-168))-MAX(0,MIN(12,EC148-168)))*DX148*DY148*(1+DZ148)^14/12</f>
        <v/>
      </c>
      <c r="FB148" s="125">
        <f>IF('Rent Roll'!$G$38="",0,12*(YEAR('Rent Roll'!$G$38)-YEAR(Assumptions!$F$11))+(MONTH('Rent Roll'!$G$38)-MONTH(Assumptions!$F$11)))</f>
        <v/>
      </c>
      <c r="FC148" s="125">
        <f>IF('Rent Roll'!$H$38="",0,12*(YEAR('Rent Roll'!$H$38)-YEAR(Assumptions!$F$11))+(MONTH('Rent Roll'!$H$38)-MONTH(Assumptions!$F$11)))</f>
        <v/>
      </c>
    </row>
    <row r="149" ht="15" customHeight="1" s="148">
      <c r="DV149" s="119">
        <f>IF('Rent Roll'!A39="","",'Rent Roll'!A39)</f>
        <v/>
      </c>
      <c r="DW149" s="119" t="inlineStr">
        <is>
          <t>Market</t>
        </is>
      </c>
      <c r="DX149" s="120">
        <f>'Rent Roll'!B39</f>
        <v/>
      </c>
      <c r="DY149" s="230">
        <f>'Rent Roll'!D39</f>
        <v/>
      </c>
      <c r="DZ149" s="122">
        <f>'Rent Roll'!F39</f>
        <v/>
      </c>
      <c r="EA149" s="231">
        <f>'Rent Roll'!G39</f>
        <v/>
      </c>
      <c r="EB149" s="231">
        <f>'Rent Roll'!H39</f>
        <v/>
      </c>
      <c r="EC149" s="120">
        <f>'Rent Roll'!K39</f>
        <v/>
      </c>
      <c r="ED149" s="230">
        <f>'Rent Roll'!L39</f>
        <v/>
      </c>
      <c r="EE149" s="124">
        <f>'Rent Roll'!M39</f>
        <v/>
      </c>
      <c r="EF149" s="122">
        <f>'Rent Roll'!N39</f>
        <v/>
      </c>
      <c r="EG149" s="120">
        <f>IF(EA149="",0,DATEDIF(EA149,EB149,"m")+1)</f>
        <v/>
      </c>
      <c r="EH149" s="230">
        <f>SUM(EJ149:EX149)</f>
        <v/>
      </c>
      <c r="EI149" s="230">
        <f>IF(EE149="$/SF",DX149*EF149,EF149*EH149)</f>
        <v/>
      </c>
      <c r="EJ149" s="230">
        <f>IF(EG149=0,0,MAX(0,MIN(12,EG149-0))-MAX(0,MIN(12,EC149-0)))*DX149*DY149*(1+DZ149)^0/12</f>
        <v/>
      </c>
      <c r="EK149" s="230">
        <f>IF(EG149=0,0,MAX(0,MIN(12,EG149-12))-MAX(0,MIN(12,EC149-12)))*DX149*DY149*(1+DZ149)^1/12</f>
        <v/>
      </c>
      <c r="EL149" s="230">
        <f>IF(EG149=0,0,MAX(0,MIN(12,EG149-24))-MAX(0,MIN(12,EC149-24)))*DX149*DY149*(1+DZ149)^2/12</f>
        <v/>
      </c>
      <c r="EM149" s="230">
        <f>IF(EG149=0,0,MAX(0,MIN(12,EG149-36))-MAX(0,MIN(12,EC149-36)))*DX149*DY149*(1+DZ149)^3/12</f>
        <v/>
      </c>
      <c r="EN149" s="230">
        <f>IF(EG149=0,0,MAX(0,MIN(12,EG149-48))-MAX(0,MIN(12,EC149-48)))*DX149*DY149*(1+DZ149)^4/12</f>
        <v/>
      </c>
      <c r="EO149" s="230">
        <f>IF(EG149=0,0,MAX(0,MIN(12,EG149-60))-MAX(0,MIN(12,EC149-60)))*DX149*DY149*(1+DZ149)^5/12</f>
        <v/>
      </c>
      <c r="EP149" s="230">
        <f>IF(EG149=0,0,MAX(0,MIN(12,EG149-72))-MAX(0,MIN(12,EC149-72)))*DX149*DY149*(1+DZ149)^6/12</f>
        <v/>
      </c>
      <c r="EQ149" s="230">
        <f>IF(EG149=0,0,MAX(0,MIN(12,EG149-84))-MAX(0,MIN(12,EC149-84)))*DX149*DY149*(1+DZ149)^7/12</f>
        <v/>
      </c>
      <c r="ER149" s="230">
        <f>IF(EG149=0,0,MAX(0,MIN(12,EG149-96))-MAX(0,MIN(12,EC149-96)))*DX149*DY149*(1+DZ149)^8/12</f>
        <v/>
      </c>
      <c r="ES149" s="230">
        <f>IF(EG149=0,0,MAX(0,MIN(12,EG149-108))-MAX(0,MIN(12,EC149-108)))*DX149*DY149*(1+DZ149)^9/12</f>
        <v/>
      </c>
      <c r="ET149" s="230">
        <f>IF(EG149=0,0,MAX(0,MIN(12,EG149-120))-MAX(0,MIN(12,EC149-120)))*DX149*DY149*(1+DZ149)^10/12</f>
        <v/>
      </c>
      <c r="EU149" s="230">
        <f>IF(EG149=0,0,MAX(0,MIN(12,EG149-132))-MAX(0,MIN(12,EC149-132)))*DX149*DY149*(1+DZ149)^11/12</f>
        <v/>
      </c>
      <c r="EV149" s="230">
        <f>IF(EG149=0,0,MAX(0,MIN(12,EG149-144))-MAX(0,MIN(12,EC149-144)))*DX149*DY149*(1+DZ149)^12/12</f>
        <v/>
      </c>
      <c r="EW149" s="230">
        <f>IF(EG149=0,0,MAX(0,MIN(12,EG149-156))-MAX(0,MIN(12,EC149-156)))*DX149*DY149*(1+DZ149)^13/12</f>
        <v/>
      </c>
      <c r="EX149" s="230">
        <f>IF(EG149=0,0,MAX(0,MIN(12,EG149-168))-MAX(0,MIN(12,EC149-168)))*DX149*DY149*(1+DZ149)^14/12</f>
        <v/>
      </c>
      <c r="FB149" s="125">
        <f>IF('Rent Roll'!$G$39="",0,12*(YEAR('Rent Roll'!$G$39)-YEAR(Assumptions!$F$11))+(MONTH('Rent Roll'!$G$39)-MONTH(Assumptions!$F$11)))</f>
        <v/>
      </c>
      <c r="FC149" s="125">
        <f>IF('Rent Roll'!$H$39="",0,12*(YEAR('Rent Roll'!$H$39)-YEAR(Assumptions!$F$11))+(MONTH('Rent Roll'!$H$39)-MONTH(Assumptions!$F$11)))</f>
        <v/>
      </c>
    </row>
    <row r="150" ht="15" customHeight="1" s="148">
      <c r="DV150" s="119">
        <f>IF('Rent Roll'!A40="","",'Rent Roll'!A40)</f>
        <v/>
      </c>
      <c r="DW150" s="119" t="inlineStr">
        <is>
          <t>Market</t>
        </is>
      </c>
      <c r="DX150" s="120">
        <f>'Rent Roll'!B40</f>
        <v/>
      </c>
      <c r="DY150" s="230">
        <f>'Rent Roll'!D40</f>
        <v/>
      </c>
      <c r="DZ150" s="122">
        <f>'Rent Roll'!F40</f>
        <v/>
      </c>
      <c r="EA150" s="231">
        <f>'Rent Roll'!G40</f>
        <v/>
      </c>
      <c r="EB150" s="231">
        <f>'Rent Roll'!H40</f>
        <v/>
      </c>
      <c r="EC150" s="120">
        <f>'Rent Roll'!K40</f>
        <v/>
      </c>
      <c r="ED150" s="230">
        <f>'Rent Roll'!L40</f>
        <v/>
      </c>
      <c r="EE150" s="124">
        <f>'Rent Roll'!M40</f>
        <v/>
      </c>
      <c r="EF150" s="122">
        <f>'Rent Roll'!N40</f>
        <v/>
      </c>
      <c r="EG150" s="120">
        <f>IF(EA150="",0,DATEDIF(EA150,EB150,"m")+1)</f>
        <v/>
      </c>
      <c r="EH150" s="230">
        <f>SUM(EJ150:EX150)</f>
        <v/>
      </c>
      <c r="EI150" s="230">
        <f>IF(EE150="$/SF",DX150*EF150,EF150*EH150)</f>
        <v/>
      </c>
      <c r="EJ150" s="230">
        <f>IF(EG150=0,0,MAX(0,MIN(12,EG150-0))-MAX(0,MIN(12,EC150-0)))*DX150*DY150*(1+DZ150)^0/12</f>
        <v/>
      </c>
      <c r="EK150" s="230">
        <f>IF(EG150=0,0,MAX(0,MIN(12,EG150-12))-MAX(0,MIN(12,EC150-12)))*DX150*DY150*(1+DZ150)^1/12</f>
        <v/>
      </c>
      <c r="EL150" s="230">
        <f>IF(EG150=0,0,MAX(0,MIN(12,EG150-24))-MAX(0,MIN(12,EC150-24)))*DX150*DY150*(1+DZ150)^2/12</f>
        <v/>
      </c>
      <c r="EM150" s="230">
        <f>IF(EG150=0,0,MAX(0,MIN(12,EG150-36))-MAX(0,MIN(12,EC150-36)))*DX150*DY150*(1+DZ150)^3/12</f>
        <v/>
      </c>
      <c r="EN150" s="230">
        <f>IF(EG150=0,0,MAX(0,MIN(12,EG150-48))-MAX(0,MIN(12,EC150-48)))*DX150*DY150*(1+DZ150)^4/12</f>
        <v/>
      </c>
      <c r="EO150" s="230">
        <f>IF(EG150=0,0,MAX(0,MIN(12,EG150-60))-MAX(0,MIN(12,EC150-60)))*DX150*DY150*(1+DZ150)^5/12</f>
        <v/>
      </c>
      <c r="EP150" s="230">
        <f>IF(EG150=0,0,MAX(0,MIN(12,EG150-72))-MAX(0,MIN(12,EC150-72)))*DX150*DY150*(1+DZ150)^6/12</f>
        <v/>
      </c>
      <c r="EQ150" s="230">
        <f>IF(EG150=0,0,MAX(0,MIN(12,EG150-84))-MAX(0,MIN(12,EC150-84)))*DX150*DY150*(1+DZ150)^7/12</f>
        <v/>
      </c>
      <c r="ER150" s="230">
        <f>IF(EG150=0,0,MAX(0,MIN(12,EG150-96))-MAX(0,MIN(12,EC150-96)))*DX150*DY150*(1+DZ150)^8/12</f>
        <v/>
      </c>
      <c r="ES150" s="230">
        <f>IF(EG150=0,0,MAX(0,MIN(12,EG150-108))-MAX(0,MIN(12,EC150-108)))*DX150*DY150*(1+DZ150)^9/12</f>
        <v/>
      </c>
      <c r="ET150" s="230">
        <f>IF(EG150=0,0,MAX(0,MIN(12,EG150-120))-MAX(0,MIN(12,EC150-120)))*DX150*DY150*(1+DZ150)^10/12</f>
        <v/>
      </c>
      <c r="EU150" s="230">
        <f>IF(EG150=0,0,MAX(0,MIN(12,EG150-132))-MAX(0,MIN(12,EC150-132)))*DX150*DY150*(1+DZ150)^11/12</f>
        <v/>
      </c>
      <c r="EV150" s="230">
        <f>IF(EG150=0,0,MAX(0,MIN(12,EG150-144))-MAX(0,MIN(12,EC150-144)))*DX150*DY150*(1+DZ150)^12/12</f>
        <v/>
      </c>
      <c r="EW150" s="230">
        <f>IF(EG150=0,0,MAX(0,MIN(12,EG150-156))-MAX(0,MIN(12,EC150-156)))*DX150*DY150*(1+DZ150)^13/12</f>
        <v/>
      </c>
      <c r="EX150" s="230">
        <f>IF(EG150=0,0,MAX(0,MIN(12,EG150-168))-MAX(0,MIN(12,EC150-168)))*DX150*DY150*(1+DZ150)^14/12</f>
        <v/>
      </c>
      <c r="FB150" s="125">
        <f>IF('Rent Roll'!$G$40="",0,12*(YEAR('Rent Roll'!$G$40)-YEAR(Assumptions!$F$11))+(MONTH('Rent Roll'!$G$40)-MONTH(Assumptions!$F$11)))</f>
        <v/>
      </c>
      <c r="FC150" s="125">
        <f>IF('Rent Roll'!$H$40="",0,12*(YEAR('Rent Roll'!$H$40)-YEAR(Assumptions!$F$11))+(MONTH('Rent Roll'!$H$40)-MONTH(Assumptions!$F$11)))</f>
        <v/>
      </c>
    </row>
    <row r="153" ht="15" customHeight="1" s="148">
      <c r="DV153" s="100" t="inlineStr">
        <is>
          <t>Monthly Rent Schedules (hidden)</t>
        </is>
      </c>
    </row>
    <row r="154" ht="15" customHeight="1" s="148">
      <c r="D154" s="232">
        <f>IF(AND(D$11&gt;=FB141,D$11&lt;=FC141),IF((D$11-FB141)&lt;'Rent Roll'!$K$9,0,'Rent Roll'!$B$9*'Rent Roll'!$D$9*(1+'Rent Roll'!$F$9)^INT((D$11-FB141)/12)/12),0)</f>
        <v/>
      </c>
      <c r="E154" s="232">
        <f>IF(AND(E$11&gt;=FB141,E$11&lt;=FC141),IF((E$11-FB141)&lt;'Rent Roll'!$K$9,0,'Rent Roll'!$B$9*'Rent Roll'!$D$9*(1+'Rent Roll'!$F$9)^INT((E$11-FB141)/12)/12),0)</f>
        <v/>
      </c>
      <c r="F154" s="232">
        <f>IF(AND(F$11&gt;=FB141,F$11&lt;=FC141),IF((F$11-FB141)&lt;'Rent Roll'!$K$9,0,'Rent Roll'!$B$9*'Rent Roll'!$D$9*(1+'Rent Roll'!$F$9)^INT((F$11-FB141)/12)/12),0)</f>
        <v/>
      </c>
      <c r="G154" s="232">
        <f>IF(AND(G$11&gt;=FB141,G$11&lt;=FC141),IF((G$11-FB141)&lt;'Rent Roll'!$K$9,0,'Rent Roll'!$B$9*'Rent Roll'!$D$9*(1+'Rent Roll'!$F$9)^INT((G$11-FB141)/12)/12),0)</f>
        <v/>
      </c>
      <c r="H154" s="232">
        <f>IF(AND(H$11&gt;=FB141,H$11&lt;=FC141),IF((H$11-FB141)&lt;'Rent Roll'!$K$9,0,'Rent Roll'!$B$9*'Rent Roll'!$D$9*(1+'Rent Roll'!$F$9)^INT((H$11-FB141)/12)/12),0)</f>
        <v/>
      </c>
      <c r="I154" s="232">
        <f>IF(AND(I$11&gt;=FB141,I$11&lt;=FC141),IF((I$11-FB141)&lt;'Rent Roll'!$K$9,0,'Rent Roll'!$B$9*'Rent Roll'!$D$9*(1+'Rent Roll'!$F$9)^INT((I$11-FB141)/12)/12),0)</f>
        <v/>
      </c>
      <c r="J154" s="232">
        <f>IF(AND(J$11&gt;=FB141,J$11&lt;=FC141),IF((J$11-FB141)&lt;'Rent Roll'!$K$9,0,'Rent Roll'!$B$9*'Rent Roll'!$D$9*(1+'Rent Roll'!$F$9)^INT((J$11-FB141)/12)/12),0)</f>
        <v/>
      </c>
      <c r="K154" s="232">
        <f>IF(AND(K$11&gt;=FB141,K$11&lt;=FC141),IF((K$11-FB141)&lt;'Rent Roll'!$K$9,0,'Rent Roll'!$B$9*'Rent Roll'!$D$9*(1+'Rent Roll'!$F$9)^INT((K$11-FB141)/12)/12),0)</f>
        <v/>
      </c>
      <c r="L154" s="232">
        <f>IF(AND(L$11&gt;=FB141,L$11&lt;=FC141),IF((L$11-FB141)&lt;'Rent Roll'!$K$9,0,'Rent Roll'!$B$9*'Rent Roll'!$D$9*(1+'Rent Roll'!$F$9)^INT((L$11-FB141)/12)/12),0)</f>
        <v/>
      </c>
      <c r="M154" s="232">
        <f>IF(AND(M$11&gt;=FB141,M$11&lt;=FC141),IF((M$11-FB141)&lt;'Rent Roll'!$K$9,0,'Rent Roll'!$B$9*'Rent Roll'!$D$9*(1+'Rent Roll'!$F$9)^INT((M$11-FB141)/12)/12),0)</f>
        <v/>
      </c>
      <c r="N154" s="232">
        <f>IF(AND(N$11&gt;=FB141,N$11&lt;=FC141),IF((N$11-FB141)&lt;'Rent Roll'!$K$9,0,'Rent Roll'!$B$9*'Rent Roll'!$D$9*(1+'Rent Roll'!$F$9)^INT((N$11-FB141)/12)/12),0)</f>
        <v/>
      </c>
      <c r="O154" s="232">
        <f>IF(AND(O$11&gt;=FB141,O$11&lt;=FC141),IF((O$11-FB141)&lt;'Rent Roll'!$K$9,0,'Rent Roll'!$B$9*'Rent Roll'!$D$9*(1+'Rent Roll'!$F$9)^INT((O$11-FB141)/12)/12),0)</f>
        <v/>
      </c>
      <c r="P154" s="232">
        <f>IF(AND(P$11&gt;=FB141,P$11&lt;=FC141),IF((P$11-FB141)&lt;'Rent Roll'!$K$9,0,'Rent Roll'!$B$9*'Rent Roll'!$D$9*(1+'Rent Roll'!$F$9)^INT((P$11-FB141)/12)/12),0)</f>
        <v/>
      </c>
      <c r="Q154" s="232">
        <f>IF(AND(Q$11&gt;=FB141,Q$11&lt;=FC141),IF((Q$11-FB141)&lt;'Rent Roll'!$K$9,0,'Rent Roll'!$B$9*'Rent Roll'!$D$9*(1+'Rent Roll'!$F$9)^INT((Q$11-FB141)/12)/12),0)</f>
        <v/>
      </c>
      <c r="R154" s="232">
        <f>IF(AND(R$11&gt;=FB141,R$11&lt;=FC141),IF((R$11-FB141)&lt;'Rent Roll'!$K$9,0,'Rent Roll'!$B$9*'Rent Roll'!$D$9*(1+'Rent Roll'!$F$9)^INT((R$11-FB141)/12)/12),0)</f>
        <v/>
      </c>
      <c r="S154" s="232">
        <f>IF(AND(S$11&gt;=FB141,S$11&lt;=FC141),IF((S$11-FB141)&lt;'Rent Roll'!$K$9,0,'Rent Roll'!$B$9*'Rent Roll'!$D$9*(1+'Rent Roll'!$F$9)^INT((S$11-FB141)/12)/12),0)</f>
        <v/>
      </c>
      <c r="T154" s="232">
        <f>IF(AND(T$11&gt;=FB141,T$11&lt;=FC141),IF((T$11-FB141)&lt;'Rent Roll'!$K$9,0,'Rent Roll'!$B$9*'Rent Roll'!$D$9*(1+'Rent Roll'!$F$9)^INT((T$11-FB141)/12)/12),0)</f>
        <v/>
      </c>
      <c r="U154" s="232">
        <f>IF(AND(U$11&gt;=FB141,U$11&lt;=FC141),IF((U$11-FB141)&lt;'Rent Roll'!$K$9,0,'Rent Roll'!$B$9*'Rent Roll'!$D$9*(1+'Rent Roll'!$F$9)^INT((U$11-FB141)/12)/12),0)</f>
        <v/>
      </c>
      <c r="V154" s="232">
        <f>IF(AND(V$11&gt;=FB141,V$11&lt;=FC141),IF((V$11-FB141)&lt;'Rent Roll'!$K$9,0,'Rent Roll'!$B$9*'Rent Roll'!$D$9*(1+'Rent Roll'!$F$9)^INT((V$11-FB141)/12)/12),0)</f>
        <v/>
      </c>
      <c r="W154" s="232">
        <f>IF(AND(W$11&gt;=FB141,W$11&lt;=FC141),IF((W$11-FB141)&lt;'Rent Roll'!$K$9,0,'Rent Roll'!$B$9*'Rent Roll'!$D$9*(1+'Rent Roll'!$F$9)^INT((W$11-FB141)/12)/12),0)</f>
        <v/>
      </c>
      <c r="X154" s="232">
        <f>IF(AND(X$11&gt;=FB141,X$11&lt;=FC141),IF((X$11-FB141)&lt;'Rent Roll'!$K$9,0,'Rent Roll'!$B$9*'Rent Roll'!$D$9*(1+'Rent Roll'!$F$9)^INT((X$11-FB141)/12)/12),0)</f>
        <v/>
      </c>
      <c r="Y154" s="232">
        <f>IF(AND(Y$11&gt;=FB141,Y$11&lt;=FC141),IF((Y$11-FB141)&lt;'Rent Roll'!$K$9,0,'Rent Roll'!$B$9*'Rent Roll'!$D$9*(1+'Rent Roll'!$F$9)^INT((Y$11-FB141)/12)/12),0)</f>
        <v/>
      </c>
      <c r="Z154" s="232">
        <f>IF(AND(Z$11&gt;=FB141,Z$11&lt;=FC141),IF((Z$11-FB141)&lt;'Rent Roll'!$K$9,0,'Rent Roll'!$B$9*'Rent Roll'!$D$9*(1+'Rent Roll'!$F$9)^INT((Z$11-FB141)/12)/12),0)</f>
        <v/>
      </c>
      <c r="AA154" s="232">
        <f>IF(AND(AA$11&gt;=FB141,AA$11&lt;=FC141),IF((AA$11-FB141)&lt;'Rent Roll'!$K$9,0,'Rent Roll'!$B$9*'Rent Roll'!$D$9*(1+'Rent Roll'!$F$9)^INT((AA$11-FB141)/12)/12),0)</f>
        <v/>
      </c>
      <c r="AB154" s="232">
        <f>IF(AND(AB$11&gt;=FB141,AB$11&lt;=FC141),IF((AB$11-FB141)&lt;'Rent Roll'!$K$9,0,'Rent Roll'!$B$9*'Rent Roll'!$D$9*(1+'Rent Roll'!$F$9)^INT((AB$11-FB141)/12)/12),0)</f>
        <v/>
      </c>
      <c r="AC154" s="232">
        <f>IF(AND(AC$11&gt;=FB141,AC$11&lt;=FC141),IF((AC$11-FB141)&lt;'Rent Roll'!$K$9,0,'Rent Roll'!$B$9*'Rent Roll'!$D$9*(1+'Rent Roll'!$F$9)^INT((AC$11-FB141)/12)/12),0)</f>
        <v/>
      </c>
      <c r="AD154" s="232">
        <f>IF(AND(AD$11&gt;=FB141,AD$11&lt;=FC141),IF((AD$11-FB141)&lt;'Rent Roll'!$K$9,0,'Rent Roll'!$B$9*'Rent Roll'!$D$9*(1+'Rent Roll'!$F$9)^INT((AD$11-FB141)/12)/12),0)</f>
        <v/>
      </c>
      <c r="AE154" s="232">
        <f>IF(AND(AE$11&gt;=FB141,AE$11&lt;=FC141),IF((AE$11-FB141)&lt;'Rent Roll'!$K$9,0,'Rent Roll'!$B$9*'Rent Roll'!$D$9*(1+'Rent Roll'!$F$9)^INT((AE$11-FB141)/12)/12),0)</f>
        <v/>
      </c>
      <c r="AF154" s="232">
        <f>IF(AND(AF$11&gt;=FB141,AF$11&lt;=FC141),IF((AF$11-FB141)&lt;'Rent Roll'!$K$9,0,'Rent Roll'!$B$9*'Rent Roll'!$D$9*(1+'Rent Roll'!$F$9)^INT((AF$11-FB141)/12)/12),0)</f>
        <v/>
      </c>
      <c r="AG154" s="232">
        <f>IF(AND(AG$11&gt;=FB141,AG$11&lt;=FC141),IF((AG$11-FB141)&lt;'Rent Roll'!$K$9,0,'Rent Roll'!$B$9*'Rent Roll'!$D$9*(1+'Rent Roll'!$F$9)^INT((AG$11-FB141)/12)/12),0)</f>
        <v/>
      </c>
      <c r="AH154" s="232">
        <f>IF(AND(AH$11&gt;=FB141,AH$11&lt;=FC141),IF((AH$11-FB141)&lt;'Rent Roll'!$K$9,0,'Rent Roll'!$B$9*'Rent Roll'!$D$9*(1+'Rent Roll'!$F$9)^INT((AH$11-FB141)/12)/12),0)</f>
        <v/>
      </c>
      <c r="AI154" s="232">
        <f>IF(AND(AI$11&gt;=FB141,AI$11&lt;=FC141),IF((AI$11-FB141)&lt;'Rent Roll'!$K$9,0,'Rent Roll'!$B$9*'Rent Roll'!$D$9*(1+'Rent Roll'!$F$9)^INT((AI$11-FB141)/12)/12),0)</f>
        <v/>
      </c>
      <c r="AJ154" s="232">
        <f>IF(AND(AJ$11&gt;=FB141,AJ$11&lt;=FC141),IF((AJ$11-FB141)&lt;'Rent Roll'!$K$9,0,'Rent Roll'!$B$9*'Rent Roll'!$D$9*(1+'Rent Roll'!$F$9)^INT((AJ$11-FB141)/12)/12),0)</f>
        <v/>
      </c>
      <c r="AK154" s="232">
        <f>IF(AND(AK$11&gt;=FB141,AK$11&lt;=FC141),IF((AK$11-FB141)&lt;'Rent Roll'!$K$9,0,'Rent Roll'!$B$9*'Rent Roll'!$D$9*(1+'Rent Roll'!$F$9)^INT((AK$11-FB141)/12)/12),0)</f>
        <v/>
      </c>
      <c r="AL154" s="232">
        <f>IF(AND(AL$11&gt;=FB141,AL$11&lt;=FC141),IF((AL$11-FB141)&lt;'Rent Roll'!$K$9,0,'Rent Roll'!$B$9*'Rent Roll'!$D$9*(1+'Rent Roll'!$F$9)^INT((AL$11-FB141)/12)/12),0)</f>
        <v/>
      </c>
      <c r="AM154" s="232">
        <f>IF(AND(AM$11&gt;=FB141,AM$11&lt;=FC141),IF((AM$11-FB141)&lt;'Rent Roll'!$K$9,0,'Rent Roll'!$B$9*'Rent Roll'!$D$9*(1+'Rent Roll'!$F$9)^INT((AM$11-FB141)/12)/12),0)</f>
        <v/>
      </c>
      <c r="AN154" s="232">
        <f>IF(AND(AN$11&gt;=FB141,AN$11&lt;=FC141),IF((AN$11-FB141)&lt;'Rent Roll'!$K$9,0,'Rent Roll'!$B$9*'Rent Roll'!$D$9*(1+'Rent Roll'!$F$9)^INT((AN$11-FB141)/12)/12),0)</f>
        <v/>
      </c>
      <c r="AO154" s="232">
        <f>IF(AND(AO$11&gt;=FB141,AO$11&lt;=FC141),IF((AO$11-FB141)&lt;'Rent Roll'!$K$9,0,'Rent Roll'!$B$9*'Rent Roll'!$D$9*(1+'Rent Roll'!$F$9)^INT((AO$11-FB141)/12)/12),0)</f>
        <v/>
      </c>
      <c r="AP154" s="232">
        <f>IF(AND(AP$11&gt;=FB141,AP$11&lt;=FC141),IF((AP$11-FB141)&lt;'Rent Roll'!$K$9,0,'Rent Roll'!$B$9*'Rent Roll'!$D$9*(1+'Rent Roll'!$F$9)^INT((AP$11-FB141)/12)/12),0)</f>
        <v/>
      </c>
      <c r="AQ154" s="232">
        <f>IF(AND(AQ$11&gt;=FB141,AQ$11&lt;=FC141),IF((AQ$11-FB141)&lt;'Rent Roll'!$K$9,0,'Rent Roll'!$B$9*'Rent Roll'!$D$9*(1+'Rent Roll'!$F$9)^INT((AQ$11-FB141)/12)/12),0)</f>
        <v/>
      </c>
      <c r="AR154" s="232">
        <f>IF(AND(AR$11&gt;=FB141,AR$11&lt;=FC141),IF((AR$11-FB141)&lt;'Rent Roll'!$K$9,0,'Rent Roll'!$B$9*'Rent Roll'!$D$9*(1+'Rent Roll'!$F$9)^INT((AR$11-FB141)/12)/12),0)</f>
        <v/>
      </c>
      <c r="AS154" s="232">
        <f>IF(AND(AS$11&gt;=FB141,AS$11&lt;=FC141),IF((AS$11-FB141)&lt;'Rent Roll'!$K$9,0,'Rent Roll'!$B$9*'Rent Roll'!$D$9*(1+'Rent Roll'!$F$9)^INT((AS$11-FB141)/12)/12),0)</f>
        <v/>
      </c>
      <c r="AT154" s="232">
        <f>IF(AND(AT$11&gt;=FB141,AT$11&lt;=FC141),IF((AT$11-FB141)&lt;'Rent Roll'!$K$9,0,'Rent Roll'!$B$9*'Rent Roll'!$D$9*(1+'Rent Roll'!$F$9)^INT((AT$11-FB141)/12)/12),0)</f>
        <v/>
      </c>
      <c r="AU154" s="232">
        <f>IF(AND(AU$11&gt;=FB141,AU$11&lt;=FC141),IF((AU$11-FB141)&lt;'Rent Roll'!$K$9,0,'Rent Roll'!$B$9*'Rent Roll'!$D$9*(1+'Rent Roll'!$F$9)^INT((AU$11-FB141)/12)/12),0)</f>
        <v/>
      </c>
      <c r="AV154" s="232">
        <f>IF(AND(AV$11&gt;=FB141,AV$11&lt;=FC141),IF((AV$11-FB141)&lt;'Rent Roll'!$K$9,0,'Rent Roll'!$B$9*'Rent Roll'!$D$9*(1+'Rent Roll'!$F$9)^INT((AV$11-FB141)/12)/12),0)</f>
        <v/>
      </c>
      <c r="AW154" s="232">
        <f>IF(AND(AW$11&gt;=FB141,AW$11&lt;=FC141),IF((AW$11-FB141)&lt;'Rent Roll'!$K$9,0,'Rent Roll'!$B$9*'Rent Roll'!$D$9*(1+'Rent Roll'!$F$9)^INT((AW$11-FB141)/12)/12),0)</f>
        <v/>
      </c>
      <c r="AX154" s="232">
        <f>IF(AND(AX$11&gt;=FB141,AX$11&lt;=FC141),IF((AX$11-FB141)&lt;'Rent Roll'!$K$9,0,'Rent Roll'!$B$9*'Rent Roll'!$D$9*(1+'Rent Roll'!$F$9)^INT((AX$11-FB141)/12)/12),0)</f>
        <v/>
      </c>
      <c r="AY154" s="232">
        <f>IF(AND(AY$11&gt;=FB141,AY$11&lt;=FC141),IF((AY$11-FB141)&lt;'Rent Roll'!$K$9,0,'Rent Roll'!$B$9*'Rent Roll'!$D$9*(1+'Rent Roll'!$F$9)^INT((AY$11-FB141)/12)/12),0)</f>
        <v/>
      </c>
      <c r="AZ154" s="232">
        <f>IF(AND(AZ$11&gt;=FB141,AZ$11&lt;=FC141),IF((AZ$11-FB141)&lt;'Rent Roll'!$K$9,0,'Rent Roll'!$B$9*'Rent Roll'!$D$9*(1+'Rent Roll'!$F$9)^INT((AZ$11-FB141)/12)/12),0)</f>
        <v/>
      </c>
      <c r="BA154" s="232">
        <f>IF(AND(BA$11&gt;=FB141,BA$11&lt;=FC141),IF((BA$11-FB141)&lt;'Rent Roll'!$K$9,0,'Rent Roll'!$B$9*'Rent Roll'!$D$9*(1+'Rent Roll'!$F$9)^INT((BA$11-FB141)/12)/12),0)</f>
        <v/>
      </c>
      <c r="BB154" s="232">
        <f>IF(AND(BB$11&gt;=FB141,BB$11&lt;=FC141),IF((BB$11-FB141)&lt;'Rent Roll'!$K$9,0,'Rent Roll'!$B$9*'Rent Roll'!$D$9*(1+'Rent Roll'!$F$9)^INT((BB$11-FB141)/12)/12),0)</f>
        <v/>
      </c>
      <c r="BC154" s="232">
        <f>IF(AND(BC$11&gt;=FB141,BC$11&lt;=FC141),IF((BC$11-FB141)&lt;'Rent Roll'!$K$9,0,'Rent Roll'!$B$9*'Rent Roll'!$D$9*(1+'Rent Roll'!$F$9)^INT((BC$11-FB141)/12)/12),0)</f>
        <v/>
      </c>
      <c r="BD154" s="232">
        <f>IF(AND(BD$11&gt;=FB141,BD$11&lt;=FC141),IF((BD$11-FB141)&lt;'Rent Roll'!$K$9,0,'Rent Roll'!$B$9*'Rent Roll'!$D$9*(1+'Rent Roll'!$F$9)^INT((BD$11-FB141)/12)/12),0)</f>
        <v/>
      </c>
      <c r="BE154" s="232">
        <f>IF(AND(BE$11&gt;=FB141,BE$11&lt;=FC141),IF((BE$11-FB141)&lt;'Rent Roll'!$K$9,0,'Rent Roll'!$B$9*'Rent Roll'!$D$9*(1+'Rent Roll'!$F$9)^INT((BE$11-FB141)/12)/12),0)</f>
        <v/>
      </c>
      <c r="BF154" s="232">
        <f>IF(AND(BF$11&gt;=FB141,BF$11&lt;=FC141),IF((BF$11-FB141)&lt;'Rent Roll'!$K$9,0,'Rent Roll'!$B$9*'Rent Roll'!$D$9*(1+'Rent Roll'!$F$9)^INT((BF$11-FB141)/12)/12),0)</f>
        <v/>
      </c>
      <c r="BG154" s="232">
        <f>IF(AND(BG$11&gt;=FB141,BG$11&lt;=FC141),IF((BG$11-FB141)&lt;'Rent Roll'!$K$9,0,'Rent Roll'!$B$9*'Rent Roll'!$D$9*(1+'Rent Roll'!$F$9)^INT((BG$11-FB141)/12)/12),0)</f>
        <v/>
      </c>
      <c r="BH154" s="232">
        <f>IF(AND(BH$11&gt;=FB141,BH$11&lt;=FC141),IF((BH$11-FB141)&lt;'Rent Roll'!$K$9,0,'Rent Roll'!$B$9*'Rent Roll'!$D$9*(1+'Rent Roll'!$F$9)^INT((BH$11-FB141)/12)/12),0)</f>
        <v/>
      </c>
      <c r="BI154" s="232">
        <f>IF(AND(BI$11&gt;=FB141,BI$11&lt;=FC141),IF((BI$11-FB141)&lt;'Rent Roll'!$K$9,0,'Rent Roll'!$B$9*'Rent Roll'!$D$9*(1+'Rent Roll'!$F$9)^INT((BI$11-FB141)/12)/12),0)</f>
        <v/>
      </c>
      <c r="BJ154" s="232">
        <f>IF(AND(BJ$11&gt;=FB141,BJ$11&lt;=FC141),IF((BJ$11-FB141)&lt;'Rent Roll'!$K$9,0,'Rent Roll'!$B$9*'Rent Roll'!$D$9*(1+'Rent Roll'!$F$9)^INT((BJ$11-FB141)/12)/12),0)</f>
        <v/>
      </c>
      <c r="BK154" s="232">
        <f>IF(AND(BK$11&gt;=FB141,BK$11&lt;=FC141),IF((BK$11-FB141)&lt;'Rent Roll'!$K$9,0,'Rent Roll'!$B$9*'Rent Roll'!$D$9*(1+'Rent Roll'!$F$9)^INT((BK$11-FB141)/12)/12),0)</f>
        <v/>
      </c>
      <c r="BL154" s="232">
        <f>IF(AND(BL$11&gt;=FB141,BL$11&lt;=FC141),IF((BL$11-FB141)&lt;'Rent Roll'!$K$9,0,'Rent Roll'!$B$9*'Rent Roll'!$D$9*(1+'Rent Roll'!$F$9)^INT((BL$11-FB141)/12)/12),0)</f>
        <v/>
      </c>
      <c r="BM154" s="232">
        <f>IF(AND(BM$11&gt;=FC141,BM$11&lt;=FD141),IF((BM$11-FC141)&lt;'Rent Roll'!$K$9,0,'Rent Roll'!$B$9*'Rent Roll'!$D$9*(1+'Rent Roll'!$F$9)^INT((BM$11-FC141)/12)/12),0)</f>
        <v/>
      </c>
      <c r="BN154" s="232">
        <f>IF(AND(BN$11&gt;=FD141,BN$11&lt;=FE141),IF((BN$11-FD141)&lt;'Rent Roll'!$K$9,0,'Rent Roll'!$B$9*'Rent Roll'!$D$9*(1+'Rent Roll'!$F$9)^INT((BN$11-FD141)/12)/12),0)</f>
        <v/>
      </c>
      <c r="BO154" s="232">
        <f>IF(AND(BO$11&gt;=FE141,BO$11&lt;=FF141),IF((BO$11-FE141)&lt;'Rent Roll'!$K$9,0,'Rent Roll'!$B$9*'Rent Roll'!$D$9*(1+'Rent Roll'!$F$9)^INT((BO$11-FE141)/12)/12),0)</f>
        <v/>
      </c>
      <c r="BP154" s="232">
        <f>IF(AND(BP$11&gt;=FF141,BP$11&lt;=FG141),IF((BP$11-FF141)&lt;'Rent Roll'!$K$9,0,'Rent Roll'!$B$9*'Rent Roll'!$D$9*(1+'Rent Roll'!$F$9)^INT((BP$11-FF141)/12)/12),0)</f>
        <v/>
      </c>
      <c r="BQ154" s="232">
        <f>IF(AND(BQ$11&gt;=FG141,BQ$11&lt;=FH141),IF((BQ$11-FG141)&lt;'Rent Roll'!$K$9,0,'Rent Roll'!$B$9*'Rent Roll'!$D$9*(1+'Rent Roll'!$F$9)^INT((BQ$11-FG141)/12)/12),0)</f>
        <v/>
      </c>
      <c r="BR154" s="232">
        <f>IF(AND(BR$11&gt;=FH141,BR$11&lt;=FI141),IF((BR$11-FH141)&lt;'Rent Roll'!$K$9,0,'Rent Roll'!$B$9*'Rent Roll'!$D$9*(1+'Rent Roll'!$F$9)^INT((BR$11-FH141)/12)/12),0)</f>
        <v/>
      </c>
      <c r="BS154" s="232">
        <f>IF(AND(BS$11&gt;=FI141,BS$11&lt;=FJ141),IF((BS$11-FI141)&lt;'Rent Roll'!$K$9,0,'Rent Roll'!$B$9*'Rent Roll'!$D$9*(1+'Rent Roll'!$F$9)^INT((BS$11-FI141)/12)/12),0)</f>
        <v/>
      </c>
      <c r="BT154" s="232">
        <f>IF(AND(BT$11&gt;=FJ141,BT$11&lt;=FK141),IF((BT$11-FJ141)&lt;'Rent Roll'!$K$9,0,'Rent Roll'!$B$9*'Rent Roll'!$D$9*(1+'Rent Roll'!$F$9)^INT((BT$11-FJ141)/12)/12),0)</f>
        <v/>
      </c>
      <c r="BU154" s="232">
        <f>IF(AND(BU$11&gt;=FK141,BU$11&lt;=FL141),IF((BU$11-FK141)&lt;'Rent Roll'!$K$9,0,'Rent Roll'!$B$9*'Rent Roll'!$D$9*(1+'Rent Roll'!$F$9)^INT((BU$11-FK141)/12)/12),0)</f>
        <v/>
      </c>
      <c r="BV154" s="232">
        <f>IF(AND(BV$11&gt;=FL141,BV$11&lt;=FM141),IF((BV$11-FL141)&lt;'Rent Roll'!$K$9,0,'Rent Roll'!$B$9*'Rent Roll'!$D$9*(1+'Rent Roll'!$F$9)^INT((BV$11-FL141)/12)/12),0)</f>
        <v/>
      </c>
      <c r="BW154" s="232">
        <f>IF(AND(BW$11&gt;=FM141,BW$11&lt;=FN141),IF((BW$11-FM141)&lt;'Rent Roll'!$K$9,0,'Rent Roll'!$B$9*'Rent Roll'!$D$9*(1+'Rent Roll'!$F$9)^INT((BW$11-FM141)/12)/12),0)</f>
        <v/>
      </c>
      <c r="BX154" s="232">
        <f>IF(AND(BX$11&gt;=FN141,BX$11&lt;=FO141),IF((BX$11-FN141)&lt;'Rent Roll'!$K$9,0,'Rent Roll'!$B$9*'Rent Roll'!$D$9*(1+'Rent Roll'!$F$9)^INT((BX$11-FN141)/12)/12),0)</f>
        <v/>
      </c>
      <c r="BY154" s="232">
        <f>IF(AND(BY$11&gt;=FO141,BY$11&lt;=FP141),IF((BY$11-FO141)&lt;'Rent Roll'!$K$9,0,'Rent Roll'!$B$9*'Rent Roll'!$D$9*(1+'Rent Roll'!$F$9)^INT((BY$11-FO141)/12)/12),0)</f>
        <v/>
      </c>
      <c r="BZ154" s="232">
        <f>IF(AND(BZ$11&gt;=FP141,BZ$11&lt;=FQ141),IF((BZ$11-FP141)&lt;'Rent Roll'!$K$9,0,'Rent Roll'!$B$9*'Rent Roll'!$D$9*(1+'Rent Roll'!$F$9)^INT((BZ$11-FP141)/12)/12),0)</f>
        <v/>
      </c>
      <c r="CA154" s="232">
        <f>IF(AND(CA$11&gt;=FQ141,CA$11&lt;=FR141),IF((CA$11-FQ141)&lt;'Rent Roll'!$K$9,0,'Rent Roll'!$B$9*'Rent Roll'!$D$9*(1+'Rent Roll'!$F$9)^INT((CA$11-FQ141)/12)/12),0)</f>
        <v/>
      </c>
      <c r="CB154" s="232">
        <f>IF(AND(CB$11&gt;=FR141,CB$11&lt;=FS141),IF((CB$11-FR141)&lt;'Rent Roll'!$K$9,0,'Rent Roll'!$B$9*'Rent Roll'!$D$9*(1+'Rent Roll'!$F$9)^INT((CB$11-FR141)/12)/12),0)</f>
        <v/>
      </c>
      <c r="CC154" s="232">
        <f>IF(AND(CC$11&gt;=FS141,CC$11&lt;=FT141),IF((CC$11-FS141)&lt;'Rent Roll'!$K$9,0,'Rent Roll'!$B$9*'Rent Roll'!$D$9*(1+'Rent Roll'!$F$9)^INT((CC$11-FS141)/12)/12),0)</f>
        <v/>
      </c>
      <c r="CD154" s="232">
        <f>IF(AND(CD$11&gt;=FT141,CD$11&lt;=FU141),IF((CD$11-FT141)&lt;'Rent Roll'!$K$9,0,'Rent Roll'!$B$9*'Rent Roll'!$D$9*(1+'Rent Roll'!$F$9)^INT((CD$11-FT141)/12)/12),0)</f>
        <v/>
      </c>
      <c r="CE154" s="232">
        <f>IF(AND(CE$11&gt;=FU141,CE$11&lt;=FV141),IF((CE$11-FU141)&lt;'Rent Roll'!$K$9,0,'Rent Roll'!$B$9*'Rent Roll'!$D$9*(1+'Rent Roll'!$F$9)^INT((CE$11-FU141)/12)/12),0)</f>
        <v/>
      </c>
      <c r="CF154" s="232">
        <f>IF(AND(CF$11&gt;=FV141,CF$11&lt;=FW141),IF((CF$11-FV141)&lt;'Rent Roll'!$K$9,0,'Rent Roll'!$B$9*'Rent Roll'!$D$9*(1+'Rent Roll'!$F$9)^INT((CF$11-FV141)/12)/12),0)</f>
        <v/>
      </c>
      <c r="CG154" s="232">
        <f>IF(AND(CG$11&gt;=FW141,CG$11&lt;=FX141),IF((CG$11-FW141)&lt;'Rent Roll'!$K$9,0,'Rent Roll'!$B$9*'Rent Roll'!$D$9*(1+'Rent Roll'!$F$9)^INT((CG$11-FW141)/12)/12),0)</f>
        <v/>
      </c>
      <c r="CH154" s="232">
        <f>IF(AND(CH$11&gt;=FX141,CH$11&lt;=FY141),IF((CH$11-FX141)&lt;'Rent Roll'!$K$9,0,'Rent Roll'!$B$9*'Rent Roll'!$D$9*(1+'Rent Roll'!$F$9)^INT((CH$11-FX141)/12)/12),0)</f>
        <v/>
      </c>
      <c r="CI154" s="232">
        <f>IF(AND(CI$11&gt;=FY141,CI$11&lt;=FZ141),IF((CI$11-FY141)&lt;'Rent Roll'!$K$9,0,'Rent Roll'!$B$9*'Rent Roll'!$D$9*(1+'Rent Roll'!$F$9)^INT((CI$11-FY141)/12)/12),0)</f>
        <v/>
      </c>
      <c r="CJ154" s="232">
        <f>IF(AND(CJ$11&gt;=FZ141,CJ$11&lt;=GA141),IF((CJ$11-FZ141)&lt;'Rent Roll'!$K$9,0,'Rent Roll'!$B$9*'Rent Roll'!$D$9*(1+'Rent Roll'!$F$9)^INT((CJ$11-FZ141)/12)/12),0)</f>
        <v/>
      </c>
      <c r="CK154" s="232">
        <f>IF(AND(CK$11&gt;=GA141,CK$11&lt;=GB141),IF((CK$11-GA141)&lt;'Rent Roll'!$K$9,0,'Rent Roll'!$B$9*'Rent Roll'!$D$9*(1+'Rent Roll'!$F$9)^INT((CK$11-GA141)/12)/12),0)</f>
        <v/>
      </c>
      <c r="CL154" s="232">
        <f>IF(AND(CL$11&gt;=GB141,CL$11&lt;=GC141),IF((CL$11-GB141)&lt;'Rent Roll'!$K$9,0,'Rent Roll'!$B$9*'Rent Roll'!$D$9*(1+'Rent Roll'!$F$9)^INT((CL$11-GB141)/12)/12),0)</f>
        <v/>
      </c>
      <c r="CM154" s="232">
        <f>IF(AND(CM$11&gt;=GC141,CM$11&lt;=GD141),IF((CM$11-GC141)&lt;'Rent Roll'!$K$9,0,'Rent Roll'!$B$9*'Rent Roll'!$D$9*(1+'Rent Roll'!$F$9)^INT((CM$11-GC141)/12)/12),0)</f>
        <v/>
      </c>
      <c r="CN154" s="232">
        <f>IF(AND(CN$11&gt;=GD141,CN$11&lt;=GE141),IF((CN$11-GD141)&lt;'Rent Roll'!$K$9,0,'Rent Roll'!$B$9*'Rent Roll'!$D$9*(1+'Rent Roll'!$F$9)^INT((CN$11-GD141)/12)/12),0)</f>
        <v/>
      </c>
      <c r="CO154" s="232">
        <f>IF(AND(CO$11&gt;=GE141,CO$11&lt;=GF141),IF((CO$11-GE141)&lt;'Rent Roll'!$K$9,0,'Rent Roll'!$B$9*'Rent Roll'!$D$9*(1+'Rent Roll'!$F$9)^INT((CO$11-GE141)/12)/12),0)</f>
        <v/>
      </c>
      <c r="CP154" s="232">
        <f>IF(AND(CP$11&gt;=GF141,CP$11&lt;=GG141),IF((CP$11-GF141)&lt;'Rent Roll'!$K$9,0,'Rent Roll'!$B$9*'Rent Roll'!$D$9*(1+'Rent Roll'!$F$9)^INT((CP$11-GF141)/12)/12),0)</f>
        <v/>
      </c>
      <c r="CQ154" s="232">
        <f>IF(AND(CQ$11&gt;=GG141,CQ$11&lt;=GH141),IF((CQ$11-GG141)&lt;'Rent Roll'!$K$9,0,'Rent Roll'!$B$9*'Rent Roll'!$D$9*(1+'Rent Roll'!$F$9)^INT((CQ$11-GG141)/12)/12),0)</f>
        <v/>
      </c>
      <c r="CR154" s="232">
        <f>IF(AND(CR$11&gt;=GH141,CR$11&lt;=GI141),IF((CR$11-GH141)&lt;'Rent Roll'!$K$9,0,'Rent Roll'!$B$9*'Rent Roll'!$D$9*(1+'Rent Roll'!$F$9)^INT((CR$11-GH141)/12)/12),0)</f>
        <v/>
      </c>
      <c r="CS154" s="232">
        <f>IF(AND(CS$11&gt;=GI141,CS$11&lt;=GJ141),IF((CS$11-GI141)&lt;'Rent Roll'!$K$9,0,'Rent Roll'!$B$9*'Rent Roll'!$D$9*(1+'Rent Roll'!$F$9)^INT((CS$11-GI141)/12)/12),0)</f>
        <v/>
      </c>
      <c r="CT154" s="232">
        <f>IF(AND(CT$11&gt;=GJ141,CT$11&lt;=GK141),IF((CT$11-GJ141)&lt;'Rent Roll'!$K$9,0,'Rent Roll'!$B$9*'Rent Roll'!$D$9*(1+'Rent Roll'!$F$9)^INT((CT$11-GJ141)/12)/12),0)</f>
        <v/>
      </c>
      <c r="CU154" s="232">
        <f>IF(AND(CU$11&gt;=GK141,CU$11&lt;=GL141),IF((CU$11-GK141)&lt;'Rent Roll'!$K$9,0,'Rent Roll'!$B$9*'Rent Roll'!$D$9*(1+'Rent Roll'!$F$9)^INT((CU$11-GK141)/12)/12),0)</f>
        <v/>
      </c>
      <c r="CV154" s="232">
        <f>IF(AND(CV$11&gt;=GL141,CV$11&lt;=GM141),IF((CV$11-GL141)&lt;'Rent Roll'!$K$9,0,'Rent Roll'!$B$9*'Rent Roll'!$D$9*(1+'Rent Roll'!$F$9)^INT((CV$11-GL141)/12)/12),0)</f>
        <v/>
      </c>
      <c r="CW154" s="232">
        <f>IF(AND(CW$11&gt;=GM141,CW$11&lt;=GN141),IF((CW$11-GM141)&lt;'Rent Roll'!$K$9,0,'Rent Roll'!$B$9*'Rent Roll'!$D$9*(1+'Rent Roll'!$F$9)^INT((CW$11-GM141)/12)/12),0)</f>
        <v/>
      </c>
      <c r="CX154" s="232">
        <f>IF(AND(CX$11&gt;=GN141,CX$11&lt;=GO141),IF((CX$11-GN141)&lt;'Rent Roll'!$K$9,0,'Rent Roll'!$B$9*'Rent Roll'!$D$9*(1+'Rent Roll'!$F$9)^INT((CX$11-GN141)/12)/12),0)</f>
        <v/>
      </c>
      <c r="CY154" s="232">
        <f>IF(AND(CY$11&gt;=GO141,CY$11&lt;=GP141),IF((CY$11-GO141)&lt;'Rent Roll'!$K$9,0,'Rent Roll'!$B$9*'Rent Roll'!$D$9*(1+'Rent Roll'!$F$9)^INT((CY$11-GO141)/12)/12),0)</f>
        <v/>
      </c>
      <c r="CZ154" s="232">
        <f>IF(AND(CZ$11&gt;=GP141,CZ$11&lt;=GQ141),IF((CZ$11-GP141)&lt;'Rent Roll'!$K$9,0,'Rent Roll'!$B$9*'Rent Roll'!$D$9*(1+'Rent Roll'!$F$9)^INT((CZ$11-GP141)/12)/12),0)</f>
        <v/>
      </c>
      <c r="DA154" s="232">
        <f>IF(AND(DA$11&gt;=GQ141,DA$11&lt;=GR141),IF((DA$11-GQ141)&lt;'Rent Roll'!$K$9,0,'Rent Roll'!$B$9*'Rent Roll'!$D$9*(1+'Rent Roll'!$F$9)^INT((DA$11-GQ141)/12)/12),0)</f>
        <v/>
      </c>
      <c r="DB154" s="232">
        <f>IF(AND(DB$11&gt;=GR141,DB$11&lt;=GS141),IF((DB$11-GR141)&lt;'Rent Roll'!$K$9,0,'Rent Roll'!$B$9*'Rent Roll'!$D$9*(1+'Rent Roll'!$F$9)^INT((DB$11-GR141)/12)/12),0)</f>
        <v/>
      </c>
      <c r="DC154" s="232">
        <f>IF(AND(DC$11&gt;=GS141,DC$11&lt;=GT141),IF((DC$11-GS141)&lt;'Rent Roll'!$K$9,0,'Rent Roll'!$B$9*'Rent Roll'!$D$9*(1+'Rent Roll'!$F$9)^INT((DC$11-GS141)/12)/12),0)</f>
        <v/>
      </c>
      <c r="DD154" s="232">
        <f>IF(AND(DD$11&gt;=GT141,DD$11&lt;=GU141),IF((DD$11-GT141)&lt;'Rent Roll'!$K$9,0,'Rent Roll'!$B$9*'Rent Roll'!$D$9*(1+'Rent Roll'!$F$9)^INT((DD$11-GT141)/12)/12),0)</f>
        <v/>
      </c>
      <c r="DE154" s="232">
        <f>IF(AND(DE$11&gt;=GU141,DE$11&lt;=GV141),IF((DE$11-GU141)&lt;'Rent Roll'!$K$9,0,'Rent Roll'!$B$9*'Rent Roll'!$D$9*(1+'Rent Roll'!$F$9)^INT((DE$11-GU141)/12)/12),0)</f>
        <v/>
      </c>
      <c r="DF154" s="232">
        <f>IF(AND(DF$11&gt;=GV141,DF$11&lt;=GW141),IF((DF$11-GV141)&lt;'Rent Roll'!$K$9,0,'Rent Roll'!$B$9*'Rent Roll'!$D$9*(1+'Rent Roll'!$F$9)^INT((DF$11-GV141)/12)/12),0)</f>
        <v/>
      </c>
      <c r="DG154" s="232">
        <f>IF(AND(DG$11&gt;=GW141,DG$11&lt;=GX141),IF((DG$11-GW141)&lt;'Rent Roll'!$K$9,0,'Rent Roll'!$B$9*'Rent Roll'!$D$9*(1+'Rent Roll'!$F$9)^INT((DG$11-GW141)/12)/12),0)</f>
        <v/>
      </c>
      <c r="DH154" s="232">
        <f>IF(AND(DH$11&gt;=GX141,DH$11&lt;=GY141),IF((DH$11-GX141)&lt;'Rent Roll'!$K$9,0,'Rent Roll'!$B$9*'Rent Roll'!$D$9*(1+'Rent Roll'!$F$9)^INT((DH$11-GX141)/12)/12),0)</f>
        <v/>
      </c>
      <c r="DI154" s="232">
        <f>IF(AND(DI$11&gt;=GY141,DI$11&lt;=GZ141),IF((DI$11-GY141)&lt;'Rent Roll'!$K$9,0,'Rent Roll'!$B$9*'Rent Roll'!$D$9*(1+'Rent Roll'!$F$9)^INT((DI$11-GY141)/12)/12),0)</f>
        <v/>
      </c>
      <c r="DJ154" s="232">
        <f>IF(AND(DJ$11&gt;=GZ141,DJ$11&lt;=HA141),IF((DJ$11-GZ141)&lt;'Rent Roll'!$K$9,0,'Rent Roll'!$B$9*'Rent Roll'!$D$9*(1+'Rent Roll'!$F$9)^INT((DJ$11-GZ141)/12)/12),0)</f>
        <v/>
      </c>
      <c r="DK154" s="232">
        <f>IF(AND(DK$11&gt;=HA141,DK$11&lt;=HB141),IF((DK$11-HA141)&lt;'Rent Roll'!$K$9,0,'Rent Roll'!$B$9*'Rent Roll'!$D$9*(1+'Rent Roll'!$F$9)^INT((DK$11-HA141)/12)/12),0)</f>
        <v/>
      </c>
      <c r="DL154" s="232">
        <f>IF(AND(DL$11&gt;=HB141,DL$11&lt;=HC141),IF((DL$11-HB141)&lt;'Rent Roll'!$K$9,0,'Rent Roll'!$B$9*'Rent Roll'!$D$9*(1+'Rent Roll'!$F$9)^INT((DL$11-HB141)/12)/12),0)</f>
        <v/>
      </c>
      <c r="DM154" s="232">
        <f>IF(AND(DM$11&gt;=HC141,DM$11&lt;=HD141),IF((DM$11-HC141)&lt;'Rent Roll'!$K$9,0,'Rent Roll'!$B$9*'Rent Roll'!$D$9*(1+'Rent Roll'!$F$9)^INT((DM$11-HC141)/12)/12),0)</f>
        <v/>
      </c>
      <c r="DN154" s="232">
        <f>IF(AND(DN$11&gt;=HD141,DN$11&lt;=HE141),IF((DN$11-HD141)&lt;'Rent Roll'!$K$9,0,'Rent Roll'!$B$9*'Rent Roll'!$D$9*(1+'Rent Roll'!$F$9)^INT((DN$11-HD141)/12)/12),0)</f>
        <v/>
      </c>
      <c r="DO154" s="232">
        <f>IF(AND(DO$11&gt;=HE141,DO$11&lt;=HF141),IF((DO$11-HE141)&lt;'Rent Roll'!$K$9,0,'Rent Roll'!$B$9*'Rent Roll'!$D$9*(1+'Rent Roll'!$F$9)^INT((DO$11-HE141)/12)/12),0)</f>
        <v/>
      </c>
      <c r="DP154" s="232">
        <f>IF(AND(DP$11&gt;=HF141,DP$11&lt;=HG141),IF((DP$11-HF141)&lt;'Rent Roll'!$K$9,0,'Rent Roll'!$B$9*'Rent Roll'!$D$9*(1+'Rent Roll'!$F$9)^INT((DP$11-HF141)/12)/12),0)</f>
        <v/>
      </c>
      <c r="DQ154" s="232">
        <f>IF(AND(DQ$11&gt;=HG141,DQ$11&lt;=HH141),IF((DQ$11-HG141)&lt;'Rent Roll'!$K$9,0,'Rent Roll'!$B$9*'Rent Roll'!$D$9*(1+'Rent Roll'!$F$9)^INT((DQ$11-HG141)/12)/12),0)</f>
        <v/>
      </c>
      <c r="DR154" s="232">
        <f>IF(AND(DR$11&gt;=HH141,DR$11&lt;=HI141),IF((DR$11-HH141)&lt;'Rent Roll'!$K$9,0,'Rent Roll'!$B$9*'Rent Roll'!$D$9*(1+'Rent Roll'!$F$9)^INT((DR$11-HH141)/12)/12),0)</f>
        <v/>
      </c>
      <c r="DS154" s="232">
        <f>IF(AND(DS$11&gt;=HI141,DS$11&lt;=HJ141),IF((DS$11-HI141)&lt;'Rent Roll'!$K$9,0,'Rent Roll'!$B$9*'Rent Roll'!$D$9*(1+'Rent Roll'!$F$9)^INT((DS$11-HI141)/12)/12),0)</f>
        <v/>
      </c>
      <c r="DT154" s="232">
        <f>IF(AND(DT$11&gt;=HJ141,DT$11&lt;=HK141),IF((DT$11-HJ141)&lt;'Rent Roll'!$K$9,0,'Rent Roll'!$B$9*'Rent Roll'!$D$9*(1+'Rent Roll'!$F$9)^INT((DT$11-HJ141)/12)/12),0)</f>
        <v/>
      </c>
      <c r="DV154">
        <f>DV141&amp;" Rent"</f>
        <v/>
      </c>
    </row>
    <row r="155" ht="15" customHeight="1" s="148">
      <c r="D155" s="127">
        <f>IF(AND(D$11&gt;=FB141,D$11&lt;=FC141),'Rent Roll'!$B$9,0)</f>
        <v/>
      </c>
      <c r="E155" s="127">
        <f>IF(AND(E$11&gt;=FB141,E$11&lt;=FC141),'Rent Roll'!$B$9,0)</f>
        <v/>
      </c>
      <c r="F155" s="127">
        <f>IF(AND(F$11&gt;=FB141,F$11&lt;=FC141),'Rent Roll'!$B$9,0)</f>
        <v/>
      </c>
      <c r="G155" s="127">
        <f>IF(AND(G$11&gt;=FB141,G$11&lt;=FC141),'Rent Roll'!$B$9,0)</f>
        <v/>
      </c>
      <c r="H155" s="127">
        <f>IF(AND(H$11&gt;=FB141,H$11&lt;=FC141),'Rent Roll'!$B$9,0)</f>
        <v/>
      </c>
      <c r="I155" s="127">
        <f>IF(AND(I$11&gt;=FB141,I$11&lt;=FC141),'Rent Roll'!$B$9,0)</f>
        <v/>
      </c>
      <c r="J155" s="127">
        <f>IF(AND(J$11&gt;=FB141,J$11&lt;=FC141),'Rent Roll'!$B$9,0)</f>
        <v/>
      </c>
      <c r="K155" s="127">
        <f>IF(AND(K$11&gt;=FB141,K$11&lt;=FC141),'Rent Roll'!$B$9,0)</f>
        <v/>
      </c>
      <c r="L155" s="127">
        <f>IF(AND(L$11&gt;=FB141,L$11&lt;=FC141),'Rent Roll'!$B$9,0)</f>
        <v/>
      </c>
      <c r="M155" s="127">
        <f>IF(AND(M$11&gt;=FB141,M$11&lt;=FC141),'Rent Roll'!$B$9,0)</f>
        <v/>
      </c>
      <c r="N155" s="127">
        <f>IF(AND(N$11&gt;=FB141,N$11&lt;=FC141),'Rent Roll'!$B$9,0)</f>
        <v/>
      </c>
      <c r="O155" s="127">
        <f>IF(AND(O$11&gt;=FB141,O$11&lt;=FC141),'Rent Roll'!$B$9,0)</f>
        <v/>
      </c>
      <c r="P155" s="127">
        <f>IF(AND(P$11&gt;=FB141,P$11&lt;=FC141),'Rent Roll'!$B$9,0)</f>
        <v/>
      </c>
      <c r="Q155" s="127">
        <f>IF(AND(Q$11&gt;=FB141,Q$11&lt;=FC141),'Rent Roll'!$B$9,0)</f>
        <v/>
      </c>
      <c r="R155" s="127">
        <f>IF(AND(R$11&gt;=FB141,R$11&lt;=FC141),'Rent Roll'!$B$9,0)</f>
        <v/>
      </c>
      <c r="S155" s="127">
        <f>IF(AND(S$11&gt;=FB141,S$11&lt;=FC141),'Rent Roll'!$B$9,0)</f>
        <v/>
      </c>
      <c r="T155" s="127">
        <f>IF(AND(T$11&gt;=FB141,T$11&lt;=FC141),'Rent Roll'!$B$9,0)</f>
        <v/>
      </c>
      <c r="U155" s="127">
        <f>IF(AND(U$11&gt;=FB141,U$11&lt;=FC141),'Rent Roll'!$B$9,0)</f>
        <v/>
      </c>
      <c r="V155" s="127">
        <f>IF(AND(V$11&gt;=FB141,V$11&lt;=FC141),'Rent Roll'!$B$9,0)</f>
        <v/>
      </c>
      <c r="W155" s="127">
        <f>IF(AND(W$11&gt;=FB141,W$11&lt;=FC141),'Rent Roll'!$B$9,0)</f>
        <v/>
      </c>
      <c r="X155" s="127">
        <f>IF(AND(X$11&gt;=FB141,X$11&lt;=FC141),'Rent Roll'!$B$9,0)</f>
        <v/>
      </c>
      <c r="Y155" s="127">
        <f>IF(AND(Y$11&gt;=FB141,Y$11&lt;=FC141),'Rent Roll'!$B$9,0)</f>
        <v/>
      </c>
      <c r="Z155" s="127">
        <f>IF(AND(Z$11&gt;=FB141,Z$11&lt;=FC141),'Rent Roll'!$B$9,0)</f>
        <v/>
      </c>
      <c r="AA155" s="127">
        <f>IF(AND(AA$11&gt;=FB141,AA$11&lt;=FC141),'Rent Roll'!$B$9,0)</f>
        <v/>
      </c>
      <c r="AB155" s="127">
        <f>IF(AND(AB$11&gt;=FB141,AB$11&lt;=FC141),'Rent Roll'!$B$9,0)</f>
        <v/>
      </c>
      <c r="AC155" s="127">
        <f>IF(AND(AC$11&gt;=FB141,AC$11&lt;=FC141),'Rent Roll'!$B$9,0)</f>
        <v/>
      </c>
      <c r="AD155" s="127">
        <f>IF(AND(AD$11&gt;=FB141,AD$11&lt;=FC141),'Rent Roll'!$B$9,0)</f>
        <v/>
      </c>
      <c r="AE155" s="127">
        <f>IF(AND(AE$11&gt;=FB141,AE$11&lt;=FC141),'Rent Roll'!$B$9,0)</f>
        <v/>
      </c>
      <c r="AF155" s="127">
        <f>IF(AND(AF$11&gt;=FB141,AF$11&lt;=FC141),'Rent Roll'!$B$9,0)</f>
        <v/>
      </c>
      <c r="AG155" s="127">
        <f>IF(AND(AG$11&gt;=FB141,AG$11&lt;=FC141),'Rent Roll'!$B$9,0)</f>
        <v/>
      </c>
      <c r="AH155" s="127">
        <f>IF(AND(AH$11&gt;=FB141,AH$11&lt;=FC141),'Rent Roll'!$B$9,0)</f>
        <v/>
      </c>
      <c r="AI155" s="127">
        <f>IF(AND(AI$11&gt;=FB141,AI$11&lt;=FC141),'Rent Roll'!$B$9,0)</f>
        <v/>
      </c>
      <c r="AJ155" s="127">
        <f>IF(AND(AJ$11&gt;=FB141,AJ$11&lt;=FC141),'Rent Roll'!$B$9,0)</f>
        <v/>
      </c>
      <c r="AK155" s="127">
        <f>IF(AND(AK$11&gt;=FB141,AK$11&lt;=FC141),'Rent Roll'!$B$9,0)</f>
        <v/>
      </c>
      <c r="AL155" s="127">
        <f>IF(AND(AL$11&gt;=FB141,AL$11&lt;=FC141),'Rent Roll'!$B$9,0)</f>
        <v/>
      </c>
      <c r="AM155" s="127">
        <f>IF(AND(AM$11&gt;=FB141,AM$11&lt;=FC141),'Rent Roll'!$B$9,0)</f>
        <v/>
      </c>
      <c r="AN155" s="127">
        <f>IF(AND(AN$11&gt;=FB141,AN$11&lt;=FC141),'Rent Roll'!$B$9,0)</f>
        <v/>
      </c>
      <c r="AO155" s="127">
        <f>IF(AND(AO$11&gt;=FB141,AO$11&lt;=FC141),'Rent Roll'!$B$9,0)</f>
        <v/>
      </c>
      <c r="AP155" s="127">
        <f>IF(AND(AP$11&gt;=FB141,AP$11&lt;=FC141),'Rent Roll'!$B$9,0)</f>
        <v/>
      </c>
      <c r="AQ155" s="127">
        <f>IF(AND(AQ$11&gt;=FB141,AQ$11&lt;=FC141),'Rent Roll'!$B$9,0)</f>
        <v/>
      </c>
      <c r="AR155" s="127">
        <f>IF(AND(AR$11&gt;=FB141,AR$11&lt;=FC141),'Rent Roll'!$B$9,0)</f>
        <v/>
      </c>
      <c r="AS155" s="127">
        <f>IF(AND(AS$11&gt;=FB141,AS$11&lt;=FC141),'Rent Roll'!$B$9,0)</f>
        <v/>
      </c>
      <c r="AT155" s="127">
        <f>IF(AND(AT$11&gt;=FB141,AT$11&lt;=FC141),'Rent Roll'!$B$9,0)</f>
        <v/>
      </c>
      <c r="AU155" s="127">
        <f>IF(AND(AU$11&gt;=FB141,AU$11&lt;=FC141),'Rent Roll'!$B$9,0)</f>
        <v/>
      </c>
      <c r="AV155" s="127">
        <f>IF(AND(AV$11&gt;=FB141,AV$11&lt;=FC141),'Rent Roll'!$B$9,0)</f>
        <v/>
      </c>
      <c r="AW155" s="127">
        <f>IF(AND(AW$11&gt;=FB141,AW$11&lt;=FC141),'Rent Roll'!$B$9,0)</f>
        <v/>
      </c>
      <c r="AX155" s="127">
        <f>IF(AND(AX$11&gt;=FB141,AX$11&lt;=FC141),'Rent Roll'!$B$9,0)</f>
        <v/>
      </c>
      <c r="AY155" s="127">
        <f>IF(AND(AY$11&gt;=FB141,AY$11&lt;=FC141),'Rent Roll'!$B$9,0)</f>
        <v/>
      </c>
      <c r="AZ155" s="127">
        <f>IF(AND(AZ$11&gt;=FB141,AZ$11&lt;=FC141),'Rent Roll'!$B$9,0)</f>
        <v/>
      </c>
      <c r="BA155" s="127">
        <f>IF(AND(BA$11&gt;=FB141,BA$11&lt;=FC141),'Rent Roll'!$B$9,0)</f>
        <v/>
      </c>
      <c r="BB155" s="127">
        <f>IF(AND(BB$11&gt;=FB141,BB$11&lt;=FC141),'Rent Roll'!$B$9,0)</f>
        <v/>
      </c>
      <c r="BC155" s="127">
        <f>IF(AND(BC$11&gt;=FB141,BC$11&lt;=FC141),'Rent Roll'!$B$9,0)</f>
        <v/>
      </c>
      <c r="BD155" s="127">
        <f>IF(AND(BD$11&gt;=FB141,BD$11&lt;=FC141),'Rent Roll'!$B$9,0)</f>
        <v/>
      </c>
      <c r="BE155" s="127">
        <f>IF(AND(BE$11&gt;=FB141,BE$11&lt;=FC141),'Rent Roll'!$B$9,0)</f>
        <v/>
      </c>
      <c r="BF155" s="127">
        <f>IF(AND(BF$11&gt;=FB141,BF$11&lt;=FC141),'Rent Roll'!$B$9,0)</f>
        <v/>
      </c>
      <c r="BG155" s="127">
        <f>IF(AND(BG$11&gt;=FB141,BG$11&lt;=FC141),'Rent Roll'!$B$9,0)</f>
        <v/>
      </c>
      <c r="BH155" s="127">
        <f>IF(AND(BH$11&gt;=FB141,BH$11&lt;=FC141),'Rent Roll'!$B$9,0)</f>
        <v/>
      </c>
      <c r="BI155" s="127">
        <f>IF(AND(BI$11&gt;=FB141,BI$11&lt;=FC141),'Rent Roll'!$B$9,0)</f>
        <v/>
      </c>
      <c r="BJ155" s="127">
        <f>IF(AND(BJ$11&gt;=FB141,BJ$11&lt;=FC141),'Rent Roll'!$B$9,0)</f>
        <v/>
      </c>
      <c r="BK155" s="127">
        <f>IF(AND(BK$11&gt;=FB141,BK$11&lt;=FC141),'Rent Roll'!$B$9,0)</f>
        <v/>
      </c>
      <c r="BL155" s="127">
        <f>IF(AND(BL$11&gt;=FB141,BL$11&lt;=FC141),'Rent Roll'!$B$9,0)</f>
        <v/>
      </c>
      <c r="BM155" s="127">
        <f>IF(AND(BM$11&gt;=FC141,BM$11&lt;=FD141),'Rent Roll'!$B$9,0)</f>
        <v/>
      </c>
      <c r="BN155" s="127">
        <f>IF(AND(BN$11&gt;=FD141,BN$11&lt;=FE141),'Rent Roll'!$B$9,0)</f>
        <v/>
      </c>
      <c r="BO155" s="127">
        <f>IF(AND(BO$11&gt;=FE141,BO$11&lt;=FF141),'Rent Roll'!$B$9,0)</f>
        <v/>
      </c>
      <c r="BP155" s="127">
        <f>IF(AND(BP$11&gt;=FF141,BP$11&lt;=FG141),'Rent Roll'!$B$9,0)</f>
        <v/>
      </c>
      <c r="BQ155" s="127">
        <f>IF(AND(BQ$11&gt;=FG141,BQ$11&lt;=FH141),'Rent Roll'!$B$9,0)</f>
        <v/>
      </c>
      <c r="BR155" s="127">
        <f>IF(AND(BR$11&gt;=FH141,BR$11&lt;=FI141),'Rent Roll'!$B$9,0)</f>
        <v/>
      </c>
      <c r="BS155" s="127">
        <f>IF(AND(BS$11&gt;=FI141,BS$11&lt;=FJ141),'Rent Roll'!$B$9,0)</f>
        <v/>
      </c>
      <c r="BT155" s="127">
        <f>IF(AND(BT$11&gt;=FJ141,BT$11&lt;=FK141),'Rent Roll'!$B$9,0)</f>
        <v/>
      </c>
      <c r="BU155" s="127">
        <f>IF(AND(BU$11&gt;=FK141,BU$11&lt;=FL141),'Rent Roll'!$B$9,0)</f>
        <v/>
      </c>
      <c r="BV155" s="127">
        <f>IF(AND(BV$11&gt;=FL141,BV$11&lt;=FM141),'Rent Roll'!$B$9,0)</f>
        <v/>
      </c>
      <c r="BW155" s="127">
        <f>IF(AND(BW$11&gt;=FM141,BW$11&lt;=FN141),'Rent Roll'!$B$9,0)</f>
        <v/>
      </c>
      <c r="BX155" s="127">
        <f>IF(AND(BX$11&gt;=FN141,BX$11&lt;=FO141),'Rent Roll'!$B$9,0)</f>
        <v/>
      </c>
      <c r="BY155" s="127">
        <f>IF(AND(BY$11&gt;=FO141,BY$11&lt;=FP141),'Rent Roll'!$B$9,0)</f>
        <v/>
      </c>
      <c r="BZ155" s="127">
        <f>IF(AND(BZ$11&gt;=FP141,BZ$11&lt;=FQ141),'Rent Roll'!$B$9,0)</f>
        <v/>
      </c>
      <c r="CA155" s="127">
        <f>IF(AND(CA$11&gt;=FQ141,CA$11&lt;=FR141),'Rent Roll'!$B$9,0)</f>
        <v/>
      </c>
      <c r="CB155" s="127">
        <f>IF(AND(CB$11&gt;=FR141,CB$11&lt;=FS141),'Rent Roll'!$B$9,0)</f>
        <v/>
      </c>
      <c r="CC155" s="127">
        <f>IF(AND(CC$11&gt;=FS141,CC$11&lt;=FT141),'Rent Roll'!$B$9,0)</f>
        <v/>
      </c>
      <c r="CD155" s="127">
        <f>IF(AND(CD$11&gt;=FT141,CD$11&lt;=FU141),'Rent Roll'!$B$9,0)</f>
        <v/>
      </c>
      <c r="CE155" s="127">
        <f>IF(AND(CE$11&gt;=FU141,CE$11&lt;=FV141),'Rent Roll'!$B$9,0)</f>
        <v/>
      </c>
      <c r="CF155" s="127">
        <f>IF(AND(CF$11&gt;=FV141,CF$11&lt;=FW141),'Rent Roll'!$B$9,0)</f>
        <v/>
      </c>
      <c r="CG155" s="127">
        <f>IF(AND(CG$11&gt;=FW141,CG$11&lt;=FX141),'Rent Roll'!$B$9,0)</f>
        <v/>
      </c>
      <c r="CH155" s="127">
        <f>IF(AND(CH$11&gt;=FX141,CH$11&lt;=FY141),'Rent Roll'!$B$9,0)</f>
        <v/>
      </c>
      <c r="CI155" s="127">
        <f>IF(AND(CI$11&gt;=FY141,CI$11&lt;=FZ141),'Rent Roll'!$B$9,0)</f>
        <v/>
      </c>
      <c r="CJ155" s="127">
        <f>IF(AND(CJ$11&gt;=FZ141,CJ$11&lt;=GA141),'Rent Roll'!$B$9,0)</f>
        <v/>
      </c>
      <c r="CK155" s="127">
        <f>IF(AND(CK$11&gt;=GA141,CK$11&lt;=GB141),'Rent Roll'!$B$9,0)</f>
        <v/>
      </c>
      <c r="CL155" s="127">
        <f>IF(AND(CL$11&gt;=GB141,CL$11&lt;=GC141),'Rent Roll'!$B$9,0)</f>
        <v/>
      </c>
      <c r="CM155" s="127">
        <f>IF(AND(CM$11&gt;=GC141,CM$11&lt;=GD141),'Rent Roll'!$B$9,0)</f>
        <v/>
      </c>
      <c r="CN155" s="127">
        <f>IF(AND(CN$11&gt;=GD141,CN$11&lt;=GE141),'Rent Roll'!$B$9,0)</f>
        <v/>
      </c>
      <c r="CO155" s="127">
        <f>IF(AND(CO$11&gt;=GE141,CO$11&lt;=GF141),'Rent Roll'!$B$9,0)</f>
        <v/>
      </c>
      <c r="CP155" s="127">
        <f>IF(AND(CP$11&gt;=GF141,CP$11&lt;=GG141),'Rent Roll'!$B$9,0)</f>
        <v/>
      </c>
      <c r="CQ155" s="127">
        <f>IF(AND(CQ$11&gt;=GG141,CQ$11&lt;=GH141),'Rent Roll'!$B$9,0)</f>
        <v/>
      </c>
      <c r="CR155" s="127">
        <f>IF(AND(CR$11&gt;=GH141,CR$11&lt;=GI141),'Rent Roll'!$B$9,0)</f>
        <v/>
      </c>
      <c r="CS155" s="127">
        <f>IF(AND(CS$11&gt;=GI141,CS$11&lt;=GJ141),'Rent Roll'!$B$9,0)</f>
        <v/>
      </c>
      <c r="CT155" s="127">
        <f>IF(AND(CT$11&gt;=GJ141,CT$11&lt;=GK141),'Rent Roll'!$B$9,0)</f>
        <v/>
      </c>
      <c r="CU155" s="127">
        <f>IF(AND(CU$11&gt;=GK141,CU$11&lt;=GL141),'Rent Roll'!$B$9,0)</f>
        <v/>
      </c>
      <c r="CV155" s="127">
        <f>IF(AND(CV$11&gt;=GL141,CV$11&lt;=GM141),'Rent Roll'!$B$9,0)</f>
        <v/>
      </c>
      <c r="CW155" s="127">
        <f>IF(AND(CW$11&gt;=GM141,CW$11&lt;=GN141),'Rent Roll'!$B$9,0)</f>
        <v/>
      </c>
      <c r="CX155" s="127">
        <f>IF(AND(CX$11&gt;=GN141,CX$11&lt;=GO141),'Rent Roll'!$B$9,0)</f>
        <v/>
      </c>
      <c r="CY155" s="127">
        <f>IF(AND(CY$11&gt;=GO141,CY$11&lt;=GP141),'Rent Roll'!$B$9,0)</f>
        <v/>
      </c>
      <c r="CZ155" s="127">
        <f>IF(AND(CZ$11&gt;=GP141,CZ$11&lt;=GQ141),'Rent Roll'!$B$9,0)</f>
        <v/>
      </c>
      <c r="DA155" s="127">
        <f>IF(AND(DA$11&gt;=GQ141,DA$11&lt;=GR141),'Rent Roll'!$B$9,0)</f>
        <v/>
      </c>
      <c r="DB155" s="127">
        <f>IF(AND(DB$11&gt;=GR141,DB$11&lt;=GS141),'Rent Roll'!$B$9,0)</f>
        <v/>
      </c>
      <c r="DC155" s="127">
        <f>IF(AND(DC$11&gt;=GS141,DC$11&lt;=GT141),'Rent Roll'!$B$9,0)</f>
        <v/>
      </c>
      <c r="DD155" s="127">
        <f>IF(AND(DD$11&gt;=GT141,DD$11&lt;=GU141),'Rent Roll'!$B$9,0)</f>
        <v/>
      </c>
      <c r="DE155" s="127">
        <f>IF(AND(DE$11&gt;=GU141,DE$11&lt;=GV141),'Rent Roll'!$B$9,0)</f>
        <v/>
      </c>
      <c r="DF155" s="127">
        <f>IF(AND(DF$11&gt;=GV141,DF$11&lt;=GW141),'Rent Roll'!$B$9,0)</f>
        <v/>
      </c>
      <c r="DG155" s="127">
        <f>IF(AND(DG$11&gt;=GW141,DG$11&lt;=GX141),'Rent Roll'!$B$9,0)</f>
        <v/>
      </c>
      <c r="DH155" s="127">
        <f>IF(AND(DH$11&gt;=GX141,DH$11&lt;=GY141),'Rent Roll'!$B$9,0)</f>
        <v/>
      </c>
      <c r="DI155" s="127">
        <f>IF(AND(DI$11&gt;=GY141,DI$11&lt;=GZ141),'Rent Roll'!$B$9,0)</f>
        <v/>
      </c>
      <c r="DJ155" s="127">
        <f>IF(AND(DJ$11&gt;=GZ141,DJ$11&lt;=HA141),'Rent Roll'!$B$9,0)</f>
        <v/>
      </c>
      <c r="DK155" s="127">
        <f>IF(AND(DK$11&gt;=HA141,DK$11&lt;=HB141),'Rent Roll'!$B$9,0)</f>
        <v/>
      </c>
      <c r="DL155" s="127">
        <f>IF(AND(DL$11&gt;=HB141,DL$11&lt;=HC141),'Rent Roll'!$B$9,0)</f>
        <v/>
      </c>
      <c r="DM155" s="127">
        <f>IF(AND(DM$11&gt;=HC141,DM$11&lt;=HD141),'Rent Roll'!$B$9,0)</f>
        <v/>
      </c>
      <c r="DN155" s="127">
        <f>IF(AND(DN$11&gt;=HD141,DN$11&lt;=HE141),'Rent Roll'!$B$9,0)</f>
        <v/>
      </c>
      <c r="DO155" s="127">
        <f>IF(AND(DO$11&gt;=HE141,DO$11&lt;=HF141),'Rent Roll'!$B$9,0)</f>
        <v/>
      </c>
      <c r="DP155" s="127">
        <f>IF(AND(DP$11&gt;=HF141,DP$11&lt;=HG141),'Rent Roll'!$B$9,0)</f>
        <v/>
      </c>
      <c r="DQ155" s="127">
        <f>IF(AND(DQ$11&gt;=HG141,DQ$11&lt;=HH141),'Rent Roll'!$B$9,0)</f>
        <v/>
      </c>
      <c r="DR155" s="127">
        <f>IF(AND(DR$11&gt;=HH141,DR$11&lt;=HI141),'Rent Roll'!$B$9,0)</f>
        <v/>
      </c>
      <c r="DS155" s="127">
        <f>IF(AND(DS$11&gt;=HI141,DS$11&lt;=HJ141),'Rent Roll'!$B$9,0)</f>
        <v/>
      </c>
      <c r="DT155" s="127">
        <f>IF(AND(DT$11&gt;=HJ141,DT$11&lt;=HK141),'Rent Roll'!$B$9,0)</f>
        <v/>
      </c>
      <c r="DV155">
        <f>DV141&amp;" ActiveSF"</f>
        <v/>
      </c>
    </row>
    <row r="156" ht="15" customHeight="1" s="148">
      <c r="D156" s="232">
        <f>IF(AND(D$11&gt;=FB142,D$11&lt;=FC142),IF((D$11-FB142)&lt;'Rent Roll'!$K$10,0,'Rent Roll'!$B$10*'Rent Roll'!$D$10*(1+'Rent Roll'!$F$10)^INT((D$11-FB142)/12)/12),0)</f>
        <v/>
      </c>
      <c r="E156" s="232">
        <f>IF(AND(E$11&gt;=FB142,E$11&lt;=FC142),IF((E$11-FB142)&lt;'Rent Roll'!$K$10,0,'Rent Roll'!$B$10*'Rent Roll'!$D$10*(1+'Rent Roll'!$F$10)^INT((E$11-FB142)/12)/12),0)</f>
        <v/>
      </c>
      <c r="F156" s="232">
        <f>IF(AND(F$11&gt;=FB142,F$11&lt;=FC142),IF((F$11-FB142)&lt;'Rent Roll'!$K$10,0,'Rent Roll'!$B$10*'Rent Roll'!$D$10*(1+'Rent Roll'!$F$10)^INT((F$11-FB142)/12)/12),0)</f>
        <v/>
      </c>
      <c r="G156" s="232">
        <f>IF(AND(G$11&gt;=FB142,G$11&lt;=FC142),IF((G$11-FB142)&lt;'Rent Roll'!$K$10,0,'Rent Roll'!$B$10*'Rent Roll'!$D$10*(1+'Rent Roll'!$F$10)^INT((G$11-FB142)/12)/12),0)</f>
        <v/>
      </c>
      <c r="H156" s="232">
        <f>IF(AND(H$11&gt;=FB142,H$11&lt;=FC142),IF((H$11-FB142)&lt;'Rent Roll'!$K$10,0,'Rent Roll'!$B$10*'Rent Roll'!$D$10*(1+'Rent Roll'!$F$10)^INT((H$11-FB142)/12)/12),0)</f>
        <v/>
      </c>
      <c r="I156" s="232">
        <f>IF(AND(I$11&gt;=FB142,I$11&lt;=FC142),IF((I$11-FB142)&lt;'Rent Roll'!$K$10,0,'Rent Roll'!$B$10*'Rent Roll'!$D$10*(1+'Rent Roll'!$F$10)^INT((I$11-FB142)/12)/12),0)</f>
        <v/>
      </c>
      <c r="J156" s="232">
        <f>IF(AND(J$11&gt;=FB142,J$11&lt;=FC142),IF((J$11-FB142)&lt;'Rent Roll'!$K$10,0,'Rent Roll'!$B$10*'Rent Roll'!$D$10*(1+'Rent Roll'!$F$10)^INT((J$11-FB142)/12)/12),0)</f>
        <v/>
      </c>
      <c r="K156" s="232">
        <f>IF(AND(K$11&gt;=FB142,K$11&lt;=FC142),IF((K$11-FB142)&lt;'Rent Roll'!$K$10,0,'Rent Roll'!$B$10*'Rent Roll'!$D$10*(1+'Rent Roll'!$F$10)^INT((K$11-FB142)/12)/12),0)</f>
        <v/>
      </c>
      <c r="L156" s="232">
        <f>IF(AND(L$11&gt;=FB142,L$11&lt;=FC142),IF((L$11-FB142)&lt;'Rent Roll'!$K$10,0,'Rent Roll'!$B$10*'Rent Roll'!$D$10*(1+'Rent Roll'!$F$10)^INT((L$11-FB142)/12)/12),0)</f>
        <v/>
      </c>
      <c r="M156" s="232">
        <f>IF(AND(M$11&gt;=FB142,M$11&lt;=FC142),IF((M$11-FB142)&lt;'Rent Roll'!$K$10,0,'Rent Roll'!$B$10*'Rent Roll'!$D$10*(1+'Rent Roll'!$F$10)^INT((M$11-FB142)/12)/12),0)</f>
        <v/>
      </c>
      <c r="N156" s="232">
        <f>IF(AND(N$11&gt;=FB142,N$11&lt;=FC142),IF((N$11-FB142)&lt;'Rent Roll'!$K$10,0,'Rent Roll'!$B$10*'Rent Roll'!$D$10*(1+'Rent Roll'!$F$10)^INT((N$11-FB142)/12)/12),0)</f>
        <v/>
      </c>
      <c r="O156" s="232">
        <f>IF(AND(O$11&gt;=FB142,O$11&lt;=FC142),IF((O$11-FB142)&lt;'Rent Roll'!$K$10,0,'Rent Roll'!$B$10*'Rent Roll'!$D$10*(1+'Rent Roll'!$F$10)^INT((O$11-FB142)/12)/12),0)</f>
        <v/>
      </c>
      <c r="P156" s="232">
        <f>IF(AND(P$11&gt;=FB142,P$11&lt;=FC142),IF((P$11-FB142)&lt;'Rent Roll'!$K$10,0,'Rent Roll'!$B$10*'Rent Roll'!$D$10*(1+'Rent Roll'!$F$10)^INT((P$11-FB142)/12)/12),0)</f>
        <v/>
      </c>
      <c r="Q156" s="232">
        <f>IF(AND(Q$11&gt;=FB142,Q$11&lt;=FC142),IF((Q$11-FB142)&lt;'Rent Roll'!$K$10,0,'Rent Roll'!$B$10*'Rent Roll'!$D$10*(1+'Rent Roll'!$F$10)^INT((Q$11-FB142)/12)/12),0)</f>
        <v/>
      </c>
      <c r="R156" s="232">
        <f>IF(AND(R$11&gt;=FB142,R$11&lt;=FC142),IF((R$11-FB142)&lt;'Rent Roll'!$K$10,0,'Rent Roll'!$B$10*'Rent Roll'!$D$10*(1+'Rent Roll'!$F$10)^INT((R$11-FB142)/12)/12),0)</f>
        <v/>
      </c>
      <c r="S156" s="232">
        <f>IF(AND(S$11&gt;=FB142,S$11&lt;=FC142),IF((S$11-FB142)&lt;'Rent Roll'!$K$10,0,'Rent Roll'!$B$10*'Rent Roll'!$D$10*(1+'Rent Roll'!$F$10)^INT((S$11-FB142)/12)/12),0)</f>
        <v/>
      </c>
      <c r="T156" s="232">
        <f>IF(AND(T$11&gt;=FB142,T$11&lt;=FC142),IF((T$11-FB142)&lt;'Rent Roll'!$K$10,0,'Rent Roll'!$B$10*'Rent Roll'!$D$10*(1+'Rent Roll'!$F$10)^INT((T$11-FB142)/12)/12),0)</f>
        <v/>
      </c>
      <c r="U156" s="232">
        <f>IF(AND(U$11&gt;=FB142,U$11&lt;=FC142),IF((U$11-FB142)&lt;'Rent Roll'!$K$10,0,'Rent Roll'!$B$10*'Rent Roll'!$D$10*(1+'Rent Roll'!$F$10)^INT((U$11-FB142)/12)/12),0)</f>
        <v/>
      </c>
      <c r="V156" s="232">
        <f>IF(AND(V$11&gt;=FB142,V$11&lt;=FC142),IF((V$11-FB142)&lt;'Rent Roll'!$K$10,0,'Rent Roll'!$B$10*'Rent Roll'!$D$10*(1+'Rent Roll'!$F$10)^INT((V$11-FB142)/12)/12),0)</f>
        <v/>
      </c>
      <c r="W156" s="232">
        <f>IF(AND(W$11&gt;=FB142,W$11&lt;=FC142),IF((W$11-FB142)&lt;'Rent Roll'!$K$10,0,'Rent Roll'!$B$10*'Rent Roll'!$D$10*(1+'Rent Roll'!$F$10)^INT((W$11-FB142)/12)/12),0)</f>
        <v/>
      </c>
      <c r="X156" s="232">
        <f>IF(AND(X$11&gt;=FB142,X$11&lt;=FC142),IF((X$11-FB142)&lt;'Rent Roll'!$K$10,0,'Rent Roll'!$B$10*'Rent Roll'!$D$10*(1+'Rent Roll'!$F$10)^INT((X$11-FB142)/12)/12),0)</f>
        <v/>
      </c>
      <c r="Y156" s="232">
        <f>IF(AND(Y$11&gt;=FB142,Y$11&lt;=FC142),IF((Y$11-FB142)&lt;'Rent Roll'!$K$10,0,'Rent Roll'!$B$10*'Rent Roll'!$D$10*(1+'Rent Roll'!$F$10)^INT((Y$11-FB142)/12)/12),0)</f>
        <v/>
      </c>
      <c r="Z156" s="232">
        <f>IF(AND(Z$11&gt;=FB142,Z$11&lt;=FC142),IF((Z$11-FB142)&lt;'Rent Roll'!$K$10,0,'Rent Roll'!$B$10*'Rent Roll'!$D$10*(1+'Rent Roll'!$F$10)^INT((Z$11-FB142)/12)/12),0)</f>
        <v/>
      </c>
      <c r="AA156" s="232">
        <f>IF(AND(AA$11&gt;=FB142,AA$11&lt;=FC142),IF((AA$11-FB142)&lt;'Rent Roll'!$K$10,0,'Rent Roll'!$B$10*'Rent Roll'!$D$10*(1+'Rent Roll'!$F$10)^INT((AA$11-FB142)/12)/12),0)</f>
        <v/>
      </c>
      <c r="AB156" s="232">
        <f>IF(AND(AB$11&gt;=FB142,AB$11&lt;=FC142),IF((AB$11-FB142)&lt;'Rent Roll'!$K$10,0,'Rent Roll'!$B$10*'Rent Roll'!$D$10*(1+'Rent Roll'!$F$10)^INT((AB$11-FB142)/12)/12),0)</f>
        <v/>
      </c>
      <c r="AC156" s="232">
        <f>IF(AND(AC$11&gt;=FB142,AC$11&lt;=FC142),IF((AC$11-FB142)&lt;'Rent Roll'!$K$10,0,'Rent Roll'!$B$10*'Rent Roll'!$D$10*(1+'Rent Roll'!$F$10)^INT((AC$11-FB142)/12)/12),0)</f>
        <v/>
      </c>
      <c r="AD156" s="232">
        <f>IF(AND(AD$11&gt;=FB142,AD$11&lt;=FC142),IF((AD$11-FB142)&lt;'Rent Roll'!$K$10,0,'Rent Roll'!$B$10*'Rent Roll'!$D$10*(1+'Rent Roll'!$F$10)^INT((AD$11-FB142)/12)/12),0)</f>
        <v/>
      </c>
      <c r="AE156" s="232">
        <f>IF(AND(AE$11&gt;=FB142,AE$11&lt;=FC142),IF((AE$11-FB142)&lt;'Rent Roll'!$K$10,0,'Rent Roll'!$B$10*'Rent Roll'!$D$10*(1+'Rent Roll'!$F$10)^INT((AE$11-FB142)/12)/12),0)</f>
        <v/>
      </c>
      <c r="AF156" s="232">
        <f>IF(AND(AF$11&gt;=FB142,AF$11&lt;=FC142),IF((AF$11-FB142)&lt;'Rent Roll'!$K$10,0,'Rent Roll'!$B$10*'Rent Roll'!$D$10*(1+'Rent Roll'!$F$10)^INT((AF$11-FB142)/12)/12),0)</f>
        <v/>
      </c>
      <c r="AG156" s="232">
        <f>IF(AND(AG$11&gt;=FB142,AG$11&lt;=FC142),IF((AG$11-FB142)&lt;'Rent Roll'!$K$10,0,'Rent Roll'!$B$10*'Rent Roll'!$D$10*(1+'Rent Roll'!$F$10)^INT((AG$11-FB142)/12)/12),0)</f>
        <v/>
      </c>
      <c r="AH156" s="232">
        <f>IF(AND(AH$11&gt;=FB142,AH$11&lt;=FC142),IF((AH$11-FB142)&lt;'Rent Roll'!$K$10,0,'Rent Roll'!$B$10*'Rent Roll'!$D$10*(1+'Rent Roll'!$F$10)^INT((AH$11-FB142)/12)/12),0)</f>
        <v/>
      </c>
      <c r="AI156" s="232">
        <f>IF(AND(AI$11&gt;=FB142,AI$11&lt;=FC142),IF((AI$11-FB142)&lt;'Rent Roll'!$K$10,0,'Rent Roll'!$B$10*'Rent Roll'!$D$10*(1+'Rent Roll'!$F$10)^INT((AI$11-FB142)/12)/12),0)</f>
        <v/>
      </c>
      <c r="AJ156" s="232">
        <f>IF(AND(AJ$11&gt;=FB142,AJ$11&lt;=FC142),IF((AJ$11-FB142)&lt;'Rent Roll'!$K$10,0,'Rent Roll'!$B$10*'Rent Roll'!$D$10*(1+'Rent Roll'!$F$10)^INT((AJ$11-FB142)/12)/12),0)</f>
        <v/>
      </c>
      <c r="AK156" s="232">
        <f>IF(AND(AK$11&gt;=FB142,AK$11&lt;=FC142),IF((AK$11-FB142)&lt;'Rent Roll'!$K$10,0,'Rent Roll'!$B$10*'Rent Roll'!$D$10*(1+'Rent Roll'!$F$10)^INT((AK$11-FB142)/12)/12),0)</f>
        <v/>
      </c>
      <c r="AL156" s="232">
        <f>IF(AND(AL$11&gt;=FB142,AL$11&lt;=FC142),IF((AL$11-FB142)&lt;'Rent Roll'!$K$10,0,'Rent Roll'!$B$10*'Rent Roll'!$D$10*(1+'Rent Roll'!$F$10)^INT((AL$11-FB142)/12)/12),0)</f>
        <v/>
      </c>
      <c r="AM156" s="232">
        <f>IF(AND(AM$11&gt;=FB142,AM$11&lt;=FC142),IF((AM$11-FB142)&lt;'Rent Roll'!$K$10,0,'Rent Roll'!$B$10*'Rent Roll'!$D$10*(1+'Rent Roll'!$F$10)^INT((AM$11-FB142)/12)/12),0)</f>
        <v/>
      </c>
      <c r="AN156" s="232">
        <f>IF(AND(AN$11&gt;=FB142,AN$11&lt;=FC142),IF((AN$11-FB142)&lt;'Rent Roll'!$K$10,0,'Rent Roll'!$B$10*'Rent Roll'!$D$10*(1+'Rent Roll'!$F$10)^INT((AN$11-FB142)/12)/12),0)</f>
        <v/>
      </c>
      <c r="AO156" s="232">
        <f>IF(AND(AO$11&gt;=FB142,AO$11&lt;=FC142),IF((AO$11-FB142)&lt;'Rent Roll'!$K$10,0,'Rent Roll'!$B$10*'Rent Roll'!$D$10*(1+'Rent Roll'!$F$10)^INT((AO$11-FB142)/12)/12),0)</f>
        <v/>
      </c>
      <c r="AP156" s="232">
        <f>IF(AND(AP$11&gt;=FB142,AP$11&lt;=FC142),IF((AP$11-FB142)&lt;'Rent Roll'!$K$10,0,'Rent Roll'!$B$10*'Rent Roll'!$D$10*(1+'Rent Roll'!$F$10)^INT((AP$11-FB142)/12)/12),0)</f>
        <v/>
      </c>
      <c r="AQ156" s="232">
        <f>IF(AND(AQ$11&gt;=FB142,AQ$11&lt;=FC142),IF((AQ$11-FB142)&lt;'Rent Roll'!$K$10,0,'Rent Roll'!$B$10*'Rent Roll'!$D$10*(1+'Rent Roll'!$F$10)^INT((AQ$11-FB142)/12)/12),0)</f>
        <v/>
      </c>
      <c r="AR156" s="232">
        <f>IF(AND(AR$11&gt;=FB142,AR$11&lt;=FC142),IF((AR$11-FB142)&lt;'Rent Roll'!$K$10,0,'Rent Roll'!$B$10*'Rent Roll'!$D$10*(1+'Rent Roll'!$F$10)^INT((AR$11-FB142)/12)/12),0)</f>
        <v/>
      </c>
      <c r="AS156" s="232">
        <f>IF(AND(AS$11&gt;=FB142,AS$11&lt;=FC142),IF((AS$11-FB142)&lt;'Rent Roll'!$K$10,0,'Rent Roll'!$B$10*'Rent Roll'!$D$10*(1+'Rent Roll'!$F$10)^INT((AS$11-FB142)/12)/12),0)</f>
        <v/>
      </c>
      <c r="AT156" s="232">
        <f>IF(AND(AT$11&gt;=FB142,AT$11&lt;=FC142),IF((AT$11-FB142)&lt;'Rent Roll'!$K$10,0,'Rent Roll'!$B$10*'Rent Roll'!$D$10*(1+'Rent Roll'!$F$10)^INT((AT$11-FB142)/12)/12),0)</f>
        <v/>
      </c>
      <c r="AU156" s="232">
        <f>IF(AND(AU$11&gt;=FB142,AU$11&lt;=FC142),IF((AU$11-FB142)&lt;'Rent Roll'!$K$10,0,'Rent Roll'!$B$10*'Rent Roll'!$D$10*(1+'Rent Roll'!$F$10)^INT((AU$11-FB142)/12)/12),0)</f>
        <v/>
      </c>
      <c r="AV156" s="232">
        <f>IF(AND(AV$11&gt;=FB142,AV$11&lt;=FC142),IF((AV$11-FB142)&lt;'Rent Roll'!$K$10,0,'Rent Roll'!$B$10*'Rent Roll'!$D$10*(1+'Rent Roll'!$F$10)^INT((AV$11-FB142)/12)/12),0)</f>
        <v/>
      </c>
      <c r="AW156" s="232">
        <f>IF(AND(AW$11&gt;=FB142,AW$11&lt;=FC142),IF((AW$11-FB142)&lt;'Rent Roll'!$K$10,0,'Rent Roll'!$B$10*'Rent Roll'!$D$10*(1+'Rent Roll'!$F$10)^INT((AW$11-FB142)/12)/12),0)</f>
        <v/>
      </c>
      <c r="AX156" s="232">
        <f>IF(AND(AX$11&gt;=FB142,AX$11&lt;=FC142),IF((AX$11-FB142)&lt;'Rent Roll'!$K$10,0,'Rent Roll'!$B$10*'Rent Roll'!$D$10*(1+'Rent Roll'!$F$10)^INT((AX$11-FB142)/12)/12),0)</f>
        <v/>
      </c>
      <c r="AY156" s="232">
        <f>IF(AND(AY$11&gt;=FB142,AY$11&lt;=FC142),IF((AY$11-FB142)&lt;'Rent Roll'!$K$10,0,'Rent Roll'!$B$10*'Rent Roll'!$D$10*(1+'Rent Roll'!$F$10)^INT((AY$11-FB142)/12)/12),0)</f>
        <v/>
      </c>
      <c r="AZ156" s="232">
        <f>IF(AND(AZ$11&gt;=FB142,AZ$11&lt;=FC142),IF((AZ$11-FB142)&lt;'Rent Roll'!$K$10,0,'Rent Roll'!$B$10*'Rent Roll'!$D$10*(1+'Rent Roll'!$F$10)^INT((AZ$11-FB142)/12)/12),0)</f>
        <v/>
      </c>
      <c r="BA156" s="232">
        <f>IF(AND(BA$11&gt;=FB142,BA$11&lt;=FC142),IF((BA$11-FB142)&lt;'Rent Roll'!$K$10,0,'Rent Roll'!$B$10*'Rent Roll'!$D$10*(1+'Rent Roll'!$F$10)^INT((BA$11-FB142)/12)/12),0)</f>
        <v/>
      </c>
      <c r="BB156" s="232">
        <f>IF(AND(BB$11&gt;=FB142,BB$11&lt;=FC142),IF((BB$11-FB142)&lt;'Rent Roll'!$K$10,0,'Rent Roll'!$B$10*'Rent Roll'!$D$10*(1+'Rent Roll'!$F$10)^INT((BB$11-FB142)/12)/12),0)</f>
        <v/>
      </c>
      <c r="BC156" s="232">
        <f>IF(AND(BC$11&gt;=FB142,BC$11&lt;=FC142),IF((BC$11-FB142)&lt;'Rent Roll'!$K$10,0,'Rent Roll'!$B$10*'Rent Roll'!$D$10*(1+'Rent Roll'!$F$10)^INT((BC$11-FB142)/12)/12),0)</f>
        <v/>
      </c>
      <c r="BD156" s="232">
        <f>IF(AND(BD$11&gt;=FB142,BD$11&lt;=FC142),IF((BD$11-FB142)&lt;'Rent Roll'!$K$10,0,'Rent Roll'!$B$10*'Rent Roll'!$D$10*(1+'Rent Roll'!$F$10)^INT((BD$11-FB142)/12)/12),0)</f>
        <v/>
      </c>
      <c r="BE156" s="232">
        <f>IF(AND(BE$11&gt;=FB142,BE$11&lt;=FC142),IF((BE$11-FB142)&lt;'Rent Roll'!$K$10,0,'Rent Roll'!$B$10*'Rent Roll'!$D$10*(1+'Rent Roll'!$F$10)^INT((BE$11-FB142)/12)/12),0)</f>
        <v/>
      </c>
      <c r="BF156" s="232">
        <f>IF(AND(BF$11&gt;=FB142,BF$11&lt;=FC142),IF((BF$11-FB142)&lt;'Rent Roll'!$K$10,0,'Rent Roll'!$B$10*'Rent Roll'!$D$10*(1+'Rent Roll'!$F$10)^INT((BF$11-FB142)/12)/12),0)</f>
        <v/>
      </c>
      <c r="BG156" s="232">
        <f>IF(AND(BG$11&gt;=FB142,BG$11&lt;=FC142),IF((BG$11-FB142)&lt;'Rent Roll'!$K$10,0,'Rent Roll'!$B$10*'Rent Roll'!$D$10*(1+'Rent Roll'!$F$10)^INT((BG$11-FB142)/12)/12),0)</f>
        <v/>
      </c>
      <c r="BH156" s="232">
        <f>IF(AND(BH$11&gt;=FB142,BH$11&lt;=FC142),IF((BH$11-FB142)&lt;'Rent Roll'!$K$10,0,'Rent Roll'!$B$10*'Rent Roll'!$D$10*(1+'Rent Roll'!$F$10)^INT((BH$11-FB142)/12)/12),0)</f>
        <v/>
      </c>
      <c r="BI156" s="232">
        <f>IF(AND(BI$11&gt;=FB142,BI$11&lt;=FC142),IF((BI$11-FB142)&lt;'Rent Roll'!$K$10,0,'Rent Roll'!$B$10*'Rent Roll'!$D$10*(1+'Rent Roll'!$F$10)^INT((BI$11-FB142)/12)/12),0)</f>
        <v/>
      </c>
      <c r="BJ156" s="232">
        <f>IF(AND(BJ$11&gt;=FB142,BJ$11&lt;=FC142),IF((BJ$11-FB142)&lt;'Rent Roll'!$K$10,0,'Rent Roll'!$B$10*'Rent Roll'!$D$10*(1+'Rent Roll'!$F$10)^INT((BJ$11-FB142)/12)/12),0)</f>
        <v/>
      </c>
      <c r="BK156" s="232">
        <f>IF(AND(BK$11&gt;=FB142,BK$11&lt;=FC142),IF((BK$11-FB142)&lt;'Rent Roll'!$K$10,0,'Rent Roll'!$B$10*'Rent Roll'!$D$10*(1+'Rent Roll'!$F$10)^INT((BK$11-FB142)/12)/12),0)</f>
        <v/>
      </c>
      <c r="BL156" s="232">
        <f>IF(AND(BL$11&gt;=FB142,BL$11&lt;=FC142),IF((BL$11-FB142)&lt;'Rent Roll'!$K$10,0,'Rent Roll'!$B$10*'Rent Roll'!$D$10*(1+'Rent Roll'!$F$10)^INT((BL$11-FB142)/12)/12),0)</f>
        <v/>
      </c>
      <c r="BM156" s="232">
        <f>IF(AND(BM$11&gt;=FC142,BM$11&lt;=FD142),IF((BM$11-FC142)&lt;'Rent Roll'!$K$10,0,'Rent Roll'!$B$10*'Rent Roll'!$D$10*(1+'Rent Roll'!$F$10)^INT((BM$11-FC142)/12)/12),0)</f>
        <v/>
      </c>
      <c r="BN156" s="232">
        <f>IF(AND(BN$11&gt;=FD142,BN$11&lt;=FE142),IF((BN$11-FD142)&lt;'Rent Roll'!$K$10,0,'Rent Roll'!$B$10*'Rent Roll'!$D$10*(1+'Rent Roll'!$F$10)^INT((BN$11-FD142)/12)/12),0)</f>
        <v/>
      </c>
      <c r="BO156" s="232">
        <f>IF(AND(BO$11&gt;=FE142,BO$11&lt;=FF142),IF((BO$11-FE142)&lt;'Rent Roll'!$K$10,0,'Rent Roll'!$B$10*'Rent Roll'!$D$10*(1+'Rent Roll'!$F$10)^INT((BO$11-FE142)/12)/12),0)</f>
        <v/>
      </c>
      <c r="BP156" s="232">
        <f>IF(AND(BP$11&gt;=FF142,BP$11&lt;=FG142),IF((BP$11-FF142)&lt;'Rent Roll'!$K$10,0,'Rent Roll'!$B$10*'Rent Roll'!$D$10*(1+'Rent Roll'!$F$10)^INT((BP$11-FF142)/12)/12),0)</f>
        <v/>
      </c>
      <c r="BQ156" s="232">
        <f>IF(AND(BQ$11&gt;=FG142,BQ$11&lt;=FH142),IF((BQ$11-FG142)&lt;'Rent Roll'!$K$10,0,'Rent Roll'!$B$10*'Rent Roll'!$D$10*(1+'Rent Roll'!$F$10)^INT((BQ$11-FG142)/12)/12),0)</f>
        <v/>
      </c>
      <c r="BR156" s="232">
        <f>IF(AND(BR$11&gt;=FH142,BR$11&lt;=FI142),IF((BR$11-FH142)&lt;'Rent Roll'!$K$10,0,'Rent Roll'!$B$10*'Rent Roll'!$D$10*(1+'Rent Roll'!$F$10)^INT((BR$11-FH142)/12)/12),0)</f>
        <v/>
      </c>
      <c r="BS156" s="232">
        <f>IF(AND(BS$11&gt;=FI142,BS$11&lt;=FJ142),IF((BS$11-FI142)&lt;'Rent Roll'!$K$10,0,'Rent Roll'!$B$10*'Rent Roll'!$D$10*(1+'Rent Roll'!$F$10)^INT((BS$11-FI142)/12)/12),0)</f>
        <v/>
      </c>
      <c r="BT156" s="232">
        <f>IF(AND(BT$11&gt;=FJ142,BT$11&lt;=FK142),IF((BT$11-FJ142)&lt;'Rent Roll'!$K$10,0,'Rent Roll'!$B$10*'Rent Roll'!$D$10*(1+'Rent Roll'!$F$10)^INT((BT$11-FJ142)/12)/12),0)</f>
        <v/>
      </c>
      <c r="BU156" s="232">
        <f>IF(AND(BU$11&gt;=FK142,BU$11&lt;=FL142),IF((BU$11-FK142)&lt;'Rent Roll'!$K$10,0,'Rent Roll'!$B$10*'Rent Roll'!$D$10*(1+'Rent Roll'!$F$10)^INT((BU$11-FK142)/12)/12),0)</f>
        <v/>
      </c>
      <c r="BV156" s="232">
        <f>IF(AND(BV$11&gt;=FL142,BV$11&lt;=FM142),IF((BV$11-FL142)&lt;'Rent Roll'!$K$10,0,'Rent Roll'!$B$10*'Rent Roll'!$D$10*(1+'Rent Roll'!$F$10)^INT((BV$11-FL142)/12)/12),0)</f>
        <v/>
      </c>
      <c r="BW156" s="232">
        <f>IF(AND(BW$11&gt;=FM142,BW$11&lt;=FN142),IF((BW$11-FM142)&lt;'Rent Roll'!$K$10,0,'Rent Roll'!$B$10*'Rent Roll'!$D$10*(1+'Rent Roll'!$F$10)^INT((BW$11-FM142)/12)/12),0)</f>
        <v/>
      </c>
      <c r="BX156" s="232">
        <f>IF(AND(BX$11&gt;=FN142,BX$11&lt;=FO142),IF((BX$11-FN142)&lt;'Rent Roll'!$K$10,0,'Rent Roll'!$B$10*'Rent Roll'!$D$10*(1+'Rent Roll'!$F$10)^INT((BX$11-FN142)/12)/12),0)</f>
        <v/>
      </c>
      <c r="BY156" s="232">
        <f>IF(AND(BY$11&gt;=FO142,BY$11&lt;=FP142),IF((BY$11-FO142)&lt;'Rent Roll'!$K$10,0,'Rent Roll'!$B$10*'Rent Roll'!$D$10*(1+'Rent Roll'!$F$10)^INT((BY$11-FO142)/12)/12),0)</f>
        <v/>
      </c>
      <c r="BZ156" s="232">
        <f>IF(AND(BZ$11&gt;=FP142,BZ$11&lt;=FQ142),IF((BZ$11-FP142)&lt;'Rent Roll'!$K$10,0,'Rent Roll'!$B$10*'Rent Roll'!$D$10*(1+'Rent Roll'!$F$10)^INT((BZ$11-FP142)/12)/12),0)</f>
        <v/>
      </c>
      <c r="CA156" s="232">
        <f>IF(AND(CA$11&gt;=FQ142,CA$11&lt;=FR142),IF((CA$11-FQ142)&lt;'Rent Roll'!$K$10,0,'Rent Roll'!$B$10*'Rent Roll'!$D$10*(1+'Rent Roll'!$F$10)^INT((CA$11-FQ142)/12)/12),0)</f>
        <v/>
      </c>
      <c r="CB156" s="232">
        <f>IF(AND(CB$11&gt;=FR142,CB$11&lt;=FS142),IF((CB$11-FR142)&lt;'Rent Roll'!$K$10,0,'Rent Roll'!$B$10*'Rent Roll'!$D$10*(1+'Rent Roll'!$F$10)^INT((CB$11-FR142)/12)/12),0)</f>
        <v/>
      </c>
      <c r="CC156" s="232">
        <f>IF(AND(CC$11&gt;=FS142,CC$11&lt;=FT142),IF((CC$11-FS142)&lt;'Rent Roll'!$K$10,0,'Rent Roll'!$B$10*'Rent Roll'!$D$10*(1+'Rent Roll'!$F$10)^INT((CC$11-FS142)/12)/12),0)</f>
        <v/>
      </c>
      <c r="CD156" s="232">
        <f>IF(AND(CD$11&gt;=FT142,CD$11&lt;=FU142),IF((CD$11-FT142)&lt;'Rent Roll'!$K$10,0,'Rent Roll'!$B$10*'Rent Roll'!$D$10*(1+'Rent Roll'!$F$10)^INT((CD$11-FT142)/12)/12),0)</f>
        <v/>
      </c>
      <c r="CE156" s="232">
        <f>IF(AND(CE$11&gt;=FU142,CE$11&lt;=FV142),IF((CE$11-FU142)&lt;'Rent Roll'!$K$10,0,'Rent Roll'!$B$10*'Rent Roll'!$D$10*(1+'Rent Roll'!$F$10)^INT((CE$11-FU142)/12)/12),0)</f>
        <v/>
      </c>
      <c r="CF156" s="232">
        <f>IF(AND(CF$11&gt;=FV142,CF$11&lt;=FW142),IF((CF$11-FV142)&lt;'Rent Roll'!$K$10,0,'Rent Roll'!$B$10*'Rent Roll'!$D$10*(1+'Rent Roll'!$F$10)^INT((CF$11-FV142)/12)/12),0)</f>
        <v/>
      </c>
      <c r="CG156" s="232">
        <f>IF(AND(CG$11&gt;=FW142,CG$11&lt;=FX142),IF((CG$11-FW142)&lt;'Rent Roll'!$K$10,0,'Rent Roll'!$B$10*'Rent Roll'!$D$10*(1+'Rent Roll'!$F$10)^INT((CG$11-FW142)/12)/12),0)</f>
        <v/>
      </c>
      <c r="CH156" s="232">
        <f>IF(AND(CH$11&gt;=FX142,CH$11&lt;=FY142),IF((CH$11-FX142)&lt;'Rent Roll'!$K$10,0,'Rent Roll'!$B$10*'Rent Roll'!$D$10*(1+'Rent Roll'!$F$10)^INT((CH$11-FX142)/12)/12),0)</f>
        <v/>
      </c>
      <c r="CI156" s="232">
        <f>IF(AND(CI$11&gt;=FY142,CI$11&lt;=FZ142),IF((CI$11-FY142)&lt;'Rent Roll'!$K$10,0,'Rent Roll'!$B$10*'Rent Roll'!$D$10*(1+'Rent Roll'!$F$10)^INT((CI$11-FY142)/12)/12),0)</f>
        <v/>
      </c>
      <c r="CJ156" s="232">
        <f>IF(AND(CJ$11&gt;=FZ142,CJ$11&lt;=GA142),IF((CJ$11-FZ142)&lt;'Rent Roll'!$K$10,0,'Rent Roll'!$B$10*'Rent Roll'!$D$10*(1+'Rent Roll'!$F$10)^INT((CJ$11-FZ142)/12)/12),0)</f>
        <v/>
      </c>
      <c r="CK156" s="232">
        <f>IF(AND(CK$11&gt;=GA142,CK$11&lt;=GB142),IF((CK$11-GA142)&lt;'Rent Roll'!$K$10,0,'Rent Roll'!$B$10*'Rent Roll'!$D$10*(1+'Rent Roll'!$F$10)^INT((CK$11-GA142)/12)/12),0)</f>
        <v/>
      </c>
      <c r="CL156" s="232">
        <f>IF(AND(CL$11&gt;=GB142,CL$11&lt;=GC142),IF((CL$11-GB142)&lt;'Rent Roll'!$K$10,0,'Rent Roll'!$B$10*'Rent Roll'!$D$10*(1+'Rent Roll'!$F$10)^INT((CL$11-GB142)/12)/12),0)</f>
        <v/>
      </c>
      <c r="CM156" s="232">
        <f>IF(AND(CM$11&gt;=GC142,CM$11&lt;=GD142),IF((CM$11-GC142)&lt;'Rent Roll'!$K$10,0,'Rent Roll'!$B$10*'Rent Roll'!$D$10*(1+'Rent Roll'!$F$10)^INT((CM$11-GC142)/12)/12),0)</f>
        <v/>
      </c>
      <c r="CN156" s="232">
        <f>IF(AND(CN$11&gt;=GD142,CN$11&lt;=GE142),IF((CN$11-GD142)&lt;'Rent Roll'!$K$10,0,'Rent Roll'!$B$10*'Rent Roll'!$D$10*(1+'Rent Roll'!$F$10)^INT((CN$11-GD142)/12)/12),0)</f>
        <v/>
      </c>
      <c r="CO156" s="232">
        <f>IF(AND(CO$11&gt;=GE142,CO$11&lt;=GF142),IF((CO$11-GE142)&lt;'Rent Roll'!$K$10,0,'Rent Roll'!$B$10*'Rent Roll'!$D$10*(1+'Rent Roll'!$F$10)^INT((CO$11-GE142)/12)/12),0)</f>
        <v/>
      </c>
      <c r="CP156" s="232">
        <f>IF(AND(CP$11&gt;=GF142,CP$11&lt;=GG142),IF((CP$11-GF142)&lt;'Rent Roll'!$K$10,0,'Rent Roll'!$B$10*'Rent Roll'!$D$10*(1+'Rent Roll'!$F$10)^INT((CP$11-GF142)/12)/12),0)</f>
        <v/>
      </c>
      <c r="CQ156" s="232">
        <f>IF(AND(CQ$11&gt;=GG142,CQ$11&lt;=GH142),IF((CQ$11-GG142)&lt;'Rent Roll'!$K$10,0,'Rent Roll'!$B$10*'Rent Roll'!$D$10*(1+'Rent Roll'!$F$10)^INT((CQ$11-GG142)/12)/12),0)</f>
        <v/>
      </c>
      <c r="CR156" s="232">
        <f>IF(AND(CR$11&gt;=GH142,CR$11&lt;=GI142),IF((CR$11-GH142)&lt;'Rent Roll'!$K$10,0,'Rent Roll'!$B$10*'Rent Roll'!$D$10*(1+'Rent Roll'!$F$10)^INT((CR$11-GH142)/12)/12),0)</f>
        <v/>
      </c>
      <c r="CS156" s="232">
        <f>IF(AND(CS$11&gt;=GI142,CS$11&lt;=GJ142),IF((CS$11-GI142)&lt;'Rent Roll'!$K$10,0,'Rent Roll'!$B$10*'Rent Roll'!$D$10*(1+'Rent Roll'!$F$10)^INT((CS$11-GI142)/12)/12),0)</f>
        <v/>
      </c>
      <c r="CT156" s="232">
        <f>IF(AND(CT$11&gt;=GJ142,CT$11&lt;=GK142),IF((CT$11-GJ142)&lt;'Rent Roll'!$K$10,0,'Rent Roll'!$B$10*'Rent Roll'!$D$10*(1+'Rent Roll'!$F$10)^INT((CT$11-GJ142)/12)/12),0)</f>
        <v/>
      </c>
      <c r="CU156" s="232">
        <f>IF(AND(CU$11&gt;=GK142,CU$11&lt;=GL142),IF((CU$11-GK142)&lt;'Rent Roll'!$K$10,0,'Rent Roll'!$B$10*'Rent Roll'!$D$10*(1+'Rent Roll'!$F$10)^INT((CU$11-GK142)/12)/12),0)</f>
        <v/>
      </c>
      <c r="CV156" s="232">
        <f>IF(AND(CV$11&gt;=GL142,CV$11&lt;=GM142),IF((CV$11-GL142)&lt;'Rent Roll'!$K$10,0,'Rent Roll'!$B$10*'Rent Roll'!$D$10*(1+'Rent Roll'!$F$10)^INT((CV$11-GL142)/12)/12),0)</f>
        <v/>
      </c>
      <c r="CW156" s="232">
        <f>IF(AND(CW$11&gt;=GM142,CW$11&lt;=GN142),IF((CW$11-GM142)&lt;'Rent Roll'!$K$10,0,'Rent Roll'!$B$10*'Rent Roll'!$D$10*(1+'Rent Roll'!$F$10)^INT((CW$11-GM142)/12)/12),0)</f>
        <v/>
      </c>
      <c r="CX156" s="232">
        <f>IF(AND(CX$11&gt;=GN142,CX$11&lt;=GO142),IF((CX$11-GN142)&lt;'Rent Roll'!$K$10,0,'Rent Roll'!$B$10*'Rent Roll'!$D$10*(1+'Rent Roll'!$F$10)^INT((CX$11-GN142)/12)/12),0)</f>
        <v/>
      </c>
      <c r="CY156" s="232">
        <f>IF(AND(CY$11&gt;=GO142,CY$11&lt;=GP142),IF((CY$11-GO142)&lt;'Rent Roll'!$K$10,0,'Rent Roll'!$B$10*'Rent Roll'!$D$10*(1+'Rent Roll'!$F$10)^INT((CY$11-GO142)/12)/12),0)</f>
        <v/>
      </c>
      <c r="CZ156" s="232">
        <f>IF(AND(CZ$11&gt;=GP142,CZ$11&lt;=GQ142),IF((CZ$11-GP142)&lt;'Rent Roll'!$K$10,0,'Rent Roll'!$B$10*'Rent Roll'!$D$10*(1+'Rent Roll'!$F$10)^INT((CZ$11-GP142)/12)/12),0)</f>
        <v/>
      </c>
      <c r="DA156" s="232">
        <f>IF(AND(DA$11&gt;=GQ142,DA$11&lt;=GR142),IF((DA$11-GQ142)&lt;'Rent Roll'!$K$10,0,'Rent Roll'!$B$10*'Rent Roll'!$D$10*(1+'Rent Roll'!$F$10)^INT((DA$11-GQ142)/12)/12),0)</f>
        <v/>
      </c>
      <c r="DB156" s="232">
        <f>IF(AND(DB$11&gt;=GR142,DB$11&lt;=GS142),IF((DB$11-GR142)&lt;'Rent Roll'!$K$10,0,'Rent Roll'!$B$10*'Rent Roll'!$D$10*(1+'Rent Roll'!$F$10)^INT((DB$11-GR142)/12)/12),0)</f>
        <v/>
      </c>
      <c r="DC156" s="232">
        <f>IF(AND(DC$11&gt;=GS142,DC$11&lt;=GT142),IF((DC$11-GS142)&lt;'Rent Roll'!$K$10,0,'Rent Roll'!$B$10*'Rent Roll'!$D$10*(1+'Rent Roll'!$F$10)^INT((DC$11-GS142)/12)/12),0)</f>
        <v/>
      </c>
      <c r="DD156" s="232">
        <f>IF(AND(DD$11&gt;=GT142,DD$11&lt;=GU142),IF((DD$11-GT142)&lt;'Rent Roll'!$K$10,0,'Rent Roll'!$B$10*'Rent Roll'!$D$10*(1+'Rent Roll'!$F$10)^INT((DD$11-GT142)/12)/12),0)</f>
        <v/>
      </c>
      <c r="DE156" s="232">
        <f>IF(AND(DE$11&gt;=GU142,DE$11&lt;=GV142),IF((DE$11-GU142)&lt;'Rent Roll'!$K$10,0,'Rent Roll'!$B$10*'Rent Roll'!$D$10*(1+'Rent Roll'!$F$10)^INT((DE$11-GU142)/12)/12),0)</f>
        <v/>
      </c>
      <c r="DF156" s="232">
        <f>IF(AND(DF$11&gt;=GV142,DF$11&lt;=GW142),IF((DF$11-GV142)&lt;'Rent Roll'!$K$10,0,'Rent Roll'!$B$10*'Rent Roll'!$D$10*(1+'Rent Roll'!$F$10)^INT((DF$11-GV142)/12)/12),0)</f>
        <v/>
      </c>
      <c r="DG156" s="232">
        <f>IF(AND(DG$11&gt;=GW142,DG$11&lt;=GX142),IF((DG$11-GW142)&lt;'Rent Roll'!$K$10,0,'Rent Roll'!$B$10*'Rent Roll'!$D$10*(1+'Rent Roll'!$F$10)^INT((DG$11-GW142)/12)/12),0)</f>
        <v/>
      </c>
      <c r="DH156" s="232">
        <f>IF(AND(DH$11&gt;=GX142,DH$11&lt;=GY142),IF((DH$11-GX142)&lt;'Rent Roll'!$K$10,0,'Rent Roll'!$B$10*'Rent Roll'!$D$10*(1+'Rent Roll'!$F$10)^INT((DH$11-GX142)/12)/12),0)</f>
        <v/>
      </c>
      <c r="DI156" s="232">
        <f>IF(AND(DI$11&gt;=GY142,DI$11&lt;=GZ142),IF((DI$11-GY142)&lt;'Rent Roll'!$K$10,0,'Rent Roll'!$B$10*'Rent Roll'!$D$10*(1+'Rent Roll'!$F$10)^INT((DI$11-GY142)/12)/12),0)</f>
        <v/>
      </c>
      <c r="DJ156" s="232">
        <f>IF(AND(DJ$11&gt;=GZ142,DJ$11&lt;=HA142),IF((DJ$11-GZ142)&lt;'Rent Roll'!$K$10,0,'Rent Roll'!$B$10*'Rent Roll'!$D$10*(1+'Rent Roll'!$F$10)^INT((DJ$11-GZ142)/12)/12),0)</f>
        <v/>
      </c>
      <c r="DK156" s="232">
        <f>IF(AND(DK$11&gt;=HA142,DK$11&lt;=HB142),IF((DK$11-HA142)&lt;'Rent Roll'!$K$10,0,'Rent Roll'!$B$10*'Rent Roll'!$D$10*(1+'Rent Roll'!$F$10)^INT((DK$11-HA142)/12)/12),0)</f>
        <v/>
      </c>
      <c r="DL156" s="232">
        <f>IF(AND(DL$11&gt;=HB142,DL$11&lt;=HC142),IF((DL$11-HB142)&lt;'Rent Roll'!$K$10,0,'Rent Roll'!$B$10*'Rent Roll'!$D$10*(1+'Rent Roll'!$F$10)^INT((DL$11-HB142)/12)/12),0)</f>
        <v/>
      </c>
      <c r="DM156" s="232">
        <f>IF(AND(DM$11&gt;=HC142,DM$11&lt;=HD142),IF((DM$11-HC142)&lt;'Rent Roll'!$K$10,0,'Rent Roll'!$B$10*'Rent Roll'!$D$10*(1+'Rent Roll'!$F$10)^INT((DM$11-HC142)/12)/12),0)</f>
        <v/>
      </c>
      <c r="DN156" s="232">
        <f>IF(AND(DN$11&gt;=HD142,DN$11&lt;=HE142),IF((DN$11-HD142)&lt;'Rent Roll'!$K$10,0,'Rent Roll'!$B$10*'Rent Roll'!$D$10*(1+'Rent Roll'!$F$10)^INT((DN$11-HD142)/12)/12),0)</f>
        <v/>
      </c>
      <c r="DO156" s="232">
        <f>IF(AND(DO$11&gt;=HE142,DO$11&lt;=HF142),IF((DO$11-HE142)&lt;'Rent Roll'!$K$10,0,'Rent Roll'!$B$10*'Rent Roll'!$D$10*(1+'Rent Roll'!$F$10)^INT((DO$11-HE142)/12)/12),0)</f>
        <v/>
      </c>
      <c r="DP156" s="232">
        <f>IF(AND(DP$11&gt;=HF142,DP$11&lt;=HG142),IF((DP$11-HF142)&lt;'Rent Roll'!$K$10,0,'Rent Roll'!$B$10*'Rent Roll'!$D$10*(1+'Rent Roll'!$F$10)^INT((DP$11-HF142)/12)/12),0)</f>
        <v/>
      </c>
      <c r="DQ156" s="232">
        <f>IF(AND(DQ$11&gt;=HG142,DQ$11&lt;=HH142),IF((DQ$11-HG142)&lt;'Rent Roll'!$K$10,0,'Rent Roll'!$B$10*'Rent Roll'!$D$10*(1+'Rent Roll'!$F$10)^INT((DQ$11-HG142)/12)/12),0)</f>
        <v/>
      </c>
      <c r="DR156" s="232">
        <f>IF(AND(DR$11&gt;=HH142,DR$11&lt;=HI142),IF((DR$11-HH142)&lt;'Rent Roll'!$K$10,0,'Rent Roll'!$B$10*'Rent Roll'!$D$10*(1+'Rent Roll'!$F$10)^INT((DR$11-HH142)/12)/12),0)</f>
        <v/>
      </c>
      <c r="DS156" s="232">
        <f>IF(AND(DS$11&gt;=HI142,DS$11&lt;=HJ142),IF((DS$11-HI142)&lt;'Rent Roll'!$K$10,0,'Rent Roll'!$B$10*'Rent Roll'!$D$10*(1+'Rent Roll'!$F$10)^INT((DS$11-HI142)/12)/12),0)</f>
        <v/>
      </c>
      <c r="DT156" s="232">
        <f>IF(AND(DT$11&gt;=HJ142,DT$11&lt;=HK142),IF((DT$11-HJ142)&lt;'Rent Roll'!$K$10,0,'Rent Roll'!$B$10*'Rent Roll'!$D$10*(1+'Rent Roll'!$F$10)^INT((DT$11-HJ142)/12)/12),0)</f>
        <v/>
      </c>
      <c r="DV156">
        <f>DV142&amp;" Rent"</f>
        <v/>
      </c>
    </row>
    <row r="157" ht="15" customHeight="1" s="148">
      <c r="D157" s="127">
        <f>IF(AND(D$11&gt;=FB142,D$11&lt;=FC142),'Rent Roll'!$B$10,0)</f>
        <v/>
      </c>
      <c r="E157" s="127">
        <f>IF(AND(E$11&gt;=FB142,E$11&lt;=FC142),'Rent Roll'!$B$10,0)</f>
        <v/>
      </c>
      <c r="F157" s="127">
        <f>IF(AND(F$11&gt;=FB142,F$11&lt;=FC142),'Rent Roll'!$B$10,0)</f>
        <v/>
      </c>
      <c r="G157" s="127">
        <f>IF(AND(G$11&gt;=FB142,G$11&lt;=FC142),'Rent Roll'!$B$10,0)</f>
        <v/>
      </c>
      <c r="H157" s="127">
        <f>IF(AND(H$11&gt;=FB142,H$11&lt;=FC142),'Rent Roll'!$B$10,0)</f>
        <v/>
      </c>
      <c r="I157" s="127">
        <f>IF(AND(I$11&gt;=FB142,I$11&lt;=FC142),'Rent Roll'!$B$10,0)</f>
        <v/>
      </c>
      <c r="J157" s="127">
        <f>IF(AND(J$11&gt;=FB142,J$11&lt;=FC142),'Rent Roll'!$B$10,0)</f>
        <v/>
      </c>
      <c r="K157" s="127">
        <f>IF(AND(K$11&gt;=FB142,K$11&lt;=FC142),'Rent Roll'!$B$10,0)</f>
        <v/>
      </c>
      <c r="L157" s="127">
        <f>IF(AND(L$11&gt;=FB142,L$11&lt;=FC142),'Rent Roll'!$B$10,0)</f>
        <v/>
      </c>
      <c r="M157" s="127">
        <f>IF(AND(M$11&gt;=FB142,M$11&lt;=FC142),'Rent Roll'!$B$10,0)</f>
        <v/>
      </c>
      <c r="N157" s="127">
        <f>IF(AND(N$11&gt;=FB142,N$11&lt;=FC142),'Rent Roll'!$B$10,0)</f>
        <v/>
      </c>
      <c r="O157" s="127">
        <f>IF(AND(O$11&gt;=FB142,O$11&lt;=FC142),'Rent Roll'!$B$10,0)</f>
        <v/>
      </c>
      <c r="P157" s="127">
        <f>IF(AND(P$11&gt;=FB142,P$11&lt;=FC142),'Rent Roll'!$B$10,0)</f>
        <v/>
      </c>
      <c r="Q157" s="127">
        <f>IF(AND(Q$11&gt;=FB142,Q$11&lt;=FC142),'Rent Roll'!$B$10,0)</f>
        <v/>
      </c>
      <c r="R157" s="127">
        <f>IF(AND(R$11&gt;=FB142,R$11&lt;=FC142),'Rent Roll'!$B$10,0)</f>
        <v/>
      </c>
      <c r="S157" s="127">
        <f>IF(AND(S$11&gt;=FB142,S$11&lt;=FC142),'Rent Roll'!$B$10,0)</f>
        <v/>
      </c>
      <c r="T157" s="127">
        <f>IF(AND(T$11&gt;=FB142,T$11&lt;=FC142),'Rent Roll'!$B$10,0)</f>
        <v/>
      </c>
      <c r="U157" s="127">
        <f>IF(AND(U$11&gt;=FB142,U$11&lt;=FC142),'Rent Roll'!$B$10,0)</f>
        <v/>
      </c>
      <c r="V157" s="127">
        <f>IF(AND(V$11&gt;=FB142,V$11&lt;=FC142),'Rent Roll'!$B$10,0)</f>
        <v/>
      </c>
      <c r="W157" s="127">
        <f>IF(AND(W$11&gt;=FB142,W$11&lt;=FC142),'Rent Roll'!$B$10,0)</f>
        <v/>
      </c>
      <c r="X157" s="127">
        <f>IF(AND(X$11&gt;=FB142,X$11&lt;=FC142),'Rent Roll'!$B$10,0)</f>
        <v/>
      </c>
      <c r="Y157" s="127">
        <f>IF(AND(Y$11&gt;=FB142,Y$11&lt;=FC142),'Rent Roll'!$B$10,0)</f>
        <v/>
      </c>
      <c r="Z157" s="127">
        <f>IF(AND(Z$11&gt;=FB142,Z$11&lt;=FC142),'Rent Roll'!$B$10,0)</f>
        <v/>
      </c>
      <c r="AA157" s="127">
        <f>IF(AND(AA$11&gt;=FB142,AA$11&lt;=FC142),'Rent Roll'!$B$10,0)</f>
        <v/>
      </c>
      <c r="AB157" s="127">
        <f>IF(AND(AB$11&gt;=FB142,AB$11&lt;=FC142),'Rent Roll'!$B$10,0)</f>
        <v/>
      </c>
      <c r="AC157" s="127">
        <f>IF(AND(AC$11&gt;=FB142,AC$11&lt;=FC142),'Rent Roll'!$B$10,0)</f>
        <v/>
      </c>
      <c r="AD157" s="127">
        <f>IF(AND(AD$11&gt;=FB142,AD$11&lt;=FC142),'Rent Roll'!$B$10,0)</f>
        <v/>
      </c>
      <c r="AE157" s="127">
        <f>IF(AND(AE$11&gt;=FB142,AE$11&lt;=FC142),'Rent Roll'!$B$10,0)</f>
        <v/>
      </c>
      <c r="AF157" s="127">
        <f>IF(AND(AF$11&gt;=FB142,AF$11&lt;=FC142),'Rent Roll'!$B$10,0)</f>
        <v/>
      </c>
      <c r="AG157" s="127">
        <f>IF(AND(AG$11&gt;=FB142,AG$11&lt;=FC142),'Rent Roll'!$B$10,0)</f>
        <v/>
      </c>
      <c r="AH157" s="127">
        <f>IF(AND(AH$11&gt;=FB142,AH$11&lt;=FC142),'Rent Roll'!$B$10,0)</f>
        <v/>
      </c>
      <c r="AI157" s="127">
        <f>IF(AND(AI$11&gt;=FB142,AI$11&lt;=FC142),'Rent Roll'!$B$10,0)</f>
        <v/>
      </c>
      <c r="AJ157" s="127">
        <f>IF(AND(AJ$11&gt;=FB142,AJ$11&lt;=FC142),'Rent Roll'!$B$10,0)</f>
        <v/>
      </c>
      <c r="AK157" s="127">
        <f>IF(AND(AK$11&gt;=FB142,AK$11&lt;=FC142),'Rent Roll'!$B$10,0)</f>
        <v/>
      </c>
      <c r="AL157" s="127">
        <f>IF(AND(AL$11&gt;=FB142,AL$11&lt;=FC142),'Rent Roll'!$B$10,0)</f>
        <v/>
      </c>
      <c r="AM157" s="127">
        <f>IF(AND(AM$11&gt;=FB142,AM$11&lt;=FC142),'Rent Roll'!$B$10,0)</f>
        <v/>
      </c>
      <c r="AN157" s="127">
        <f>IF(AND(AN$11&gt;=FB142,AN$11&lt;=FC142),'Rent Roll'!$B$10,0)</f>
        <v/>
      </c>
      <c r="AO157" s="127">
        <f>IF(AND(AO$11&gt;=FB142,AO$11&lt;=FC142),'Rent Roll'!$B$10,0)</f>
        <v/>
      </c>
      <c r="AP157" s="127">
        <f>IF(AND(AP$11&gt;=FB142,AP$11&lt;=FC142),'Rent Roll'!$B$10,0)</f>
        <v/>
      </c>
      <c r="AQ157" s="127">
        <f>IF(AND(AQ$11&gt;=FB142,AQ$11&lt;=FC142),'Rent Roll'!$B$10,0)</f>
        <v/>
      </c>
      <c r="AR157" s="127">
        <f>IF(AND(AR$11&gt;=FB142,AR$11&lt;=FC142),'Rent Roll'!$B$10,0)</f>
        <v/>
      </c>
      <c r="AS157" s="127">
        <f>IF(AND(AS$11&gt;=FB142,AS$11&lt;=FC142),'Rent Roll'!$B$10,0)</f>
        <v/>
      </c>
      <c r="AT157" s="127">
        <f>IF(AND(AT$11&gt;=FB142,AT$11&lt;=FC142),'Rent Roll'!$B$10,0)</f>
        <v/>
      </c>
      <c r="AU157" s="127">
        <f>IF(AND(AU$11&gt;=FB142,AU$11&lt;=FC142),'Rent Roll'!$B$10,0)</f>
        <v/>
      </c>
      <c r="AV157" s="127">
        <f>IF(AND(AV$11&gt;=FB142,AV$11&lt;=FC142),'Rent Roll'!$B$10,0)</f>
        <v/>
      </c>
      <c r="AW157" s="127">
        <f>IF(AND(AW$11&gt;=FB142,AW$11&lt;=FC142),'Rent Roll'!$B$10,0)</f>
        <v/>
      </c>
      <c r="AX157" s="127">
        <f>IF(AND(AX$11&gt;=FB142,AX$11&lt;=FC142),'Rent Roll'!$B$10,0)</f>
        <v/>
      </c>
      <c r="AY157" s="127">
        <f>IF(AND(AY$11&gt;=FB142,AY$11&lt;=FC142),'Rent Roll'!$B$10,0)</f>
        <v/>
      </c>
      <c r="AZ157" s="127">
        <f>IF(AND(AZ$11&gt;=FB142,AZ$11&lt;=FC142),'Rent Roll'!$B$10,0)</f>
        <v/>
      </c>
      <c r="BA157" s="127">
        <f>IF(AND(BA$11&gt;=FB142,BA$11&lt;=FC142),'Rent Roll'!$B$10,0)</f>
        <v/>
      </c>
      <c r="BB157" s="127">
        <f>IF(AND(BB$11&gt;=FB142,BB$11&lt;=FC142),'Rent Roll'!$B$10,0)</f>
        <v/>
      </c>
      <c r="BC157" s="127">
        <f>IF(AND(BC$11&gt;=FB142,BC$11&lt;=FC142),'Rent Roll'!$B$10,0)</f>
        <v/>
      </c>
      <c r="BD157" s="127">
        <f>IF(AND(BD$11&gt;=FB142,BD$11&lt;=FC142),'Rent Roll'!$B$10,0)</f>
        <v/>
      </c>
      <c r="BE157" s="127">
        <f>IF(AND(BE$11&gt;=FB142,BE$11&lt;=FC142),'Rent Roll'!$B$10,0)</f>
        <v/>
      </c>
      <c r="BF157" s="127">
        <f>IF(AND(BF$11&gt;=FB142,BF$11&lt;=FC142),'Rent Roll'!$B$10,0)</f>
        <v/>
      </c>
      <c r="BG157" s="127">
        <f>IF(AND(BG$11&gt;=FB142,BG$11&lt;=FC142),'Rent Roll'!$B$10,0)</f>
        <v/>
      </c>
      <c r="BH157" s="127">
        <f>IF(AND(BH$11&gt;=FB142,BH$11&lt;=FC142),'Rent Roll'!$B$10,0)</f>
        <v/>
      </c>
      <c r="BI157" s="127">
        <f>IF(AND(BI$11&gt;=FB142,BI$11&lt;=FC142),'Rent Roll'!$B$10,0)</f>
        <v/>
      </c>
      <c r="BJ157" s="127">
        <f>IF(AND(BJ$11&gt;=FB142,BJ$11&lt;=FC142),'Rent Roll'!$B$10,0)</f>
        <v/>
      </c>
      <c r="BK157" s="127">
        <f>IF(AND(BK$11&gt;=FB142,BK$11&lt;=FC142),'Rent Roll'!$B$10,0)</f>
        <v/>
      </c>
      <c r="BL157" s="127">
        <f>IF(AND(BL$11&gt;=FB142,BL$11&lt;=FC142),'Rent Roll'!$B$10,0)</f>
        <v/>
      </c>
      <c r="BM157" s="127">
        <f>IF(AND(BM$11&gt;=FC142,BM$11&lt;=FD142),'Rent Roll'!$B$10,0)</f>
        <v/>
      </c>
      <c r="BN157" s="127">
        <f>IF(AND(BN$11&gt;=FD142,BN$11&lt;=FE142),'Rent Roll'!$B$10,0)</f>
        <v/>
      </c>
      <c r="BO157" s="127">
        <f>IF(AND(BO$11&gt;=FE142,BO$11&lt;=FF142),'Rent Roll'!$B$10,0)</f>
        <v/>
      </c>
      <c r="BP157" s="127">
        <f>IF(AND(BP$11&gt;=FF142,BP$11&lt;=FG142),'Rent Roll'!$B$10,0)</f>
        <v/>
      </c>
      <c r="BQ157" s="127">
        <f>IF(AND(BQ$11&gt;=FG142,BQ$11&lt;=FH142),'Rent Roll'!$B$10,0)</f>
        <v/>
      </c>
      <c r="BR157" s="127">
        <f>IF(AND(BR$11&gt;=FH142,BR$11&lt;=FI142),'Rent Roll'!$B$10,0)</f>
        <v/>
      </c>
      <c r="BS157" s="127">
        <f>IF(AND(BS$11&gt;=FI142,BS$11&lt;=FJ142),'Rent Roll'!$B$10,0)</f>
        <v/>
      </c>
      <c r="BT157" s="127">
        <f>IF(AND(BT$11&gt;=FJ142,BT$11&lt;=FK142),'Rent Roll'!$B$10,0)</f>
        <v/>
      </c>
      <c r="BU157" s="127">
        <f>IF(AND(BU$11&gt;=FK142,BU$11&lt;=FL142),'Rent Roll'!$B$10,0)</f>
        <v/>
      </c>
      <c r="BV157" s="127">
        <f>IF(AND(BV$11&gt;=FL142,BV$11&lt;=FM142),'Rent Roll'!$B$10,0)</f>
        <v/>
      </c>
      <c r="BW157" s="127">
        <f>IF(AND(BW$11&gt;=FM142,BW$11&lt;=FN142),'Rent Roll'!$B$10,0)</f>
        <v/>
      </c>
      <c r="BX157" s="127">
        <f>IF(AND(BX$11&gt;=FN142,BX$11&lt;=FO142),'Rent Roll'!$B$10,0)</f>
        <v/>
      </c>
      <c r="BY157" s="127">
        <f>IF(AND(BY$11&gt;=FO142,BY$11&lt;=FP142),'Rent Roll'!$B$10,0)</f>
        <v/>
      </c>
      <c r="BZ157" s="127">
        <f>IF(AND(BZ$11&gt;=FP142,BZ$11&lt;=FQ142),'Rent Roll'!$B$10,0)</f>
        <v/>
      </c>
      <c r="CA157" s="127">
        <f>IF(AND(CA$11&gt;=FQ142,CA$11&lt;=FR142),'Rent Roll'!$B$10,0)</f>
        <v/>
      </c>
      <c r="CB157" s="127">
        <f>IF(AND(CB$11&gt;=FR142,CB$11&lt;=FS142),'Rent Roll'!$B$10,0)</f>
        <v/>
      </c>
      <c r="CC157" s="127">
        <f>IF(AND(CC$11&gt;=FS142,CC$11&lt;=FT142),'Rent Roll'!$B$10,0)</f>
        <v/>
      </c>
      <c r="CD157" s="127">
        <f>IF(AND(CD$11&gt;=FT142,CD$11&lt;=FU142),'Rent Roll'!$B$10,0)</f>
        <v/>
      </c>
      <c r="CE157" s="127">
        <f>IF(AND(CE$11&gt;=FU142,CE$11&lt;=FV142),'Rent Roll'!$B$10,0)</f>
        <v/>
      </c>
      <c r="CF157" s="127">
        <f>IF(AND(CF$11&gt;=FV142,CF$11&lt;=FW142),'Rent Roll'!$B$10,0)</f>
        <v/>
      </c>
      <c r="CG157" s="127">
        <f>IF(AND(CG$11&gt;=FW142,CG$11&lt;=FX142),'Rent Roll'!$B$10,0)</f>
        <v/>
      </c>
      <c r="CH157" s="127">
        <f>IF(AND(CH$11&gt;=FX142,CH$11&lt;=FY142),'Rent Roll'!$B$10,0)</f>
        <v/>
      </c>
      <c r="CI157" s="127">
        <f>IF(AND(CI$11&gt;=FY142,CI$11&lt;=FZ142),'Rent Roll'!$B$10,0)</f>
        <v/>
      </c>
      <c r="CJ157" s="127">
        <f>IF(AND(CJ$11&gt;=FZ142,CJ$11&lt;=GA142),'Rent Roll'!$B$10,0)</f>
        <v/>
      </c>
      <c r="CK157" s="127">
        <f>IF(AND(CK$11&gt;=GA142,CK$11&lt;=GB142),'Rent Roll'!$B$10,0)</f>
        <v/>
      </c>
      <c r="CL157" s="127">
        <f>IF(AND(CL$11&gt;=GB142,CL$11&lt;=GC142),'Rent Roll'!$B$10,0)</f>
        <v/>
      </c>
      <c r="CM157" s="127">
        <f>IF(AND(CM$11&gt;=GC142,CM$11&lt;=GD142),'Rent Roll'!$B$10,0)</f>
        <v/>
      </c>
      <c r="CN157" s="127">
        <f>IF(AND(CN$11&gt;=GD142,CN$11&lt;=GE142),'Rent Roll'!$B$10,0)</f>
        <v/>
      </c>
      <c r="CO157" s="127">
        <f>IF(AND(CO$11&gt;=GE142,CO$11&lt;=GF142),'Rent Roll'!$B$10,0)</f>
        <v/>
      </c>
      <c r="CP157" s="127">
        <f>IF(AND(CP$11&gt;=GF142,CP$11&lt;=GG142),'Rent Roll'!$B$10,0)</f>
        <v/>
      </c>
      <c r="CQ157" s="127">
        <f>IF(AND(CQ$11&gt;=GG142,CQ$11&lt;=GH142),'Rent Roll'!$B$10,0)</f>
        <v/>
      </c>
      <c r="CR157" s="127">
        <f>IF(AND(CR$11&gt;=GH142,CR$11&lt;=GI142),'Rent Roll'!$B$10,0)</f>
        <v/>
      </c>
      <c r="CS157" s="127">
        <f>IF(AND(CS$11&gt;=GI142,CS$11&lt;=GJ142),'Rent Roll'!$B$10,0)</f>
        <v/>
      </c>
      <c r="CT157" s="127">
        <f>IF(AND(CT$11&gt;=GJ142,CT$11&lt;=GK142),'Rent Roll'!$B$10,0)</f>
        <v/>
      </c>
      <c r="CU157" s="127">
        <f>IF(AND(CU$11&gt;=GK142,CU$11&lt;=GL142),'Rent Roll'!$B$10,0)</f>
        <v/>
      </c>
      <c r="CV157" s="127">
        <f>IF(AND(CV$11&gt;=GL142,CV$11&lt;=GM142),'Rent Roll'!$B$10,0)</f>
        <v/>
      </c>
      <c r="CW157" s="127">
        <f>IF(AND(CW$11&gt;=GM142,CW$11&lt;=GN142),'Rent Roll'!$B$10,0)</f>
        <v/>
      </c>
      <c r="CX157" s="127">
        <f>IF(AND(CX$11&gt;=GN142,CX$11&lt;=GO142),'Rent Roll'!$B$10,0)</f>
        <v/>
      </c>
      <c r="CY157" s="127">
        <f>IF(AND(CY$11&gt;=GO142,CY$11&lt;=GP142),'Rent Roll'!$B$10,0)</f>
        <v/>
      </c>
      <c r="CZ157" s="127">
        <f>IF(AND(CZ$11&gt;=GP142,CZ$11&lt;=GQ142),'Rent Roll'!$B$10,0)</f>
        <v/>
      </c>
      <c r="DA157" s="127">
        <f>IF(AND(DA$11&gt;=GQ142,DA$11&lt;=GR142),'Rent Roll'!$B$10,0)</f>
        <v/>
      </c>
      <c r="DB157" s="127">
        <f>IF(AND(DB$11&gt;=GR142,DB$11&lt;=GS142),'Rent Roll'!$B$10,0)</f>
        <v/>
      </c>
      <c r="DC157" s="127">
        <f>IF(AND(DC$11&gt;=GS142,DC$11&lt;=GT142),'Rent Roll'!$B$10,0)</f>
        <v/>
      </c>
      <c r="DD157" s="127">
        <f>IF(AND(DD$11&gt;=GT142,DD$11&lt;=GU142),'Rent Roll'!$B$10,0)</f>
        <v/>
      </c>
      <c r="DE157" s="127">
        <f>IF(AND(DE$11&gt;=GU142,DE$11&lt;=GV142),'Rent Roll'!$B$10,0)</f>
        <v/>
      </c>
      <c r="DF157" s="127">
        <f>IF(AND(DF$11&gt;=GV142,DF$11&lt;=GW142),'Rent Roll'!$B$10,0)</f>
        <v/>
      </c>
      <c r="DG157" s="127">
        <f>IF(AND(DG$11&gt;=GW142,DG$11&lt;=GX142),'Rent Roll'!$B$10,0)</f>
        <v/>
      </c>
      <c r="DH157" s="127">
        <f>IF(AND(DH$11&gt;=GX142,DH$11&lt;=GY142),'Rent Roll'!$B$10,0)</f>
        <v/>
      </c>
      <c r="DI157" s="127">
        <f>IF(AND(DI$11&gt;=GY142,DI$11&lt;=GZ142),'Rent Roll'!$B$10,0)</f>
        <v/>
      </c>
      <c r="DJ157" s="127">
        <f>IF(AND(DJ$11&gt;=GZ142,DJ$11&lt;=HA142),'Rent Roll'!$B$10,0)</f>
        <v/>
      </c>
      <c r="DK157" s="127">
        <f>IF(AND(DK$11&gt;=HA142,DK$11&lt;=HB142),'Rent Roll'!$B$10,0)</f>
        <v/>
      </c>
      <c r="DL157" s="127">
        <f>IF(AND(DL$11&gt;=HB142,DL$11&lt;=HC142),'Rent Roll'!$B$10,0)</f>
        <v/>
      </c>
      <c r="DM157" s="127">
        <f>IF(AND(DM$11&gt;=HC142,DM$11&lt;=HD142),'Rent Roll'!$B$10,0)</f>
        <v/>
      </c>
      <c r="DN157" s="127">
        <f>IF(AND(DN$11&gt;=HD142,DN$11&lt;=HE142),'Rent Roll'!$B$10,0)</f>
        <v/>
      </c>
      <c r="DO157" s="127">
        <f>IF(AND(DO$11&gt;=HE142,DO$11&lt;=HF142),'Rent Roll'!$B$10,0)</f>
        <v/>
      </c>
      <c r="DP157" s="127">
        <f>IF(AND(DP$11&gt;=HF142,DP$11&lt;=HG142),'Rent Roll'!$B$10,0)</f>
        <v/>
      </c>
      <c r="DQ157" s="127">
        <f>IF(AND(DQ$11&gt;=HG142,DQ$11&lt;=HH142),'Rent Roll'!$B$10,0)</f>
        <v/>
      </c>
      <c r="DR157" s="127">
        <f>IF(AND(DR$11&gt;=HH142,DR$11&lt;=HI142),'Rent Roll'!$B$10,0)</f>
        <v/>
      </c>
      <c r="DS157" s="127">
        <f>IF(AND(DS$11&gt;=HI142,DS$11&lt;=HJ142),'Rent Roll'!$B$10,0)</f>
        <v/>
      </c>
      <c r="DT157" s="127">
        <f>IF(AND(DT$11&gt;=HJ142,DT$11&lt;=HK142),'Rent Roll'!$B$10,0)</f>
        <v/>
      </c>
      <c r="DV157">
        <f>DV142&amp;" ActiveSF"</f>
        <v/>
      </c>
    </row>
    <row r="158" ht="15" customHeight="1" s="148">
      <c r="D158" s="232">
        <f>IF(AND(D$11&gt;=FB143,D$11&lt;=FC143),IF((D$11-FB143)&lt;'Rent Roll'!$K$11,0,'Rent Roll'!$B$11*'Rent Roll'!$D$11*(1+'Rent Roll'!$F$11)^INT((D$11-FB143)/12)/12),0)</f>
        <v/>
      </c>
      <c r="E158" s="232">
        <f>IF(AND(E$11&gt;=FB143,E$11&lt;=FC143),IF((E$11-FB143)&lt;'Rent Roll'!$K$11,0,'Rent Roll'!$B$11*'Rent Roll'!$D$11*(1+'Rent Roll'!$F$11)^INT((E$11-FB143)/12)/12),0)</f>
        <v/>
      </c>
      <c r="F158" s="232">
        <f>IF(AND(F$11&gt;=FB143,F$11&lt;=FC143),IF((F$11-FB143)&lt;'Rent Roll'!$K$11,0,'Rent Roll'!$B$11*'Rent Roll'!$D$11*(1+'Rent Roll'!$F$11)^INT((F$11-FB143)/12)/12),0)</f>
        <v/>
      </c>
      <c r="G158" s="232">
        <f>IF(AND(G$11&gt;=FB143,G$11&lt;=FC143),IF((G$11-FB143)&lt;'Rent Roll'!$K$11,0,'Rent Roll'!$B$11*'Rent Roll'!$D$11*(1+'Rent Roll'!$F$11)^INT((G$11-FB143)/12)/12),0)</f>
        <v/>
      </c>
      <c r="H158" s="232">
        <f>IF(AND(H$11&gt;=FB143,H$11&lt;=FC143),IF((H$11-FB143)&lt;'Rent Roll'!$K$11,0,'Rent Roll'!$B$11*'Rent Roll'!$D$11*(1+'Rent Roll'!$F$11)^INT((H$11-FB143)/12)/12),0)</f>
        <v/>
      </c>
      <c r="I158" s="232">
        <f>IF(AND(I$11&gt;=FB143,I$11&lt;=FC143),IF((I$11-FB143)&lt;'Rent Roll'!$K$11,0,'Rent Roll'!$B$11*'Rent Roll'!$D$11*(1+'Rent Roll'!$F$11)^INT((I$11-FB143)/12)/12),0)</f>
        <v/>
      </c>
      <c r="J158" s="232">
        <f>IF(AND(J$11&gt;=FB143,J$11&lt;=FC143),IF((J$11-FB143)&lt;'Rent Roll'!$K$11,0,'Rent Roll'!$B$11*'Rent Roll'!$D$11*(1+'Rent Roll'!$F$11)^INT((J$11-FB143)/12)/12),0)</f>
        <v/>
      </c>
      <c r="K158" s="232">
        <f>IF(AND(K$11&gt;=FB143,K$11&lt;=FC143),IF((K$11-FB143)&lt;'Rent Roll'!$K$11,0,'Rent Roll'!$B$11*'Rent Roll'!$D$11*(1+'Rent Roll'!$F$11)^INT((K$11-FB143)/12)/12),0)</f>
        <v/>
      </c>
      <c r="L158" s="232">
        <f>IF(AND(L$11&gt;=FB143,L$11&lt;=FC143),IF((L$11-FB143)&lt;'Rent Roll'!$K$11,0,'Rent Roll'!$B$11*'Rent Roll'!$D$11*(1+'Rent Roll'!$F$11)^INT((L$11-FB143)/12)/12),0)</f>
        <v/>
      </c>
      <c r="M158" s="232">
        <f>IF(AND(M$11&gt;=FB143,M$11&lt;=FC143),IF((M$11-FB143)&lt;'Rent Roll'!$K$11,0,'Rent Roll'!$B$11*'Rent Roll'!$D$11*(1+'Rent Roll'!$F$11)^INT((M$11-FB143)/12)/12),0)</f>
        <v/>
      </c>
      <c r="N158" s="232">
        <f>IF(AND(N$11&gt;=FB143,N$11&lt;=FC143),IF((N$11-FB143)&lt;'Rent Roll'!$K$11,0,'Rent Roll'!$B$11*'Rent Roll'!$D$11*(1+'Rent Roll'!$F$11)^INT((N$11-FB143)/12)/12),0)</f>
        <v/>
      </c>
      <c r="O158" s="232">
        <f>IF(AND(O$11&gt;=FB143,O$11&lt;=FC143),IF((O$11-FB143)&lt;'Rent Roll'!$K$11,0,'Rent Roll'!$B$11*'Rent Roll'!$D$11*(1+'Rent Roll'!$F$11)^INT((O$11-FB143)/12)/12),0)</f>
        <v/>
      </c>
      <c r="P158" s="232">
        <f>IF(AND(P$11&gt;=FB143,P$11&lt;=FC143),IF((P$11-FB143)&lt;'Rent Roll'!$K$11,0,'Rent Roll'!$B$11*'Rent Roll'!$D$11*(1+'Rent Roll'!$F$11)^INT((P$11-FB143)/12)/12),0)</f>
        <v/>
      </c>
      <c r="Q158" s="232">
        <f>IF(AND(Q$11&gt;=FB143,Q$11&lt;=FC143),IF((Q$11-FB143)&lt;'Rent Roll'!$K$11,0,'Rent Roll'!$B$11*'Rent Roll'!$D$11*(1+'Rent Roll'!$F$11)^INT((Q$11-FB143)/12)/12),0)</f>
        <v/>
      </c>
      <c r="R158" s="232">
        <f>IF(AND(R$11&gt;=FB143,R$11&lt;=FC143),IF((R$11-FB143)&lt;'Rent Roll'!$K$11,0,'Rent Roll'!$B$11*'Rent Roll'!$D$11*(1+'Rent Roll'!$F$11)^INT((R$11-FB143)/12)/12),0)</f>
        <v/>
      </c>
      <c r="S158" s="232">
        <f>IF(AND(S$11&gt;=FB143,S$11&lt;=FC143),IF((S$11-FB143)&lt;'Rent Roll'!$K$11,0,'Rent Roll'!$B$11*'Rent Roll'!$D$11*(1+'Rent Roll'!$F$11)^INT((S$11-FB143)/12)/12),0)</f>
        <v/>
      </c>
      <c r="T158" s="232">
        <f>IF(AND(T$11&gt;=FB143,T$11&lt;=FC143),IF((T$11-FB143)&lt;'Rent Roll'!$K$11,0,'Rent Roll'!$B$11*'Rent Roll'!$D$11*(1+'Rent Roll'!$F$11)^INT((T$11-FB143)/12)/12),0)</f>
        <v/>
      </c>
      <c r="U158" s="232">
        <f>IF(AND(U$11&gt;=FB143,U$11&lt;=FC143),IF((U$11-FB143)&lt;'Rent Roll'!$K$11,0,'Rent Roll'!$B$11*'Rent Roll'!$D$11*(1+'Rent Roll'!$F$11)^INT((U$11-FB143)/12)/12),0)</f>
        <v/>
      </c>
      <c r="V158" s="232">
        <f>IF(AND(V$11&gt;=FB143,V$11&lt;=FC143),IF((V$11-FB143)&lt;'Rent Roll'!$K$11,0,'Rent Roll'!$B$11*'Rent Roll'!$D$11*(1+'Rent Roll'!$F$11)^INT((V$11-FB143)/12)/12),0)</f>
        <v/>
      </c>
      <c r="W158" s="232">
        <f>IF(AND(W$11&gt;=FB143,W$11&lt;=FC143),IF((W$11-FB143)&lt;'Rent Roll'!$K$11,0,'Rent Roll'!$B$11*'Rent Roll'!$D$11*(1+'Rent Roll'!$F$11)^INT((W$11-FB143)/12)/12),0)</f>
        <v/>
      </c>
      <c r="X158" s="232">
        <f>IF(AND(X$11&gt;=FB143,X$11&lt;=FC143),IF((X$11-FB143)&lt;'Rent Roll'!$K$11,0,'Rent Roll'!$B$11*'Rent Roll'!$D$11*(1+'Rent Roll'!$F$11)^INT((X$11-FB143)/12)/12),0)</f>
        <v/>
      </c>
      <c r="Y158" s="232">
        <f>IF(AND(Y$11&gt;=FB143,Y$11&lt;=FC143),IF((Y$11-FB143)&lt;'Rent Roll'!$K$11,0,'Rent Roll'!$B$11*'Rent Roll'!$D$11*(1+'Rent Roll'!$F$11)^INT((Y$11-FB143)/12)/12),0)</f>
        <v/>
      </c>
      <c r="Z158" s="232">
        <f>IF(AND(Z$11&gt;=FB143,Z$11&lt;=FC143),IF((Z$11-FB143)&lt;'Rent Roll'!$K$11,0,'Rent Roll'!$B$11*'Rent Roll'!$D$11*(1+'Rent Roll'!$F$11)^INT((Z$11-FB143)/12)/12),0)</f>
        <v/>
      </c>
      <c r="AA158" s="232">
        <f>IF(AND(AA$11&gt;=FB143,AA$11&lt;=FC143),IF((AA$11-FB143)&lt;'Rent Roll'!$K$11,0,'Rent Roll'!$B$11*'Rent Roll'!$D$11*(1+'Rent Roll'!$F$11)^INT((AA$11-FB143)/12)/12),0)</f>
        <v/>
      </c>
      <c r="AB158" s="232">
        <f>IF(AND(AB$11&gt;=FB143,AB$11&lt;=FC143),IF((AB$11-FB143)&lt;'Rent Roll'!$K$11,0,'Rent Roll'!$B$11*'Rent Roll'!$D$11*(1+'Rent Roll'!$F$11)^INT((AB$11-FB143)/12)/12),0)</f>
        <v/>
      </c>
      <c r="AC158" s="232">
        <f>IF(AND(AC$11&gt;=FB143,AC$11&lt;=FC143),IF((AC$11-FB143)&lt;'Rent Roll'!$K$11,0,'Rent Roll'!$B$11*'Rent Roll'!$D$11*(1+'Rent Roll'!$F$11)^INT((AC$11-FB143)/12)/12),0)</f>
        <v/>
      </c>
      <c r="AD158" s="232">
        <f>IF(AND(AD$11&gt;=FB143,AD$11&lt;=FC143),IF((AD$11-FB143)&lt;'Rent Roll'!$K$11,0,'Rent Roll'!$B$11*'Rent Roll'!$D$11*(1+'Rent Roll'!$F$11)^INT((AD$11-FB143)/12)/12),0)</f>
        <v/>
      </c>
      <c r="AE158" s="232">
        <f>IF(AND(AE$11&gt;=FB143,AE$11&lt;=FC143),IF((AE$11-FB143)&lt;'Rent Roll'!$K$11,0,'Rent Roll'!$B$11*'Rent Roll'!$D$11*(1+'Rent Roll'!$F$11)^INT((AE$11-FB143)/12)/12),0)</f>
        <v/>
      </c>
      <c r="AF158" s="232">
        <f>IF(AND(AF$11&gt;=FB143,AF$11&lt;=FC143),IF((AF$11-FB143)&lt;'Rent Roll'!$K$11,0,'Rent Roll'!$B$11*'Rent Roll'!$D$11*(1+'Rent Roll'!$F$11)^INT((AF$11-FB143)/12)/12),0)</f>
        <v/>
      </c>
      <c r="AG158" s="232">
        <f>IF(AND(AG$11&gt;=FB143,AG$11&lt;=FC143),IF((AG$11-FB143)&lt;'Rent Roll'!$K$11,0,'Rent Roll'!$B$11*'Rent Roll'!$D$11*(1+'Rent Roll'!$F$11)^INT((AG$11-FB143)/12)/12),0)</f>
        <v/>
      </c>
      <c r="AH158" s="232">
        <f>IF(AND(AH$11&gt;=FB143,AH$11&lt;=FC143),IF((AH$11-FB143)&lt;'Rent Roll'!$K$11,0,'Rent Roll'!$B$11*'Rent Roll'!$D$11*(1+'Rent Roll'!$F$11)^INT((AH$11-FB143)/12)/12),0)</f>
        <v/>
      </c>
      <c r="AI158" s="232">
        <f>IF(AND(AI$11&gt;=FB143,AI$11&lt;=FC143),IF((AI$11-FB143)&lt;'Rent Roll'!$K$11,0,'Rent Roll'!$B$11*'Rent Roll'!$D$11*(1+'Rent Roll'!$F$11)^INT((AI$11-FB143)/12)/12),0)</f>
        <v/>
      </c>
      <c r="AJ158" s="232">
        <f>IF(AND(AJ$11&gt;=FB143,AJ$11&lt;=FC143),IF((AJ$11-FB143)&lt;'Rent Roll'!$K$11,0,'Rent Roll'!$B$11*'Rent Roll'!$D$11*(1+'Rent Roll'!$F$11)^INT((AJ$11-FB143)/12)/12),0)</f>
        <v/>
      </c>
      <c r="AK158" s="232">
        <f>IF(AND(AK$11&gt;=FB143,AK$11&lt;=FC143),IF((AK$11-FB143)&lt;'Rent Roll'!$K$11,0,'Rent Roll'!$B$11*'Rent Roll'!$D$11*(1+'Rent Roll'!$F$11)^INT((AK$11-FB143)/12)/12),0)</f>
        <v/>
      </c>
      <c r="AL158" s="232">
        <f>IF(AND(AL$11&gt;=FB143,AL$11&lt;=FC143),IF((AL$11-FB143)&lt;'Rent Roll'!$K$11,0,'Rent Roll'!$B$11*'Rent Roll'!$D$11*(1+'Rent Roll'!$F$11)^INT((AL$11-FB143)/12)/12),0)</f>
        <v/>
      </c>
      <c r="AM158" s="232">
        <f>IF(AND(AM$11&gt;=FB143,AM$11&lt;=FC143),IF((AM$11-FB143)&lt;'Rent Roll'!$K$11,0,'Rent Roll'!$B$11*'Rent Roll'!$D$11*(1+'Rent Roll'!$F$11)^INT((AM$11-FB143)/12)/12),0)</f>
        <v/>
      </c>
      <c r="AN158" s="232">
        <f>IF(AND(AN$11&gt;=FB143,AN$11&lt;=FC143),IF((AN$11-FB143)&lt;'Rent Roll'!$K$11,0,'Rent Roll'!$B$11*'Rent Roll'!$D$11*(1+'Rent Roll'!$F$11)^INT((AN$11-FB143)/12)/12),0)</f>
        <v/>
      </c>
      <c r="AO158" s="232">
        <f>IF(AND(AO$11&gt;=FB143,AO$11&lt;=FC143),IF((AO$11-FB143)&lt;'Rent Roll'!$K$11,0,'Rent Roll'!$B$11*'Rent Roll'!$D$11*(1+'Rent Roll'!$F$11)^INT((AO$11-FB143)/12)/12),0)</f>
        <v/>
      </c>
      <c r="AP158" s="232">
        <f>IF(AND(AP$11&gt;=FB143,AP$11&lt;=FC143),IF((AP$11-FB143)&lt;'Rent Roll'!$K$11,0,'Rent Roll'!$B$11*'Rent Roll'!$D$11*(1+'Rent Roll'!$F$11)^INT((AP$11-FB143)/12)/12),0)</f>
        <v/>
      </c>
      <c r="AQ158" s="232">
        <f>IF(AND(AQ$11&gt;=FB143,AQ$11&lt;=FC143),IF((AQ$11-FB143)&lt;'Rent Roll'!$K$11,0,'Rent Roll'!$B$11*'Rent Roll'!$D$11*(1+'Rent Roll'!$F$11)^INT((AQ$11-FB143)/12)/12),0)</f>
        <v/>
      </c>
      <c r="AR158" s="232">
        <f>IF(AND(AR$11&gt;=FB143,AR$11&lt;=FC143),IF((AR$11-FB143)&lt;'Rent Roll'!$K$11,0,'Rent Roll'!$B$11*'Rent Roll'!$D$11*(1+'Rent Roll'!$F$11)^INT((AR$11-FB143)/12)/12),0)</f>
        <v/>
      </c>
      <c r="AS158" s="232">
        <f>IF(AND(AS$11&gt;=FB143,AS$11&lt;=FC143),IF((AS$11-FB143)&lt;'Rent Roll'!$K$11,0,'Rent Roll'!$B$11*'Rent Roll'!$D$11*(1+'Rent Roll'!$F$11)^INT((AS$11-FB143)/12)/12),0)</f>
        <v/>
      </c>
      <c r="AT158" s="232">
        <f>IF(AND(AT$11&gt;=FB143,AT$11&lt;=FC143),IF((AT$11-FB143)&lt;'Rent Roll'!$K$11,0,'Rent Roll'!$B$11*'Rent Roll'!$D$11*(1+'Rent Roll'!$F$11)^INT((AT$11-FB143)/12)/12),0)</f>
        <v/>
      </c>
      <c r="AU158" s="232">
        <f>IF(AND(AU$11&gt;=FB143,AU$11&lt;=FC143),IF((AU$11-FB143)&lt;'Rent Roll'!$K$11,0,'Rent Roll'!$B$11*'Rent Roll'!$D$11*(1+'Rent Roll'!$F$11)^INT((AU$11-FB143)/12)/12),0)</f>
        <v/>
      </c>
      <c r="AV158" s="232">
        <f>IF(AND(AV$11&gt;=FB143,AV$11&lt;=FC143),IF((AV$11-FB143)&lt;'Rent Roll'!$K$11,0,'Rent Roll'!$B$11*'Rent Roll'!$D$11*(1+'Rent Roll'!$F$11)^INT((AV$11-FB143)/12)/12),0)</f>
        <v/>
      </c>
      <c r="AW158" s="232">
        <f>IF(AND(AW$11&gt;=FB143,AW$11&lt;=FC143),IF((AW$11-FB143)&lt;'Rent Roll'!$K$11,0,'Rent Roll'!$B$11*'Rent Roll'!$D$11*(1+'Rent Roll'!$F$11)^INT((AW$11-FB143)/12)/12),0)</f>
        <v/>
      </c>
      <c r="AX158" s="232">
        <f>IF(AND(AX$11&gt;=FB143,AX$11&lt;=FC143),IF((AX$11-FB143)&lt;'Rent Roll'!$K$11,0,'Rent Roll'!$B$11*'Rent Roll'!$D$11*(1+'Rent Roll'!$F$11)^INT((AX$11-FB143)/12)/12),0)</f>
        <v/>
      </c>
      <c r="AY158" s="232">
        <f>IF(AND(AY$11&gt;=FB143,AY$11&lt;=FC143),IF((AY$11-FB143)&lt;'Rent Roll'!$K$11,0,'Rent Roll'!$B$11*'Rent Roll'!$D$11*(1+'Rent Roll'!$F$11)^INT((AY$11-FB143)/12)/12),0)</f>
        <v/>
      </c>
      <c r="AZ158" s="232">
        <f>IF(AND(AZ$11&gt;=FB143,AZ$11&lt;=FC143),IF((AZ$11-FB143)&lt;'Rent Roll'!$K$11,0,'Rent Roll'!$B$11*'Rent Roll'!$D$11*(1+'Rent Roll'!$F$11)^INT((AZ$11-FB143)/12)/12),0)</f>
        <v/>
      </c>
      <c r="BA158" s="232">
        <f>IF(AND(BA$11&gt;=FB143,BA$11&lt;=FC143),IF((BA$11-FB143)&lt;'Rent Roll'!$K$11,0,'Rent Roll'!$B$11*'Rent Roll'!$D$11*(1+'Rent Roll'!$F$11)^INT((BA$11-FB143)/12)/12),0)</f>
        <v/>
      </c>
      <c r="BB158" s="232">
        <f>IF(AND(BB$11&gt;=FB143,BB$11&lt;=FC143),IF((BB$11-FB143)&lt;'Rent Roll'!$K$11,0,'Rent Roll'!$B$11*'Rent Roll'!$D$11*(1+'Rent Roll'!$F$11)^INT((BB$11-FB143)/12)/12),0)</f>
        <v/>
      </c>
      <c r="BC158" s="232">
        <f>IF(AND(BC$11&gt;=FB143,BC$11&lt;=FC143),IF((BC$11-FB143)&lt;'Rent Roll'!$K$11,0,'Rent Roll'!$B$11*'Rent Roll'!$D$11*(1+'Rent Roll'!$F$11)^INT((BC$11-FB143)/12)/12),0)</f>
        <v/>
      </c>
      <c r="BD158" s="232">
        <f>IF(AND(BD$11&gt;=FB143,BD$11&lt;=FC143),IF((BD$11-FB143)&lt;'Rent Roll'!$K$11,0,'Rent Roll'!$B$11*'Rent Roll'!$D$11*(1+'Rent Roll'!$F$11)^INT((BD$11-FB143)/12)/12),0)</f>
        <v/>
      </c>
      <c r="BE158" s="232">
        <f>IF(AND(BE$11&gt;=FB143,BE$11&lt;=FC143),IF((BE$11-FB143)&lt;'Rent Roll'!$K$11,0,'Rent Roll'!$B$11*'Rent Roll'!$D$11*(1+'Rent Roll'!$F$11)^INT((BE$11-FB143)/12)/12),0)</f>
        <v/>
      </c>
      <c r="BF158" s="232">
        <f>IF(AND(BF$11&gt;=FB143,BF$11&lt;=FC143),IF((BF$11-FB143)&lt;'Rent Roll'!$K$11,0,'Rent Roll'!$B$11*'Rent Roll'!$D$11*(1+'Rent Roll'!$F$11)^INT((BF$11-FB143)/12)/12),0)</f>
        <v/>
      </c>
      <c r="BG158" s="232">
        <f>IF(AND(BG$11&gt;=FB143,BG$11&lt;=FC143),IF((BG$11-FB143)&lt;'Rent Roll'!$K$11,0,'Rent Roll'!$B$11*'Rent Roll'!$D$11*(1+'Rent Roll'!$F$11)^INT((BG$11-FB143)/12)/12),0)</f>
        <v/>
      </c>
      <c r="BH158" s="232">
        <f>IF(AND(BH$11&gt;=FB143,BH$11&lt;=FC143),IF((BH$11-FB143)&lt;'Rent Roll'!$K$11,0,'Rent Roll'!$B$11*'Rent Roll'!$D$11*(1+'Rent Roll'!$F$11)^INT((BH$11-FB143)/12)/12),0)</f>
        <v/>
      </c>
      <c r="BI158" s="232">
        <f>IF(AND(BI$11&gt;=FB143,BI$11&lt;=FC143),IF((BI$11-FB143)&lt;'Rent Roll'!$K$11,0,'Rent Roll'!$B$11*'Rent Roll'!$D$11*(1+'Rent Roll'!$F$11)^INT((BI$11-FB143)/12)/12),0)</f>
        <v/>
      </c>
      <c r="BJ158" s="232">
        <f>IF(AND(BJ$11&gt;=FB143,BJ$11&lt;=FC143),IF((BJ$11-FB143)&lt;'Rent Roll'!$K$11,0,'Rent Roll'!$B$11*'Rent Roll'!$D$11*(1+'Rent Roll'!$F$11)^INT((BJ$11-FB143)/12)/12),0)</f>
        <v/>
      </c>
      <c r="BK158" s="232">
        <f>IF(AND(BK$11&gt;=FB143,BK$11&lt;=FC143),IF((BK$11-FB143)&lt;'Rent Roll'!$K$11,0,'Rent Roll'!$B$11*'Rent Roll'!$D$11*(1+'Rent Roll'!$F$11)^INT((BK$11-FB143)/12)/12),0)</f>
        <v/>
      </c>
      <c r="BL158" s="232">
        <f>IF(AND(BL$11&gt;=FB143,BL$11&lt;=FC143),IF((BL$11-FB143)&lt;'Rent Roll'!$K$11,0,'Rent Roll'!$B$11*'Rent Roll'!$D$11*(1+'Rent Roll'!$F$11)^INT((BL$11-FB143)/12)/12),0)</f>
        <v/>
      </c>
      <c r="BM158" s="232">
        <f>IF(AND(BM$11&gt;=FC143,BM$11&lt;=FD143),IF((BM$11-FC143)&lt;'Rent Roll'!$K$11,0,'Rent Roll'!$B$11*'Rent Roll'!$D$11*(1+'Rent Roll'!$F$11)^INT((BM$11-FC143)/12)/12),0)</f>
        <v/>
      </c>
      <c r="BN158" s="232">
        <f>IF(AND(BN$11&gt;=FD143,BN$11&lt;=FE143),IF((BN$11-FD143)&lt;'Rent Roll'!$K$11,0,'Rent Roll'!$B$11*'Rent Roll'!$D$11*(1+'Rent Roll'!$F$11)^INT((BN$11-FD143)/12)/12),0)</f>
        <v/>
      </c>
      <c r="BO158" s="232">
        <f>IF(AND(BO$11&gt;=FE143,BO$11&lt;=FF143),IF((BO$11-FE143)&lt;'Rent Roll'!$K$11,0,'Rent Roll'!$B$11*'Rent Roll'!$D$11*(1+'Rent Roll'!$F$11)^INT((BO$11-FE143)/12)/12),0)</f>
        <v/>
      </c>
      <c r="BP158" s="232">
        <f>IF(AND(BP$11&gt;=FF143,BP$11&lt;=FG143),IF((BP$11-FF143)&lt;'Rent Roll'!$K$11,0,'Rent Roll'!$B$11*'Rent Roll'!$D$11*(1+'Rent Roll'!$F$11)^INT((BP$11-FF143)/12)/12),0)</f>
        <v/>
      </c>
      <c r="BQ158" s="232">
        <f>IF(AND(BQ$11&gt;=FG143,BQ$11&lt;=FH143),IF((BQ$11-FG143)&lt;'Rent Roll'!$K$11,0,'Rent Roll'!$B$11*'Rent Roll'!$D$11*(1+'Rent Roll'!$F$11)^INT((BQ$11-FG143)/12)/12),0)</f>
        <v/>
      </c>
      <c r="BR158" s="232">
        <f>IF(AND(BR$11&gt;=FH143,BR$11&lt;=FI143),IF((BR$11-FH143)&lt;'Rent Roll'!$K$11,0,'Rent Roll'!$B$11*'Rent Roll'!$D$11*(1+'Rent Roll'!$F$11)^INT((BR$11-FH143)/12)/12),0)</f>
        <v/>
      </c>
      <c r="BS158" s="232">
        <f>IF(AND(BS$11&gt;=FI143,BS$11&lt;=FJ143),IF((BS$11-FI143)&lt;'Rent Roll'!$K$11,0,'Rent Roll'!$B$11*'Rent Roll'!$D$11*(1+'Rent Roll'!$F$11)^INT((BS$11-FI143)/12)/12),0)</f>
        <v/>
      </c>
      <c r="BT158" s="232">
        <f>IF(AND(BT$11&gt;=FJ143,BT$11&lt;=FK143),IF((BT$11-FJ143)&lt;'Rent Roll'!$K$11,0,'Rent Roll'!$B$11*'Rent Roll'!$D$11*(1+'Rent Roll'!$F$11)^INT((BT$11-FJ143)/12)/12),0)</f>
        <v/>
      </c>
      <c r="BU158" s="232">
        <f>IF(AND(BU$11&gt;=FK143,BU$11&lt;=FL143),IF((BU$11-FK143)&lt;'Rent Roll'!$K$11,0,'Rent Roll'!$B$11*'Rent Roll'!$D$11*(1+'Rent Roll'!$F$11)^INT((BU$11-FK143)/12)/12),0)</f>
        <v/>
      </c>
      <c r="BV158" s="232">
        <f>IF(AND(BV$11&gt;=FL143,BV$11&lt;=FM143),IF((BV$11-FL143)&lt;'Rent Roll'!$K$11,0,'Rent Roll'!$B$11*'Rent Roll'!$D$11*(1+'Rent Roll'!$F$11)^INT((BV$11-FL143)/12)/12),0)</f>
        <v/>
      </c>
      <c r="BW158" s="232">
        <f>IF(AND(BW$11&gt;=FM143,BW$11&lt;=FN143),IF((BW$11-FM143)&lt;'Rent Roll'!$K$11,0,'Rent Roll'!$B$11*'Rent Roll'!$D$11*(1+'Rent Roll'!$F$11)^INT((BW$11-FM143)/12)/12),0)</f>
        <v/>
      </c>
      <c r="BX158" s="232">
        <f>IF(AND(BX$11&gt;=FN143,BX$11&lt;=FO143),IF((BX$11-FN143)&lt;'Rent Roll'!$K$11,0,'Rent Roll'!$B$11*'Rent Roll'!$D$11*(1+'Rent Roll'!$F$11)^INT((BX$11-FN143)/12)/12),0)</f>
        <v/>
      </c>
      <c r="BY158" s="232">
        <f>IF(AND(BY$11&gt;=FO143,BY$11&lt;=FP143),IF((BY$11-FO143)&lt;'Rent Roll'!$K$11,0,'Rent Roll'!$B$11*'Rent Roll'!$D$11*(1+'Rent Roll'!$F$11)^INT((BY$11-FO143)/12)/12),0)</f>
        <v/>
      </c>
      <c r="BZ158" s="232">
        <f>IF(AND(BZ$11&gt;=FP143,BZ$11&lt;=FQ143),IF((BZ$11-FP143)&lt;'Rent Roll'!$K$11,0,'Rent Roll'!$B$11*'Rent Roll'!$D$11*(1+'Rent Roll'!$F$11)^INT((BZ$11-FP143)/12)/12),0)</f>
        <v/>
      </c>
      <c r="CA158" s="232">
        <f>IF(AND(CA$11&gt;=FQ143,CA$11&lt;=FR143),IF((CA$11-FQ143)&lt;'Rent Roll'!$K$11,0,'Rent Roll'!$B$11*'Rent Roll'!$D$11*(1+'Rent Roll'!$F$11)^INT((CA$11-FQ143)/12)/12),0)</f>
        <v/>
      </c>
      <c r="CB158" s="232">
        <f>IF(AND(CB$11&gt;=FR143,CB$11&lt;=FS143),IF((CB$11-FR143)&lt;'Rent Roll'!$K$11,0,'Rent Roll'!$B$11*'Rent Roll'!$D$11*(1+'Rent Roll'!$F$11)^INT((CB$11-FR143)/12)/12),0)</f>
        <v/>
      </c>
      <c r="CC158" s="232">
        <f>IF(AND(CC$11&gt;=FS143,CC$11&lt;=FT143),IF((CC$11-FS143)&lt;'Rent Roll'!$K$11,0,'Rent Roll'!$B$11*'Rent Roll'!$D$11*(1+'Rent Roll'!$F$11)^INT((CC$11-FS143)/12)/12),0)</f>
        <v/>
      </c>
      <c r="CD158" s="232">
        <f>IF(AND(CD$11&gt;=FT143,CD$11&lt;=FU143),IF((CD$11-FT143)&lt;'Rent Roll'!$K$11,0,'Rent Roll'!$B$11*'Rent Roll'!$D$11*(1+'Rent Roll'!$F$11)^INT((CD$11-FT143)/12)/12),0)</f>
        <v/>
      </c>
      <c r="CE158" s="232">
        <f>IF(AND(CE$11&gt;=FU143,CE$11&lt;=FV143),IF((CE$11-FU143)&lt;'Rent Roll'!$K$11,0,'Rent Roll'!$B$11*'Rent Roll'!$D$11*(1+'Rent Roll'!$F$11)^INT((CE$11-FU143)/12)/12),0)</f>
        <v/>
      </c>
      <c r="CF158" s="232">
        <f>IF(AND(CF$11&gt;=FV143,CF$11&lt;=FW143),IF((CF$11-FV143)&lt;'Rent Roll'!$K$11,0,'Rent Roll'!$B$11*'Rent Roll'!$D$11*(1+'Rent Roll'!$F$11)^INT((CF$11-FV143)/12)/12),0)</f>
        <v/>
      </c>
      <c r="CG158" s="232">
        <f>IF(AND(CG$11&gt;=FW143,CG$11&lt;=FX143),IF((CG$11-FW143)&lt;'Rent Roll'!$K$11,0,'Rent Roll'!$B$11*'Rent Roll'!$D$11*(1+'Rent Roll'!$F$11)^INT((CG$11-FW143)/12)/12),0)</f>
        <v/>
      </c>
      <c r="CH158" s="232">
        <f>IF(AND(CH$11&gt;=FX143,CH$11&lt;=FY143),IF((CH$11-FX143)&lt;'Rent Roll'!$K$11,0,'Rent Roll'!$B$11*'Rent Roll'!$D$11*(1+'Rent Roll'!$F$11)^INT((CH$11-FX143)/12)/12),0)</f>
        <v/>
      </c>
      <c r="CI158" s="232">
        <f>IF(AND(CI$11&gt;=FY143,CI$11&lt;=FZ143),IF((CI$11-FY143)&lt;'Rent Roll'!$K$11,0,'Rent Roll'!$B$11*'Rent Roll'!$D$11*(1+'Rent Roll'!$F$11)^INT((CI$11-FY143)/12)/12),0)</f>
        <v/>
      </c>
      <c r="CJ158" s="232">
        <f>IF(AND(CJ$11&gt;=FZ143,CJ$11&lt;=GA143),IF((CJ$11-FZ143)&lt;'Rent Roll'!$K$11,0,'Rent Roll'!$B$11*'Rent Roll'!$D$11*(1+'Rent Roll'!$F$11)^INT((CJ$11-FZ143)/12)/12),0)</f>
        <v/>
      </c>
      <c r="CK158" s="232">
        <f>IF(AND(CK$11&gt;=GA143,CK$11&lt;=GB143),IF((CK$11-GA143)&lt;'Rent Roll'!$K$11,0,'Rent Roll'!$B$11*'Rent Roll'!$D$11*(1+'Rent Roll'!$F$11)^INT((CK$11-GA143)/12)/12),0)</f>
        <v/>
      </c>
      <c r="CL158" s="232">
        <f>IF(AND(CL$11&gt;=GB143,CL$11&lt;=GC143),IF((CL$11-GB143)&lt;'Rent Roll'!$K$11,0,'Rent Roll'!$B$11*'Rent Roll'!$D$11*(1+'Rent Roll'!$F$11)^INT((CL$11-GB143)/12)/12),0)</f>
        <v/>
      </c>
      <c r="CM158" s="232">
        <f>IF(AND(CM$11&gt;=GC143,CM$11&lt;=GD143),IF((CM$11-GC143)&lt;'Rent Roll'!$K$11,0,'Rent Roll'!$B$11*'Rent Roll'!$D$11*(1+'Rent Roll'!$F$11)^INT((CM$11-GC143)/12)/12),0)</f>
        <v/>
      </c>
      <c r="CN158" s="232">
        <f>IF(AND(CN$11&gt;=GD143,CN$11&lt;=GE143),IF((CN$11-GD143)&lt;'Rent Roll'!$K$11,0,'Rent Roll'!$B$11*'Rent Roll'!$D$11*(1+'Rent Roll'!$F$11)^INT((CN$11-GD143)/12)/12),0)</f>
        <v/>
      </c>
      <c r="CO158" s="232">
        <f>IF(AND(CO$11&gt;=GE143,CO$11&lt;=GF143),IF((CO$11-GE143)&lt;'Rent Roll'!$K$11,0,'Rent Roll'!$B$11*'Rent Roll'!$D$11*(1+'Rent Roll'!$F$11)^INT((CO$11-GE143)/12)/12),0)</f>
        <v/>
      </c>
      <c r="CP158" s="232">
        <f>IF(AND(CP$11&gt;=GF143,CP$11&lt;=GG143),IF((CP$11-GF143)&lt;'Rent Roll'!$K$11,0,'Rent Roll'!$B$11*'Rent Roll'!$D$11*(1+'Rent Roll'!$F$11)^INT((CP$11-GF143)/12)/12),0)</f>
        <v/>
      </c>
      <c r="CQ158" s="232">
        <f>IF(AND(CQ$11&gt;=GG143,CQ$11&lt;=GH143),IF((CQ$11-GG143)&lt;'Rent Roll'!$K$11,0,'Rent Roll'!$B$11*'Rent Roll'!$D$11*(1+'Rent Roll'!$F$11)^INT((CQ$11-GG143)/12)/12),0)</f>
        <v/>
      </c>
      <c r="CR158" s="232">
        <f>IF(AND(CR$11&gt;=GH143,CR$11&lt;=GI143),IF((CR$11-GH143)&lt;'Rent Roll'!$K$11,0,'Rent Roll'!$B$11*'Rent Roll'!$D$11*(1+'Rent Roll'!$F$11)^INT((CR$11-GH143)/12)/12),0)</f>
        <v/>
      </c>
      <c r="CS158" s="232">
        <f>IF(AND(CS$11&gt;=GI143,CS$11&lt;=GJ143),IF((CS$11-GI143)&lt;'Rent Roll'!$K$11,0,'Rent Roll'!$B$11*'Rent Roll'!$D$11*(1+'Rent Roll'!$F$11)^INT((CS$11-GI143)/12)/12),0)</f>
        <v/>
      </c>
      <c r="CT158" s="232">
        <f>IF(AND(CT$11&gt;=GJ143,CT$11&lt;=GK143),IF((CT$11-GJ143)&lt;'Rent Roll'!$K$11,0,'Rent Roll'!$B$11*'Rent Roll'!$D$11*(1+'Rent Roll'!$F$11)^INT((CT$11-GJ143)/12)/12),0)</f>
        <v/>
      </c>
      <c r="CU158" s="232">
        <f>IF(AND(CU$11&gt;=GK143,CU$11&lt;=GL143),IF((CU$11-GK143)&lt;'Rent Roll'!$K$11,0,'Rent Roll'!$B$11*'Rent Roll'!$D$11*(1+'Rent Roll'!$F$11)^INT((CU$11-GK143)/12)/12),0)</f>
        <v/>
      </c>
      <c r="CV158" s="232">
        <f>IF(AND(CV$11&gt;=GL143,CV$11&lt;=GM143),IF((CV$11-GL143)&lt;'Rent Roll'!$K$11,0,'Rent Roll'!$B$11*'Rent Roll'!$D$11*(1+'Rent Roll'!$F$11)^INT((CV$11-GL143)/12)/12),0)</f>
        <v/>
      </c>
      <c r="CW158" s="232">
        <f>IF(AND(CW$11&gt;=GM143,CW$11&lt;=GN143),IF((CW$11-GM143)&lt;'Rent Roll'!$K$11,0,'Rent Roll'!$B$11*'Rent Roll'!$D$11*(1+'Rent Roll'!$F$11)^INT((CW$11-GM143)/12)/12),0)</f>
        <v/>
      </c>
      <c r="CX158" s="232">
        <f>IF(AND(CX$11&gt;=GN143,CX$11&lt;=GO143),IF((CX$11-GN143)&lt;'Rent Roll'!$K$11,0,'Rent Roll'!$B$11*'Rent Roll'!$D$11*(1+'Rent Roll'!$F$11)^INT((CX$11-GN143)/12)/12),0)</f>
        <v/>
      </c>
      <c r="CY158" s="232">
        <f>IF(AND(CY$11&gt;=GO143,CY$11&lt;=GP143),IF((CY$11-GO143)&lt;'Rent Roll'!$K$11,0,'Rent Roll'!$B$11*'Rent Roll'!$D$11*(1+'Rent Roll'!$F$11)^INT((CY$11-GO143)/12)/12),0)</f>
        <v/>
      </c>
      <c r="CZ158" s="232">
        <f>IF(AND(CZ$11&gt;=GP143,CZ$11&lt;=GQ143),IF((CZ$11-GP143)&lt;'Rent Roll'!$K$11,0,'Rent Roll'!$B$11*'Rent Roll'!$D$11*(1+'Rent Roll'!$F$11)^INT((CZ$11-GP143)/12)/12),0)</f>
        <v/>
      </c>
      <c r="DA158" s="232">
        <f>IF(AND(DA$11&gt;=GQ143,DA$11&lt;=GR143),IF((DA$11-GQ143)&lt;'Rent Roll'!$K$11,0,'Rent Roll'!$B$11*'Rent Roll'!$D$11*(1+'Rent Roll'!$F$11)^INT((DA$11-GQ143)/12)/12),0)</f>
        <v/>
      </c>
      <c r="DB158" s="232">
        <f>IF(AND(DB$11&gt;=GR143,DB$11&lt;=GS143),IF((DB$11-GR143)&lt;'Rent Roll'!$K$11,0,'Rent Roll'!$B$11*'Rent Roll'!$D$11*(1+'Rent Roll'!$F$11)^INT((DB$11-GR143)/12)/12),0)</f>
        <v/>
      </c>
      <c r="DC158" s="232">
        <f>IF(AND(DC$11&gt;=GS143,DC$11&lt;=GT143),IF((DC$11-GS143)&lt;'Rent Roll'!$K$11,0,'Rent Roll'!$B$11*'Rent Roll'!$D$11*(1+'Rent Roll'!$F$11)^INT((DC$11-GS143)/12)/12),0)</f>
        <v/>
      </c>
      <c r="DD158" s="232">
        <f>IF(AND(DD$11&gt;=GT143,DD$11&lt;=GU143),IF((DD$11-GT143)&lt;'Rent Roll'!$K$11,0,'Rent Roll'!$B$11*'Rent Roll'!$D$11*(1+'Rent Roll'!$F$11)^INT((DD$11-GT143)/12)/12),0)</f>
        <v/>
      </c>
      <c r="DE158" s="232">
        <f>IF(AND(DE$11&gt;=GU143,DE$11&lt;=GV143),IF((DE$11-GU143)&lt;'Rent Roll'!$K$11,0,'Rent Roll'!$B$11*'Rent Roll'!$D$11*(1+'Rent Roll'!$F$11)^INT((DE$11-GU143)/12)/12),0)</f>
        <v/>
      </c>
      <c r="DF158" s="232">
        <f>IF(AND(DF$11&gt;=GV143,DF$11&lt;=GW143),IF((DF$11-GV143)&lt;'Rent Roll'!$K$11,0,'Rent Roll'!$B$11*'Rent Roll'!$D$11*(1+'Rent Roll'!$F$11)^INT((DF$11-GV143)/12)/12),0)</f>
        <v/>
      </c>
      <c r="DG158" s="232">
        <f>IF(AND(DG$11&gt;=GW143,DG$11&lt;=GX143),IF((DG$11-GW143)&lt;'Rent Roll'!$K$11,0,'Rent Roll'!$B$11*'Rent Roll'!$D$11*(1+'Rent Roll'!$F$11)^INT((DG$11-GW143)/12)/12),0)</f>
        <v/>
      </c>
      <c r="DH158" s="232">
        <f>IF(AND(DH$11&gt;=GX143,DH$11&lt;=GY143),IF((DH$11-GX143)&lt;'Rent Roll'!$K$11,0,'Rent Roll'!$B$11*'Rent Roll'!$D$11*(1+'Rent Roll'!$F$11)^INT((DH$11-GX143)/12)/12),0)</f>
        <v/>
      </c>
      <c r="DI158" s="232">
        <f>IF(AND(DI$11&gt;=GY143,DI$11&lt;=GZ143),IF((DI$11-GY143)&lt;'Rent Roll'!$K$11,0,'Rent Roll'!$B$11*'Rent Roll'!$D$11*(1+'Rent Roll'!$F$11)^INT((DI$11-GY143)/12)/12),0)</f>
        <v/>
      </c>
      <c r="DJ158" s="232">
        <f>IF(AND(DJ$11&gt;=GZ143,DJ$11&lt;=HA143),IF((DJ$11-GZ143)&lt;'Rent Roll'!$K$11,0,'Rent Roll'!$B$11*'Rent Roll'!$D$11*(1+'Rent Roll'!$F$11)^INT((DJ$11-GZ143)/12)/12),0)</f>
        <v/>
      </c>
      <c r="DK158" s="232">
        <f>IF(AND(DK$11&gt;=HA143,DK$11&lt;=HB143),IF((DK$11-HA143)&lt;'Rent Roll'!$K$11,0,'Rent Roll'!$B$11*'Rent Roll'!$D$11*(1+'Rent Roll'!$F$11)^INT((DK$11-HA143)/12)/12),0)</f>
        <v/>
      </c>
      <c r="DL158" s="232">
        <f>IF(AND(DL$11&gt;=HB143,DL$11&lt;=HC143),IF((DL$11-HB143)&lt;'Rent Roll'!$K$11,0,'Rent Roll'!$B$11*'Rent Roll'!$D$11*(1+'Rent Roll'!$F$11)^INT((DL$11-HB143)/12)/12),0)</f>
        <v/>
      </c>
      <c r="DM158" s="232">
        <f>IF(AND(DM$11&gt;=HC143,DM$11&lt;=HD143),IF((DM$11-HC143)&lt;'Rent Roll'!$K$11,0,'Rent Roll'!$B$11*'Rent Roll'!$D$11*(1+'Rent Roll'!$F$11)^INT((DM$11-HC143)/12)/12),0)</f>
        <v/>
      </c>
      <c r="DN158" s="232">
        <f>IF(AND(DN$11&gt;=HD143,DN$11&lt;=HE143),IF((DN$11-HD143)&lt;'Rent Roll'!$K$11,0,'Rent Roll'!$B$11*'Rent Roll'!$D$11*(1+'Rent Roll'!$F$11)^INT((DN$11-HD143)/12)/12),0)</f>
        <v/>
      </c>
      <c r="DO158" s="232">
        <f>IF(AND(DO$11&gt;=HE143,DO$11&lt;=HF143),IF((DO$11-HE143)&lt;'Rent Roll'!$K$11,0,'Rent Roll'!$B$11*'Rent Roll'!$D$11*(1+'Rent Roll'!$F$11)^INT((DO$11-HE143)/12)/12),0)</f>
        <v/>
      </c>
      <c r="DP158" s="232">
        <f>IF(AND(DP$11&gt;=HF143,DP$11&lt;=HG143),IF((DP$11-HF143)&lt;'Rent Roll'!$K$11,0,'Rent Roll'!$B$11*'Rent Roll'!$D$11*(1+'Rent Roll'!$F$11)^INT((DP$11-HF143)/12)/12),0)</f>
        <v/>
      </c>
      <c r="DQ158" s="232">
        <f>IF(AND(DQ$11&gt;=HG143,DQ$11&lt;=HH143),IF((DQ$11-HG143)&lt;'Rent Roll'!$K$11,0,'Rent Roll'!$B$11*'Rent Roll'!$D$11*(1+'Rent Roll'!$F$11)^INT((DQ$11-HG143)/12)/12),0)</f>
        <v/>
      </c>
      <c r="DR158" s="232">
        <f>IF(AND(DR$11&gt;=HH143,DR$11&lt;=HI143),IF((DR$11-HH143)&lt;'Rent Roll'!$K$11,0,'Rent Roll'!$B$11*'Rent Roll'!$D$11*(1+'Rent Roll'!$F$11)^INT((DR$11-HH143)/12)/12),0)</f>
        <v/>
      </c>
      <c r="DS158" s="232">
        <f>IF(AND(DS$11&gt;=HI143,DS$11&lt;=HJ143),IF((DS$11-HI143)&lt;'Rent Roll'!$K$11,0,'Rent Roll'!$B$11*'Rent Roll'!$D$11*(1+'Rent Roll'!$F$11)^INT((DS$11-HI143)/12)/12),0)</f>
        <v/>
      </c>
      <c r="DT158" s="232">
        <f>IF(AND(DT$11&gt;=HJ143,DT$11&lt;=HK143),IF((DT$11-HJ143)&lt;'Rent Roll'!$K$11,0,'Rent Roll'!$B$11*'Rent Roll'!$D$11*(1+'Rent Roll'!$F$11)^INT((DT$11-HJ143)/12)/12),0)</f>
        <v/>
      </c>
      <c r="DV158">
        <f>DV143&amp;" Rent"</f>
        <v/>
      </c>
    </row>
    <row r="159" ht="15" customHeight="1" s="148">
      <c r="D159" s="127">
        <f>IF(AND(D$11&gt;=FB143,D$11&lt;=FC143),'Rent Roll'!$B$11,0)</f>
        <v/>
      </c>
      <c r="E159" s="127">
        <f>IF(AND(E$11&gt;=FB143,E$11&lt;=FC143),'Rent Roll'!$B$11,0)</f>
        <v/>
      </c>
      <c r="F159" s="127">
        <f>IF(AND(F$11&gt;=FB143,F$11&lt;=FC143),'Rent Roll'!$B$11,0)</f>
        <v/>
      </c>
      <c r="G159" s="127">
        <f>IF(AND(G$11&gt;=FB143,G$11&lt;=FC143),'Rent Roll'!$B$11,0)</f>
        <v/>
      </c>
      <c r="H159" s="127">
        <f>IF(AND(H$11&gt;=FB143,H$11&lt;=FC143),'Rent Roll'!$B$11,0)</f>
        <v/>
      </c>
      <c r="I159" s="127">
        <f>IF(AND(I$11&gt;=FB143,I$11&lt;=FC143),'Rent Roll'!$B$11,0)</f>
        <v/>
      </c>
      <c r="J159" s="127">
        <f>IF(AND(J$11&gt;=FB143,J$11&lt;=FC143),'Rent Roll'!$B$11,0)</f>
        <v/>
      </c>
      <c r="K159" s="127">
        <f>IF(AND(K$11&gt;=FB143,K$11&lt;=FC143),'Rent Roll'!$B$11,0)</f>
        <v/>
      </c>
      <c r="L159" s="127">
        <f>IF(AND(L$11&gt;=FB143,L$11&lt;=FC143),'Rent Roll'!$B$11,0)</f>
        <v/>
      </c>
      <c r="M159" s="127">
        <f>IF(AND(M$11&gt;=FB143,M$11&lt;=FC143),'Rent Roll'!$B$11,0)</f>
        <v/>
      </c>
      <c r="N159" s="127">
        <f>IF(AND(N$11&gt;=FB143,N$11&lt;=FC143),'Rent Roll'!$B$11,0)</f>
        <v/>
      </c>
      <c r="O159" s="127">
        <f>IF(AND(O$11&gt;=FB143,O$11&lt;=FC143),'Rent Roll'!$B$11,0)</f>
        <v/>
      </c>
      <c r="P159" s="127">
        <f>IF(AND(P$11&gt;=FB143,P$11&lt;=FC143),'Rent Roll'!$B$11,0)</f>
        <v/>
      </c>
      <c r="Q159" s="127">
        <f>IF(AND(Q$11&gt;=FB143,Q$11&lt;=FC143),'Rent Roll'!$B$11,0)</f>
        <v/>
      </c>
      <c r="R159" s="127">
        <f>IF(AND(R$11&gt;=FB143,R$11&lt;=FC143),'Rent Roll'!$B$11,0)</f>
        <v/>
      </c>
      <c r="S159" s="127">
        <f>IF(AND(S$11&gt;=FB143,S$11&lt;=FC143),'Rent Roll'!$B$11,0)</f>
        <v/>
      </c>
      <c r="T159" s="127">
        <f>IF(AND(T$11&gt;=FB143,T$11&lt;=FC143),'Rent Roll'!$B$11,0)</f>
        <v/>
      </c>
      <c r="U159" s="127">
        <f>IF(AND(U$11&gt;=FB143,U$11&lt;=FC143),'Rent Roll'!$B$11,0)</f>
        <v/>
      </c>
      <c r="V159" s="127">
        <f>IF(AND(V$11&gt;=FB143,V$11&lt;=FC143),'Rent Roll'!$B$11,0)</f>
        <v/>
      </c>
      <c r="W159" s="127">
        <f>IF(AND(W$11&gt;=FB143,W$11&lt;=FC143),'Rent Roll'!$B$11,0)</f>
        <v/>
      </c>
      <c r="X159" s="127">
        <f>IF(AND(X$11&gt;=FB143,X$11&lt;=FC143),'Rent Roll'!$B$11,0)</f>
        <v/>
      </c>
      <c r="Y159" s="127">
        <f>IF(AND(Y$11&gt;=FB143,Y$11&lt;=FC143),'Rent Roll'!$B$11,0)</f>
        <v/>
      </c>
      <c r="Z159" s="127">
        <f>IF(AND(Z$11&gt;=FB143,Z$11&lt;=FC143),'Rent Roll'!$B$11,0)</f>
        <v/>
      </c>
      <c r="AA159" s="127">
        <f>IF(AND(AA$11&gt;=FB143,AA$11&lt;=FC143),'Rent Roll'!$B$11,0)</f>
        <v/>
      </c>
      <c r="AB159" s="127">
        <f>IF(AND(AB$11&gt;=FB143,AB$11&lt;=FC143),'Rent Roll'!$B$11,0)</f>
        <v/>
      </c>
      <c r="AC159" s="127">
        <f>IF(AND(AC$11&gt;=FB143,AC$11&lt;=FC143),'Rent Roll'!$B$11,0)</f>
        <v/>
      </c>
      <c r="AD159" s="127">
        <f>IF(AND(AD$11&gt;=FB143,AD$11&lt;=FC143),'Rent Roll'!$B$11,0)</f>
        <v/>
      </c>
      <c r="AE159" s="127">
        <f>IF(AND(AE$11&gt;=FB143,AE$11&lt;=FC143),'Rent Roll'!$B$11,0)</f>
        <v/>
      </c>
      <c r="AF159" s="127">
        <f>IF(AND(AF$11&gt;=FB143,AF$11&lt;=FC143),'Rent Roll'!$B$11,0)</f>
        <v/>
      </c>
      <c r="AG159" s="127">
        <f>IF(AND(AG$11&gt;=FB143,AG$11&lt;=FC143),'Rent Roll'!$B$11,0)</f>
        <v/>
      </c>
      <c r="AH159" s="127">
        <f>IF(AND(AH$11&gt;=FB143,AH$11&lt;=FC143),'Rent Roll'!$B$11,0)</f>
        <v/>
      </c>
      <c r="AI159" s="127">
        <f>IF(AND(AI$11&gt;=FB143,AI$11&lt;=FC143),'Rent Roll'!$B$11,0)</f>
        <v/>
      </c>
      <c r="AJ159" s="127">
        <f>IF(AND(AJ$11&gt;=FB143,AJ$11&lt;=FC143),'Rent Roll'!$B$11,0)</f>
        <v/>
      </c>
      <c r="AK159" s="127">
        <f>IF(AND(AK$11&gt;=FB143,AK$11&lt;=FC143),'Rent Roll'!$B$11,0)</f>
        <v/>
      </c>
      <c r="AL159" s="127">
        <f>IF(AND(AL$11&gt;=FB143,AL$11&lt;=FC143),'Rent Roll'!$B$11,0)</f>
        <v/>
      </c>
      <c r="AM159" s="127">
        <f>IF(AND(AM$11&gt;=FB143,AM$11&lt;=FC143),'Rent Roll'!$B$11,0)</f>
        <v/>
      </c>
      <c r="AN159" s="127">
        <f>IF(AND(AN$11&gt;=FB143,AN$11&lt;=FC143),'Rent Roll'!$B$11,0)</f>
        <v/>
      </c>
      <c r="AO159" s="127">
        <f>IF(AND(AO$11&gt;=FB143,AO$11&lt;=FC143),'Rent Roll'!$B$11,0)</f>
        <v/>
      </c>
      <c r="AP159" s="127">
        <f>IF(AND(AP$11&gt;=FB143,AP$11&lt;=FC143),'Rent Roll'!$B$11,0)</f>
        <v/>
      </c>
      <c r="AQ159" s="127">
        <f>IF(AND(AQ$11&gt;=FB143,AQ$11&lt;=FC143),'Rent Roll'!$B$11,0)</f>
        <v/>
      </c>
      <c r="AR159" s="127">
        <f>IF(AND(AR$11&gt;=FB143,AR$11&lt;=FC143),'Rent Roll'!$B$11,0)</f>
        <v/>
      </c>
      <c r="AS159" s="127">
        <f>IF(AND(AS$11&gt;=FB143,AS$11&lt;=FC143),'Rent Roll'!$B$11,0)</f>
        <v/>
      </c>
      <c r="AT159" s="127">
        <f>IF(AND(AT$11&gt;=FB143,AT$11&lt;=FC143),'Rent Roll'!$B$11,0)</f>
        <v/>
      </c>
      <c r="AU159" s="127">
        <f>IF(AND(AU$11&gt;=FB143,AU$11&lt;=FC143),'Rent Roll'!$B$11,0)</f>
        <v/>
      </c>
      <c r="AV159" s="127">
        <f>IF(AND(AV$11&gt;=FB143,AV$11&lt;=FC143),'Rent Roll'!$B$11,0)</f>
        <v/>
      </c>
      <c r="AW159" s="127">
        <f>IF(AND(AW$11&gt;=FB143,AW$11&lt;=FC143),'Rent Roll'!$B$11,0)</f>
        <v/>
      </c>
      <c r="AX159" s="127">
        <f>IF(AND(AX$11&gt;=FB143,AX$11&lt;=FC143),'Rent Roll'!$B$11,0)</f>
        <v/>
      </c>
      <c r="AY159" s="127">
        <f>IF(AND(AY$11&gt;=FB143,AY$11&lt;=FC143),'Rent Roll'!$B$11,0)</f>
        <v/>
      </c>
      <c r="AZ159" s="127">
        <f>IF(AND(AZ$11&gt;=FB143,AZ$11&lt;=FC143),'Rent Roll'!$B$11,0)</f>
        <v/>
      </c>
      <c r="BA159" s="127">
        <f>IF(AND(BA$11&gt;=FB143,BA$11&lt;=FC143),'Rent Roll'!$B$11,0)</f>
        <v/>
      </c>
      <c r="BB159" s="127">
        <f>IF(AND(BB$11&gt;=FB143,BB$11&lt;=FC143),'Rent Roll'!$B$11,0)</f>
        <v/>
      </c>
      <c r="BC159" s="127">
        <f>IF(AND(BC$11&gt;=FB143,BC$11&lt;=FC143),'Rent Roll'!$B$11,0)</f>
        <v/>
      </c>
      <c r="BD159" s="127">
        <f>IF(AND(BD$11&gt;=FB143,BD$11&lt;=FC143),'Rent Roll'!$B$11,0)</f>
        <v/>
      </c>
      <c r="BE159" s="127">
        <f>IF(AND(BE$11&gt;=FB143,BE$11&lt;=FC143),'Rent Roll'!$B$11,0)</f>
        <v/>
      </c>
      <c r="BF159" s="127">
        <f>IF(AND(BF$11&gt;=FB143,BF$11&lt;=FC143),'Rent Roll'!$B$11,0)</f>
        <v/>
      </c>
      <c r="BG159" s="127">
        <f>IF(AND(BG$11&gt;=FB143,BG$11&lt;=FC143),'Rent Roll'!$B$11,0)</f>
        <v/>
      </c>
      <c r="BH159" s="127">
        <f>IF(AND(BH$11&gt;=FB143,BH$11&lt;=FC143),'Rent Roll'!$B$11,0)</f>
        <v/>
      </c>
      <c r="BI159" s="127">
        <f>IF(AND(BI$11&gt;=FB143,BI$11&lt;=FC143),'Rent Roll'!$B$11,0)</f>
        <v/>
      </c>
      <c r="BJ159" s="127">
        <f>IF(AND(BJ$11&gt;=FB143,BJ$11&lt;=FC143),'Rent Roll'!$B$11,0)</f>
        <v/>
      </c>
      <c r="BK159" s="127">
        <f>IF(AND(BK$11&gt;=FB143,BK$11&lt;=FC143),'Rent Roll'!$B$11,0)</f>
        <v/>
      </c>
      <c r="BL159" s="127">
        <f>IF(AND(BL$11&gt;=FB143,BL$11&lt;=FC143),'Rent Roll'!$B$11,0)</f>
        <v/>
      </c>
      <c r="BM159" s="127">
        <f>IF(AND(BM$11&gt;=FC143,BM$11&lt;=FD143),'Rent Roll'!$B$11,0)</f>
        <v/>
      </c>
      <c r="BN159" s="127">
        <f>IF(AND(BN$11&gt;=FD143,BN$11&lt;=FE143),'Rent Roll'!$B$11,0)</f>
        <v/>
      </c>
      <c r="BO159" s="127">
        <f>IF(AND(BO$11&gt;=FE143,BO$11&lt;=FF143),'Rent Roll'!$B$11,0)</f>
        <v/>
      </c>
      <c r="BP159" s="127">
        <f>IF(AND(BP$11&gt;=FF143,BP$11&lt;=FG143),'Rent Roll'!$B$11,0)</f>
        <v/>
      </c>
      <c r="BQ159" s="127">
        <f>IF(AND(BQ$11&gt;=FG143,BQ$11&lt;=FH143),'Rent Roll'!$B$11,0)</f>
        <v/>
      </c>
      <c r="BR159" s="127">
        <f>IF(AND(BR$11&gt;=FH143,BR$11&lt;=FI143),'Rent Roll'!$B$11,0)</f>
        <v/>
      </c>
      <c r="BS159" s="127">
        <f>IF(AND(BS$11&gt;=FI143,BS$11&lt;=FJ143),'Rent Roll'!$B$11,0)</f>
        <v/>
      </c>
      <c r="BT159" s="127">
        <f>IF(AND(BT$11&gt;=FJ143,BT$11&lt;=FK143),'Rent Roll'!$B$11,0)</f>
        <v/>
      </c>
      <c r="BU159" s="127">
        <f>IF(AND(BU$11&gt;=FK143,BU$11&lt;=FL143),'Rent Roll'!$B$11,0)</f>
        <v/>
      </c>
      <c r="BV159" s="127">
        <f>IF(AND(BV$11&gt;=FL143,BV$11&lt;=FM143),'Rent Roll'!$B$11,0)</f>
        <v/>
      </c>
      <c r="BW159" s="127">
        <f>IF(AND(BW$11&gt;=FM143,BW$11&lt;=FN143),'Rent Roll'!$B$11,0)</f>
        <v/>
      </c>
      <c r="BX159" s="127">
        <f>IF(AND(BX$11&gt;=FN143,BX$11&lt;=FO143),'Rent Roll'!$B$11,0)</f>
        <v/>
      </c>
      <c r="BY159" s="127">
        <f>IF(AND(BY$11&gt;=FO143,BY$11&lt;=FP143),'Rent Roll'!$B$11,0)</f>
        <v/>
      </c>
      <c r="BZ159" s="127">
        <f>IF(AND(BZ$11&gt;=FP143,BZ$11&lt;=FQ143),'Rent Roll'!$B$11,0)</f>
        <v/>
      </c>
      <c r="CA159" s="127">
        <f>IF(AND(CA$11&gt;=FQ143,CA$11&lt;=FR143),'Rent Roll'!$B$11,0)</f>
        <v/>
      </c>
      <c r="CB159" s="127">
        <f>IF(AND(CB$11&gt;=FR143,CB$11&lt;=FS143),'Rent Roll'!$B$11,0)</f>
        <v/>
      </c>
      <c r="CC159" s="127">
        <f>IF(AND(CC$11&gt;=FS143,CC$11&lt;=FT143),'Rent Roll'!$B$11,0)</f>
        <v/>
      </c>
      <c r="CD159" s="127">
        <f>IF(AND(CD$11&gt;=FT143,CD$11&lt;=FU143),'Rent Roll'!$B$11,0)</f>
        <v/>
      </c>
      <c r="CE159" s="127">
        <f>IF(AND(CE$11&gt;=FU143,CE$11&lt;=FV143),'Rent Roll'!$B$11,0)</f>
        <v/>
      </c>
      <c r="CF159" s="127">
        <f>IF(AND(CF$11&gt;=FV143,CF$11&lt;=FW143),'Rent Roll'!$B$11,0)</f>
        <v/>
      </c>
      <c r="CG159" s="127">
        <f>IF(AND(CG$11&gt;=FW143,CG$11&lt;=FX143),'Rent Roll'!$B$11,0)</f>
        <v/>
      </c>
      <c r="CH159" s="127">
        <f>IF(AND(CH$11&gt;=FX143,CH$11&lt;=FY143),'Rent Roll'!$B$11,0)</f>
        <v/>
      </c>
      <c r="CI159" s="127">
        <f>IF(AND(CI$11&gt;=FY143,CI$11&lt;=FZ143),'Rent Roll'!$B$11,0)</f>
        <v/>
      </c>
      <c r="CJ159" s="127">
        <f>IF(AND(CJ$11&gt;=FZ143,CJ$11&lt;=GA143),'Rent Roll'!$B$11,0)</f>
        <v/>
      </c>
      <c r="CK159" s="127">
        <f>IF(AND(CK$11&gt;=GA143,CK$11&lt;=GB143),'Rent Roll'!$B$11,0)</f>
        <v/>
      </c>
      <c r="CL159" s="127">
        <f>IF(AND(CL$11&gt;=GB143,CL$11&lt;=GC143),'Rent Roll'!$B$11,0)</f>
        <v/>
      </c>
      <c r="CM159" s="127">
        <f>IF(AND(CM$11&gt;=GC143,CM$11&lt;=GD143),'Rent Roll'!$B$11,0)</f>
        <v/>
      </c>
      <c r="CN159" s="127">
        <f>IF(AND(CN$11&gt;=GD143,CN$11&lt;=GE143),'Rent Roll'!$B$11,0)</f>
        <v/>
      </c>
      <c r="CO159" s="127">
        <f>IF(AND(CO$11&gt;=GE143,CO$11&lt;=GF143),'Rent Roll'!$B$11,0)</f>
        <v/>
      </c>
      <c r="CP159" s="127">
        <f>IF(AND(CP$11&gt;=GF143,CP$11&lt;=GG143),'Rent Roll'!$B$11,0)</f>
        <v/>
      </c>
      <c r="CQ159" s="127">
        <f>IF(AND(CQ$11&gt;=GG143,CQ$11&lt;=GH143),'Rent Roll'!$B$11,0)</f>
        <v/>
      </c>
      <c r="CR159" s="127">
        <f>IF(AND(CR$11&gt;=GH143,CR$11&lt;=GI143),'Rent Roll'!$B$11,0)</f>
        <v/>
      </c>
      <c r="CS159" s="127">
        <f>IF(AND(CS$11&gt;=GI143,CS$11&lt;=GJ143),'Rent Roll'!$B$11,0)</f>
        <v/>
      </c>
      <c r="CT159" s="127">
        <f>IF(AND(CT$11&gt;=GJ143,CT$11&lt;=GK143),'Rent Roll'!$B$11,0)</f>
        <v/>
      </c>
      <c r="CU159" s="127">
        <f>IF(AND(CU$11&gt;=GK143,CU$11&lt;=GL143),'Rent Roll'!$B$11,0)</f>
        <v/>
      </c>
      <c r="CV159" s="127">
        <f>IF(AND(CV$11&gt;=GL143,CV$11&lt;=GM143),'Rent Roll'!$B$11,0)</f>
        <v/>
      </c>
      <c r="CW159" s="127">
        <f>IF(AND(CW$11&gt;=GM143,CW$11&lt;=GN143),'Rent Roll'!$B$11,0)</f>
        <v/>
      </c>
      <c r="CX159" s="127">
        <f>IF(AND(CX$11&gt;=GN143,CX$11&lt;=GO143),'Rent Roll'!$B$11,0)</f>
        <v/>
      </c>
      <c r="CY159" s="127">
        <f>IF(AND(CY$11&gt;=GO143,CY$11&lt;=GP143),'Rent Roll'!$B$11,0)</f>
        <v/>
      </c>
      <c r="CZ159" s="127">
        <f>IF(AND(CZ$11&gt;=GP143,CZ$11&lt;=GQ143),'Rent Roll'!$B$11,0)</f>
        <v/>
      </c>
      <c r="DA159" s="127">
        <f>IF(AND(DA$11&gt;=GQ143,DA$11&lt;=GR143),'Rent Roll'!$B$11,0)</f>
        <v/>
      </c>
      <c r="DB159" s="127">
        <f>IF(AND(DB$11&gt;=GR143,DB$11&lt;=GS143),'Rent Roll'!$B$11,0)</f>
        <v/>
      </c>
      <c r="DC159" s="127">
        <f>IF(AND(DC$11&gt;=GS143,DC$11&lt;=GT143),'Rent Roll'!$B$11,0)</f>
        <v/>
      </c>
      <c r="DD159" s="127">
        <f>IF(AND(DD$11&gt;=GT143,DD$11&lt;=GU143),'Rent Roll'!$B$11,0)</f>
        <v/>
      </c>
      <c r="DE159" s="127">
        <f>IF(AND(DE$11&gt;=GU143,DE$11&lt;=GV143),'Rent Roll'!$B$11,0)</f>
        <v/>
      </c>
      <c r="DF159" s="127">
        <f>IF(AND(DF$11&gt;=GV143,DF$11&lt;=GW143),'Rent Roll'!$B$11,0)</f>
        <v/>
      </c>
      <c r="DG159" s="127">
        <f>IF(AND(DG$11&gt;=GW143,DG$11&lt;=GX143),'Rent Roll'!$B$11,0)</f>
        <v/>
      </c>
      <c r="DH159" s="127">
        <f>IF(AND(DH$11&gt;=GX143,DH$11&lt;=GY143),'Rent Roll'!$B$11,0)</f>
        <v/>
      </c>
      <c r="DI159" s="127">
        <f>IF(AND(DI$11&gt;=GY143,DI$11&lt;=GZ143),'Rent Roll'!$B$11,0)</f>
        <v/>
      </c>
      <c r="DJ159" s="127">
        <f>IF(AND(DJ$11&gt;=GZ143,DJ$11&lt;=HA143),'Rent Roll'!$B$11,0)</f>
        <v/>
      </c>
      <c r="DK159" s="127">
        <f>IF(AND(DK$11&gt;=HA143,DK$11&lt;=HB143),'Rent Roll'!$B$11,0)</f>
        <v/>
      </c>
      <c r="DL159" s="127">
        <f>IF(AND(DL$11&gt;=HB143,DL$11&lt;=HC143),'Rent Roll'!$B$11,0)</f>
        <v/>
      </c>
      <c r="DM159" s="127">
        <f>IF(AND(DM$11&gt;=HC143,DM$11&lt;=HD143),'Rent Roll'!$B$11,0)</f>
        <v/>
      </c>
      <c r="DN159" s="127">
        <f>IF(AND(DN$11&gt;=HD143,DN$11&lt;=HE143),'Rent Roll'!$B$11,0)</f>
        <v/>
      </c>
      <c r="DO159" s="127">
        <f>IF(AND(DO$11&gt;=HE143,DO$11&lt;=HF143),'Rent Roll'!$B$11,0)</f>
        <v/>
      </c>
      <c r="DP159" s="127">
        <f>IF(AND(DP$11&gt;=HF143,DP$11&lt;=HG143),'Rent Roll'!$B$11,0)</f>
        <v/>
      </c>
      <c r="DQ159" s="127">
        <f>IF(AND(DQ$11&gt;=HG143,DQ$11&lt;=HH143),'Rent Roll'!$B$11,0)</f>
        <v/>
      </c>
      <c r="DR159" s="127">
        <f>IF(AND(DR$11&gt;=HH143,DR$11&lt;=HI143),'Rent Roll'!$B$11,0)</f>
        <v/>
      </c>
      <c r="DS159" s="127">
        <f>IF(AND(DS$11&gt;=HI143,DS$11&lt;=HJ143),'Rent Roll'!$B$11,0)</f>
        <v/>
      </c>
      <c r="DT159" s="127">
        <f>IF(AND(DT$11&gt;=HJ143,DT$11&lt;=HK143),'Rent Roll'!$B$11,0)</f>
        <v/>
      </c>
      <c r="DV159">
        <f>DV143&amp;" ActiveSF"</f>
        <v/>
      </c>
    </row>
    <row r="160" ht="15" customHeight="1" s="148">
      <c r="D160" s="232">
        <f>IF(AND(D$11&gt;=FB144,D$11&lt;=FC144),IF((D$11-FB144)&lt;'Rent Roll'!$K$12,0,'Rent Roll'!$B$12*'Rent Roll'!$D$12*(1+'Rent Roll'!$F$12)^INT((D$11-FB144)/12)/12),0)</f>
        <v/>
      </c>
      <c r="E160" s="232">
        <f>IF(AND(E$11&gt;=FB144,E$11&lt;=FC144),IF((E$11-FB144)&lt;'Rent Roll'!$K$12,0,'Rent Roll'!$B$12*'Rent Roll'!$D$12*(1+'Rent Roll'!$F$12)^INT((E$11-FB144)/12)/12),0)</f>
        <v/>
      </c>
      <c r="F160" s="232">
        <f>IF(AND(F$11&gt;=FB144,F$11&lt;=FC144),IF((F$11-FB144)&lt;'Rent Roll'!$K$12,0,'Rent Roll'!$B$12*'Rent Roll'!$D$12*(1+'Rent Roll'!$F$12)^INT((F$11-FB144)/12)/12),0)</f>
        <v/>
      </c>
      <c r="G160" s="232">
        <f>IF(AND(G$11&gt;=FB144,G$11&lt;=FC144),IF((G$11-FB144)&lt;'Rent Roll'!$K$12,0,'Rent Roll'!$B$12*'Rent Roll'!$D$12*(1+'Rent Roll'!$F$12)^INT((G$11-FB144)/12)/12),0)</f>
        <v/>
      </c>
      <c r="H160" s="232">
        <f>IF(AND(H$11&gt;=FB144,H$11&lt;=FC144),IF((H$11-FB144)&lt;'Rent Roll'!$K$12,0,'Rent Roll'!$B$12*'Rent Roll'!$D$12*(1+'Rent Roll'!$F$12)^INT((H$11-FB144)/12)/12),0)</f>
        <v/>
      </c>
      <c r="I160" s="232">
        <f>IF(AND(I$11&gt;=FB144,I$11&lt;=FC144),IF((I$11-FB144)&lt;'Rent Roll'!$K$12,0,'Rent Roll'!$B$12*'Rent Roll'!$D$12*(1+'Rent Roll'!$F$12)^INT((I$11-FB144)/12)/12),0)</f>
        <v/>
      </c>
      <c r="J160" s="232">
        <f>IF(AND(J$11&gt;=FB144,J$11&lt;=FC144),IF((J$11-FB144)&lt;'Rent Roll'!$K$12,0,'Rent Roll'!$B$12*'Rent Roll'!$D$12*(1+'Rent Roll'!$F$12)^INT((J$11-FB144)/12)/12),0)</f>
        <v/>
      </c>
      <c r="K160" s="232">
        <f>IF(AND(K$11&gt;=FB144,K$11&lt;=FC144),IF((K$11-FB144)&lt;'Rent Roll'!$K$12,0,'Rent Roll'!$B$12*'Rent Roll'!$D$12*(1+'Rent Roll'!$F$12)^INT((K$11-FB144)/12)/12),0)</f>
        <v/>
      </c>
      <c r="L160" s="232">
        <f>IF(AND(L$11&gt;=FB144,L$11&lt;=FC144),IF((L$11-FB144)&lt;'Rent Roll'!$K$12,0,'Rent Roll'!$B$12*'Rent Roll'!$D$12*(1+'Rent Roll'!$F$12)^INT((L$11-FB144)/12)/12),0)</f>
        <v/>
      </c>
      <c r="M160" s="232">
        <f>IF(AND(M$11&gt;=FB144,M$11&lt;=FC144),IF((M$11-FB144)&lt;'Rent Roll'!$K$12,0,'Rent Roll'!$B$12*'Rent Roll'!$D$12*(1+'Rent Roll'!$F$12)^INT((M$11-FB144)/12)/12),0)</f>
        <v/>
      </c>
      <c r="N160" s="232">
        <f>IF(AND(N$11&gt;=FB144,N$11&lt;=FC144),IF((N$11-FB144)&lt;'Rent Roll'!$K$12,0,'Rent Roll'!$B$12*'Rent Roll'!$D$12*(1+'Rent Roll'!$F$12)^INT((N$11-FB144)/12)/12),0)</f>
        <v/>
      </c>
      <c r="O160" s="232">
        <f>IF(AND(O$11&gt;=FB144,O$11&lt;=FC144),IF((O$11-FB144)&lt;'Rent Roll'!$K$12,0,'Rent Roll'!$B$12*'Rent Roll'!$D$12*(1+'Rent Roll'!$F$12)^INT((O$11-FB144)/12)/12),0)</f>
        <v/>
      </c>
      <c r="P160" s="232">
        <f>IF(AND(P$11&gt;=FB144,P$11&lt;=FC144),IF((P$11-FB144)&lt;'Rent Roll'!$K$12,0,'Rent Roll'!$B$12*'Rent Roll'!$D$12*(1+'Rent Roll'!$F$12)^INT((P$11-FB144)/12)/12),0)</f>
        <v/>
      </c>
      <c r="Q160" s="232">
        <f>IF(AND(Q$11&gt;=FB144,Q$11&lt;=FC144),IF((Q$11-FB144)&lt;'Rent Roll'!$K$12,0,'Rent Roll'!$B$12*'Rent Roll'!$D$12*(1+'Rent Roll'!$F$12)^INT((Q$11-FB144)/12)/12),0)</f>
        <v/>
      </c>
      <c r="R160" s="232">
        <f>IF(AND(R$11&gt;=FB144,R$11&lt;=FC144),IF((R$11-FB144)&lt;'Rent Roll'!$K$12,0,'Rent Roll'!$B$12*'Rent Roll'!$D$12*(1+'Rent Roll'!$F$12)^INT((R$11-FB144)/12)/12),0)</f>
        <v/>
      </c>
      <c r="S160" s="232">
        <f>IF(AND(S$11&gt;=FB144,S$11&lt;=FC144),IF((S$11-FB144)&lt;'Rent Roll'!$K$12,0,'Rent Roll'!$B$12*'Rent Roll'!$D$12*(1+'Rent Roll'!$F$12)^INT((S$11-FB144)/12)/12),0)</f>
        <v/>
      </c>
      <c r="T160" s="232">
        <f>IF(AND(T$11&gt;=FB144,T$11&lt;=FC144),IF((T$11-FB144)&lt;'Rent Roll'!$K$12,0,'Rent Roll'!$B$12*'Rent Roll'!$D$12*(1+'Rent Roll'!$F$12)^INT((T$11-FB144)/12)/12),0)</f>
        <v/>
      </c>
      <c r="U160" s="232">
        <f>IF(AND(U$11&gt;=FB144,U$11&lt;=FC144),IF((U$11-FB144)&lt;'Rent Roll'!$K$12,0,'Rent Roll'!$B$12*'Rent Roll'!$D$12*(1+'Rent Roll'!$F$12)^INT((U$11-FB144)/12)/12),0)</f>
        <v/>
      </c>
      <c r="V160" s="232">
        <f>IF(AND(V$11&gt;=FB144,V$11&lt;=FC144),IF((V$11-FB144)&lt;'Rent Roll'!$K$12,0,'Rent Roll'!$B$12*'Rent Roll'!$D$12*(1+'Rent Roll'!$F$12)^INT((V$11-FB144)/12)/12),0)</f>
        <v/>
      </c>
      <c r="W160" s="232">
        <f>IF(AND(W$11&gt;=FB144,W$11&lt;=FC144),IF((W$11-FB144)&lt;'Rent Roll'!$K$12,0,'Rent Roll'!$B$12*'Rent Roll'!$D$12*(1+'Rent Roll'!$F$12)^INT((W$11-FB144)/12)/12),0)</f>
        <v/>
      </c>
      <c r="X160" s="232">
        <f>IF(AND(X$11&gt;=FB144,X$11&lt;=FC144),IF((X$11-FB144)&lt;'Rent Roll'!$K$12,0,'Rent Roll'!$B$12*'Rent Roll'!$D$12*(1+'Rent Roll'!$F$12)^INT((X$11-FB144)/12)/12),0)</f>
        <v/>
      </c>
      <c r="Y160" s="232">
        <f>IF(AND(Y$11&gt;=FB144,Y$11&lt;=FC144),IF((Y$11-FB144)&lt;'Rent Roll'!$K$12,0,'Rent Roll'!$B$12*'Rent Roll'!$D$12*(1+'Rent Roll'!$F$12)^INT((Y$11-FB144)/12)/12),0)</f>
        <v/>
      </c>
      <c r="Z160" s="232">
        <f>IF(AND(Z$11&gt;=FB144,Z$11&lt;=FC144),IF((Z$11-FB144)&lt;'Rent Roll'!$K$12,0,'Rent Roll'!$B$12*'Rent Roll'!$D$12*(1+'Rent Roll'!$F$12)^INT((Z$11-FB144)/12)/12),0)</f>
        <v/>
      </c>
      <c r="AA160" s="232">
        <f>IF(AND(AA$11&gt;=FB144,AA$11&lt;=FC144),IF((AA$11-FB144)&lt;'Rent Roll'!$K$12,0,'Rent Roll'!$B$12*'Rent Roll'!$D$12*(1+'Rent Roll'!$F$12)^INT((AA$11-FB144)/12)/12),0)</f>
        <v/>
      </c>
      <c r="AB160" s="232">
        <f>IF(AND(AB$11&gt;=FB144,AB$11&lt;=FC144),IF((AB$11-FB144)&lt;'Rent Roll'!$K$12,0,'Rent Roll'!$B$12*'Rent Roll'!$D$12*(1+'Rent Roll'!$F$12)^INT((AB$11-FB144)/12)/12),0)</f>
        <v/>
      </c>
      <c r="AC160" s="232">
        <f>IF(AND(AC$11&gt;=FB144,AC$11&lt;=FC144),IF((AC$11-FB144)&lt;'Rent Roll'!$K$12,0,'Rent Roll'!$B$12*'Rent Roll'!$D$12*(1+'Rent Roll'!$F$12)^INT((AC$11-FB144)/12)/12),0)</f>
        <v/>
      </c>
      <c r="AD160" s="232">
        <f>IF(AND(AD$11&gt;=FB144,AD$11&lt;=FC144),IF((AD$11-FB144)&lt;'Rent Roll'!$K$12,0,'Rent Roll'!$B$12*'Rent Roll'!$D$12*(1+'Rent Roll'!$F$12)^INT((AD$11-FB144)/12)/12),0)</f>
        <v/>
      </c>
      <c r="AE160" s="232">
        <f>IF(AND(AE$11&gt;=FB144,AE$11&lt;=FC144),IF((AE$11-FB144)&lt;'Rent Roll'!$K$12,0,'Rent Roll'!$B$12*'Rent Roll'!$D$12*(1+'Rent Roll'!$F$12)^INT((AE$11-FB144)/12)/12),0)</f>
        <v/>
      </c>
      <c r="AF160" s="232">
        <f>IF(AND(AF$11&gt;=FB144,AF$11&lt;=FC144),IF((AF$11-FB144)&lt;'Rent Roll'!$K$12,0,'Rent Roll'!$B$12*'Rent Roll'!$D$12*(1+'Rent Roll'!$F$12)^INT((AF$11-FB144)/12)/12),0)</f>
        <v/>
      </c>
      <c r="AG160" s="232">
        <f>IF(AND(AG$11&gt;=FB144,AG$11&lt;=FC144),IF((AG$11-FB144)&lt;'Rent Roll'!$K$12,0,'Rent Roll'!$B$12*'Rent Roll'!$D$12*(1+'Rent Roll'!$F$12)^INT((AG$11-FB144)/12)/12),0)</f>
        <v/>
      </c>
      <c r="AH160" s="232">
        <f>IF(AND(AH$11&gt;=FB144,AH$11&lt;=FC144),IF((AH$11-FB144)&lt;'Rent Roll'!$K$12,0,'Rent Roll'!$B$12*'Rent Roll'!$D$12*(1+'Rent Roll'!$F$12)^INT((AH$11-FB144)/12)/12),0)</f>
        <v/>
      </c>
      <c r="AI160" s="232">
        <f>IF(AND(AI$11&gt;=FB144,AI$11&lt;=FC144),IF((AI$11-FB144)&lt;'Rent Roll'!$K$12,0,'Rent Roll'!$B$12*'Rent Roll'!$D$12*(1+'Rent Roll'!$F$12)^INT((AI$11-FB144)/12)/12),0)</f>
        <v/>
      </c>
      <c r="AJ160" s="232">
        <f>IF(AND(AJ$11&gt;=FB144,AJ$11&lt;=FC144),IF((AJ$11-FB144)&lt;'Rent Roll'!$K$12,0,'Rent Roll'!$B$12*'Rent Roll'!$D$12*(1+'Rent Roll'!$F$12)^INT((AJ$11-FB144)/12)/12),0)</f>
        <v/>
      </c>
      <c r="AK160" s="232">
        <f>IF(AND(AK$11&gt;=FB144,AK$11&lt;=FC144),IF((AK$11-FB144)&lt;'Rent Roll'!$K$12,0,'Rent Roll'!$B$12*'Rent Roll'!$D$12*(1+'Rent Roll'!$F$12)^INT((AK$11-FB144)/12)/12),0)</f>
        <v/>
      </c>
      <c r="AL160" s="232">
        <f>IF(AND(AL$11&gt;=FB144,AL$11&lt;=FC144),IF((AL$11-FB144)&lt;'Rent Roll'!$K$12,0,'Rent Roll'!$B$12*'Rent Roll'!$D$12*(1+'Rent Roll'!$F$12)^INT((AL$11-FB144)/12)/12),0)</f>
        <v/>
      </c>
      <c r="AM160" s="232">
        <f>IF(AND(AM$11&gt;=FB144,AM$11&lt;=FC144),IF((AM$11-FB144)&lt;'Rent Roll'!$K$12,0,'Rent Roll'!$B$12*'Rent Roll'!$D$12*(1+'Rent Roll'!$F$12)^INT((AM$11-FB144)/12)/12),0)</f>
        <v/>
      </c>
      <c r="AN160" s="232">
        <f>IF(AND(AN$11&gt;=FB144,AN$11&lt;=FC144),IF((AN$11-FB144)&lt;'Rent Roll'!$K$12,0,'Rent Roll'!$B$12*'Rent Roll'!$D$12*(1+'Rent Roll'!$F$12)^INT((AN$11-FB144)/12)/12),0)</f>
        <v/>
      </c>
      <c r="AO160" s="232">
        <f>IF(AND(AO$11&gt;=FB144,AO$11&lt;=FC144),IF((AO$11-FB144)&lt;'Rent Roll'!$K$12,0,'Rent Roll'!$B$12*'Rent Roll'!$D$12*(1+'Rent Roll'!$F$12)^INT((AO$11-FB144)/12)/12),0)</f>
        <v/>
      </c>
      <c r="AP160" s="232">
        <f>IF(AND(AP$11&gt;=FB144,AP$11&lt;=FC144),IF((AP$11-FB144)&lt;'Rent Roll'!$K$12,0,'Rent Roll'!$B$12*'Rent Roll'!$D$12*(1+'Rent Roll'!$F$12)^INT((AP$11-FB144)/12)/12),0)</f>
        <v/>
      </c>
      <c r="AQ160" s="232">
        <f>IF(AND(AQ$11&gt;=FB144,AQ$11&lt;=FC144),IF((AQ$11-FB144)&lt;'Rent Roll'!$K$12,0,'Rent Roll'!$B$12*'Rent Roll'!$D$12*(1+'Rent Roll'!$F$12)^INT((AQ$11-FB144)/12)/12),0)</f>
        <v/>
      </c>
      <c r="AR160" s="232">
        <f>IF(AND(AR$11&gt;=FB144,AR$11&lt;=FC144),IF((AR$11-FB144)&lt;'Rent Roll'!$K$12,0,'Rent Roll'!$B$12*'Rent Roll'!$D$12*(1+'Rent Roll'!$F$12)^INT((AR$11-FB144)/12)/12),0)</f>
        <v/>
      </c>
      <c r="AS160" s="232">
        <f>IF(AND(AS$11&gt;=FB144,AS$11&lt;=FC144),IF((AS$11-FB144)&lt;'Rent Roll'!$K$12,0,'Rent Roll'!$B$12*'Rent Roll'!$D$12*(1+'Rent Roll'!$F$12)^INT((AS$11-FB144)/12)/12),0)</f>
        <v/>
      </c>
      <c r="AT160" s="232">
        <f>IF(AND(AT$11&gt;=FB144,AT$11&lt;=FC144),IF((AT$11-FB144)&lt;'Rent Roll'!$K$12,0,'Rent Roll'!$B$12*'Rent Roll'!$D$12*(1+'Rent Roll'!$F$12)^INT((AT$11-FB144)/12)/12),0)</f>
        <v/>
      </c>
      <c r="AU160" s="232">
        <f>IF(AND(AU$11&gt;=FB144,AU$11&lt;=FC144),IF((AU$11-FB144)&lt;'Rent Roll'!$K$12,0,'Rent Roll'!$B$12*'Rent Roll'!$D$12*(1+'Rent Roll'!$F$12)^INT((AU$11-FB144)/12)/12),0)</f>
        <v/>
      </c>
      <c r="AV160" s="232">
        <f>IF(AND(AV$11&gt;=FB144,AV$11&lt;=FC144),IF((AV$11-FB144)&lt;'Rent Roll'!$K$12,0,'Rent Roll'!$B$12*'Rent Roll'!$D$12*(1+'Rent Roll'!$F$12)^INT((AV$11-FB144)/12)/12),0)</f>
        <v/>
      </c>
      <c r="AW160" s="232">
        <f>IF(AND(AW$11&gt;=FB144,AW$11&lt;=FC144),IF((AW$11-FB144)&lt;'Rent Roll'!$K$12,0,'Rent Roll'!$B$12*'Rent Roll'!$D$12*(1+'Rent Roll'!$F$12)^INT((AW$11-FB144)/12)/12),0)</f>
        <v/>
      </c>
      <c r="AX160" s="232">
        <f>IF(AND(AX$11&gt;=FB144,AX$11&lt;=FC144),IF((AX$11-FB144)&lt;'Rent Roll'!$K$12,0,'Rent Roll'!$B$12*'Rent Roll'!$D$12*(1+'Rent Roll'!$F$12)^INT((AX$11-FB144)/12)/12),0)</f>
        <v/>
      </c>
      <c r="AY160" s="232">
        <f>IF(AND(AY$11&gt;=FB144,AY$11&lt;=FC144),IF((AY$11-FB144)&lt;'Rent Roll'!$K$12,0,'Rent Roll'!$B$12*'Rent Roll'!$D$12*(1+'Rent Roll'!$F$12)^INT((AY$11-FB144)/12)/12),0)</f>
        <v/>
      </c>
      <c r="AZ160" s="232">
        <f>IF(AND(AZ$11&gt;=FB144,AZ$11&lt;=FC144),IF((AZ$11-FB144)&lt;'Rent Roll'!$K$12,0,'Rent Roll'!$B$12*'Rent Roll'!$D$12*(1+'Rent Roll'!$F$12)^INT((AZ$11-FB144)/12)/12),0)</f>
        <v/>
      </c>
      <c r="BA160" s="232">
        <f>IF(AND(BA$11&gt;=FB144,BA$11&lt;=FC144),IF((BA$11-FB144)&lt;'Rent Roll'!$K$12,0,'Rent Roll'!$B$12*'Rent Roll'!$D$12*(1+'Rent Roll'!$F$12)^INT((BA$11-FB144)/12)/12),0)</f>
        <v/>
      </c>
      <c r="BB160" s="232">
        <f>IF(AND(BB$11&gt;=FB144,BB$11&lt;=FC144),IF((BB$11-FB144)&lt;'Rent Roll'!$K$12,0,'Rent Roll'!$B$12*'Rent Roll'!$D$12*(1+'Rent Roll'!$F$12)^INT((BB$11-FB144)/12)/12),0)</f>
        <v/>
      </c>
      <c r="BC160" s="232">
        <f>IF(AND(BC$11&gt;=FB144,BC$11&lt;=FC144),IF((BC$11-FB144)&lt;'Rent Roll'!$K$12,0,'Rent Roll'!$B$12*'Rent Roll'!$D$12*(1+'Rent Roll'!$F$12)^INT((BC$11-FB144)/12)/12),0)</f>
        <v/>
      </c>
      <c r="BD160" s="232">
        <f>IF(AND(BD$11&gt;=FB144,BD$11&lt;=FC144),IF((BD$11-FB144)&lt;'Rent Roll'!$K$12,0,'Rent Roll'!$B$12*'Rent Roll'!$D$12*(1+'Rent Roll'!$F$12)^INT((BD$11-FB144)/12)/12),0)</f>
        <v/>
      </c>
      <c r="BE160" s="232">
        <f>IF(AND(BE$11&gt;=FB144,BE$11&lt;=FC144),IF((BE$11-FB144)&lt;'Rent Roll'!$K$12,0,'Rent Roll'!$B$12*'Rent Roll'!$D$12*(1+'Rent Roll'!$F$12)^INT((BE$11-FB144)/12)/12),0)</f>
        <v/>
      </c>
      <c r="BF160" s="232">
        <f>IF(AND(BF$11&gt;=FB144,BF$11&lt;=FC144),IF((BF$11-FB144)&lt;'Rent Roll'!$K$12,0,'Rent Roll'!$B$12*'Rent Roll'!$D$12*(1+'Rent Roll'!$F$12)^INT((BF$11-FB144)/12)/12),0)</f>
        <v/>
      </c>
      <c r="BG160" s="232">
        <f>IF(AND(BG$11&gt;=FB144,BG$11&lt;=FC144),IF((BG$11-FB144)&lt;'Rent Roll'!$K$12,0,'Rent Roll'!$B$12*'Rent Roll'!$D$12*(1+'Rent Roll'!$F$12)^INT((BG$11-FB144)/12)/12),0)</f>
        <v/>
      </c>
      <c r="BH160" s="232">
        <f>IF(AND(BH$11&gt;=FB144,BH$11&lt;=FC144),IF((BH$11-FB144)&lt;'Rent Roll'!$K$12,0,'Rent Roll'!$B$12*'Rent Roll'!$D$12*(1+'Rent Roll'!$F$12)^INT((BH$11-FB144)/12)/12),0)</f>
        <v/>
      </c>
      <c r="BI160" s="232">
        <f>IF(AND(BI$11&gt;=FB144,BI$11&lt;=FC144),IF((BI$11-FB144)&lt;'Rent Roll'!$K$12,0,'Rent Roll'!$B$12*'Rent Roll'!$D$12*(1+'Rent Roll'!$F$12)^INT((BI$11-FB144)/12)/12),0)</f>
        <v/>
      </c>
      <c r="BJ160" s="232">
        <f>IF(AND(BJ$11&gt;=FB144,BJ$11&lt;=FC144),IF((BJ$11-FB144)&lt;'Rent Roll'!$K$12,0,'Rent Roll'!$B$12*'Rent Roll'!$D$12*(1+'Rent Roll'!$F$12)^INT((BJ$11-FB144)/12)/12),0)</f>
        <v/>
      </c>
      <c r="BK160" s="232">
        <f>IF(AND(BK$11&gt;=FB144,BK$11&lt;=FC144),IF((BK$11-FB144)&lt;'Rent Roll'!$K$12,0,'Rent Roll'!$B$12*'Rent Roll'!$D$12*(1+'Rent Roll'!$F$12)^INT((BK$11-FB144)/12)/12),0)</f>
        <v/>
      </c>
      <c r="BL160" s="232">
        <f>IF(AND(BL$11&gt;=FB144,BL$11&lt;=FC144),IF((BL$11-FB144)&lt;'Rent Roll'!$K$12,0,'Rent Roll'!$B$12*'Rent Roll'!$D$12*(1+'Rent Roll'!$F$12)^INT((BL$11-FB144)/12)/12),0)</f>
        <v/>
      </c>
      <c r="BM160" s="232">
        <f>IF(AND(BM$11&gt;=FC144,BM$11&lt;=FD144),IF((BM$11-FC144)&lt;'Rent Roll'!$K$12,0,'Rent Roll'!$B$12*'Rent Roll'!$D$12*(1+'Rent Roll'!$F$12)^INT((BM$11-FC144)/12)/12),0)</f>
        <v/>
      </c>
      <c r="BN160" s="232">
        <f>IF(AND(BN$11&gt;=FD144,BN$11&lt;=FE144),IF((BN$11-FD144)&lt;'Rent Roll'!$K$12,0,'Rent Roll'!$B$12*'Rent Roll'!$D$12*(1+'Rent Roll'!$F$12)^INT((BN$11-FD144)/12)/12),0)</f>
        <v/>
      </c>
      <c r="BO160" s="232">
        <f>IF(AND(BO$11&gt;=FE144,BO$11&lt;=FF144),IF((BO$11-FE144)&lt;'Rent Roll'!$K$12,0,'Rent Roll'!$B$12*'Rent Roll'!$D$12*(1+'Rent Roll'!$F$12)^INT((BO$11-FE144)/12)/12),0)</f>
        <v/>
      </c>
      <c r="BP160" s="232">
        <f>IF(AND(BP$11&gt;=FF144,BP$11&lt;=FG144),IF((BP$11-FF144)&lt;'Rent Roll'!$K$12,0,'Rent Roll'!$B$12*'Rent Roll'!$D$12*(1+'Rent Roll'!$F$12)^INT((BP$11-FF144)/12)/12),0)</f>
        <v/>
      </c>
      <c r="BQ160" s="232">
        <f>IF(AND(BQ$11&gt;=FG144,BQ$11&lt;=FH144),IF((BQ$11-FG144)&lt;'Rent Roll'!$K$12,0,'Rent Roll'!$B$12*'Rent Roll'!$D$12*(1+'Rent Roll'!$F$12)^INT((BQ$11-FG144)/12)/12),0)</f>
        <v/>
      </c>
      <c r="BR160" s="232">
        <f>IF(AND(BR$11&gt;=FH144,BR$11&lt;=FI144),IF((BR$11-FH144)&lt;'Rent Roll'!$K$12,0,'Rent Roll'!$B$12*'Rent Roll'!$D$12*(1+'Rent Roll'!$F$12)^INT((BR$11-FH144)/12)/12),0)</f>
        <v/>
      </c>
      <c r="BS160" s="232">
        <f>IF(AND(BS$11&gt;=FI144,BS$11&lt;=FJ144),IF((BS$11-FI144)&lt;'Rent Roll'!$K$12,0,'Rent Roll'!$B$12*'Rent Roll'!$D$12*(1+'Rent Roll'!$F$12)^INT((BS$11-FI144)/12)/12),0)</f>
        <v/>
      </c>
      <c r="BT160" s="232">
        <f>IF(AND(BT$11&gt;=FJ144,BT$11&lt;=FK144),IF((BT$11-FJ144)&lt;'Rent Roll'!$K$12,0,'Rent Roll'!$B$12*'Rent Roll'!$D$12*(1+'Rent Roll'!$F$12)^INT((BT$11-FJ144)/12)/12),0)</f>
        <v/>
      </c>
      <c r="BU160" s="232">
        <f>IF(AND(BU$11&gt;=FK144,BU$11&lt;=FL144),IF((BU$11-FK144)&lt;'Rent Roll'!$K$12,0,'Rent Roll'!$B$12*'Rent Roll'!$D$12*(1+'Rent Roll'!$F$12)^INT((BU$11-FK144)/12)/12),0)</f>
        <v/>
      </c>
      <c r="BV160" s="232">
        <f>IF(AND(BV$11&gt;=FL144,BV$11&lt;=FM144),IF((BV$11-FL144)&lt;'Rent Roll'!$K$12,0,'Rent Roll'!$B$12*'Rent Roll'!$D$12*(1+'Rent Roll'!$F$12)^INT((BV$11-FL144)/12)/12),0)</f>
        <v/>
      </c>
      <c r="BW160" s="232">
        <f>IF(AND(BW$11&gt;=FM144,BW$11&lt;=FN144),IF((BW$11-FM144)&lt;'Rent Roll'!$K$12,0,'Rent Roll'!$B$12*'Rent Roll'!$D$12*(1+'Rent Roll'!$F$12)^INT((BW$11-FM144)/12)/12),0)</f>
        <v/>
      </c>
      <c r="BX160" s="232">
        <f>IF(AND(BX$11&gt;=FN144,BX$11&lt;=FO144),IF((BX$11-FN144)&lt;'Rent Roll'!$K$12,0,'Rent Roll'!$B$12*'Rent Roll'!$D$12*(1+'Rent Roll'!$F$12)^INT((BX$11-FN144)/12)/12),0)</f>
        <v/>
      </c>
      <c r="BY160" s="232">
        <f>IF(AND(BY$11&gt;=FO144,BY$11&lt;=FP144),IF((BY$11-FO144)&lt;'Rent Roll'!$K$12,0,'Rent Roll'!$B$12*'Rent Roll'!$D$12*(1+'Rent Roll'!$F$12)^INT((BY$11-FO144)/12)/12),0)</f>
        <v/>
      </c>
      <c r="BZ160" s="232">
        <f>IF(AND(BZ$11&gt;=FP144,BZ$11&lt;=FQ144),IF((BZ$11-FP144)&lt;'Rent Roll'!$K$12,0,'Rent Roll'!$B$12*'Rent Roll'!$D$12*(1+'Rent Roll'!$F$12)^INT((BZ$11-FP144)/12)/12),0)</f>
        <v/>
      </c>
      <c r="CA160" s="232">
        <f>IF(AND(CA$11&gt;=FQ144,CA$11&lt;=FR144),IF((CA$11-FQ144)&lt;'Rent Roll'!$K$12,0,'Rent Roll'!$B$12*'Rent Roll'!$D$12*(1+'Rent Roll'!$F$12)^INT((CA$11-FQ144)/12)/12),0)</f>
        <v/>
      </c>
      <c r="CB160" s="232">
        <f>IF(AND(CB$11&gt;=FR144,CB$11&lt;=FS144),IF((CB$11-FR144)&lt;'Rent Roll'!$K$12,0,'Rent Roll'!$B$12*'Rent Roll'!$D$12*(1+'Rent Roll'!$F$12)^INT((CB$11-FR144)/12)/12),0)</f>
        <v/>
      </c>
      <c r="CC160" s="232">
        <f>IF(AND(CC$11&gt;=FS144,CC$11&lt;=FT144),IF((CC$11-FS144)&lt;'Rent Roll'!$K$12,0,'Rent Roll'!$B$12*'Rent Roll'!$D$12*(1+'Rent Roll'!$F$12)^INT((CC$11-FS144)/12)/12),0)</f>
        <v/>
      </c>
      <c r="CD160" s="232">
        <f>IF(AND(CD$11&gt;=FT144,CD$11&lt;=FU144),IF((CD$11-FT144)&lt;'Rent Roll'!$K$12,0,'Rent Roll'!$B$12*'Rent Roll'!$D$12*(1+'Rent Roll'!$F$12)^INT((CD$11-FT144)/12)/12),0)</f>
        <v/>
      </c>
      <c r="CE160" s="232">
        <f>IF(AND(CE$11&gt;=FU144,CE$11&lt;=FV144),IF((CE$11-FU144)&lt;'Rent Roll'!$K$12,0,'Rent Roll'!$B$12*'Rent Roll'!$D$12*(1+'Rent Roll'!$F$12)^INT((CE$11-FU144)/12)/12),0)</f>
        <v/>
      </c>
      <c r="CF160" s="232">
        <f>IF(AND(CF$11&gt;=FV144,CF$11&lt;=FW144),IF((CF$11-FV144)&lt;'Rent Roll'!$K$12,0,'Rent Roll'!$B$12*'Rent Roll'!$D$12*(1+'Rent Roll'!$F$12)^INT((CF$11-FV144)/12)/12),0)</f>
        <v/>
      </c>
      <c r="CG160" s="232">
        <f>IF(AND(CG$11&gt;=FW144,CG$11&lt;=FX144),IF((CG$11-FW144)&lt;'Rent Roll'!$K$12,0,'Rent Roll'!$B$12*'Rent Roll'!$D$12*(1+'Rent Roll'!$F$12)^INT((CG$11-FW144)/12)/12),0)</f>
        <v/>
      </c>
      <c r="CH160" s="232">
        <f>IF(AND(CH$11&gt;=FX144,CH$11&lt;=FY144),IF((CH$11-FX144)&lt;'Rent Roll'!$K$12,0,'Rent Roll'!$B$12*'Rent Roll'!$D$12*(1+'Rent Roll'!$F$12)^INT((CH$11-FX144)/12)/12),0)</f>
        <v/>
      </c>
      <c r="CI160" s="232">
        <f>IF(AND(CI$11&gt;=FY144,CI$11&lt;=FZ144),IF((CI$11-FY144)&lt;'Rent Roll'!$K$12,0,'Rent Roll'!$B$12*'Rent Roll'!$D$12*(1+'Rent Roll'!$F$12)^INT((CI$11-FY144)/12)/12),0)</f>
        <v/>
      </c>
      <c r="CJ160" s="232">
        <f>IF(AND(CJ$11&gt;=FZ144,CJ$11&lt;=GA144),IF((CJ$11-FZ144)&lt;'Rent Roll'!$K$12,0,'Rent Roll'!$B$12*'Rent Roll'!$D$12*(1+'Rent Roll'!$F$12)^INT((CJ$11-FZ144)/12)/12),0)</f>
        <v/>
      </c>
      <c r="CK160" s="232">
        <f>IF(AND(CK$11&gt;=GA144,CK$11&lt;=GB144),IF((CK$11-GA144)&lt;'Rent Roll'!$K$12,0,'Rent Roll'!$B$12*'Rent Roll'!$D$12*(1+'Rent Roll'!$F$12)^INT((CK$11-GA144)/12)/12),0)</f>
        <v/>
      </c>
      <c r="CL160" s="232">
        <f>IF(AND(CL$11&gt;=GB144,CL$11&lt;=GC144),IF((CL$11-GB144)&lt;'Rent Roll'!$K$12,0,'Rent Roll'!$B$12*'Rent Roll'!$D$12*(1+'Rent Roll'!$F$12)^INT((CL$11-GB144)/12)/12),0)</f>
        <v/>
      </c>
      <c r="CM160" s="232">
        <f>IF(AND(CM$11&gt;=GC144,CM$11&lt;=GD144),IF((CM$11-GC144)&lt;'Rent Roll'!$K$12,0,'Rent Roll'!$B$12*'Rent Roll'!$D$12*(1+'Rent Roll'!$F$12)^INT((CM$11-GC144)/12)/12),0)</f>
        <v/>
      </c>
      <c r="CN160" s="232">
        <f>IF(AND(CN$11&gt;=GD144,CN$11&lt;=GE144),IF((CN$11-GD144)&lt;'Rent Roll'!$K$12,0,'Rent Roll'!$B$12*'Rent Roll'!$D$12*(1+'Rent Roll'!$F$12)^INT((CN$11-GD144)/12)/12),0)</f>
        <v/>
      </c>
      <c r="CO160" s="232">
        <f>IF(AND(CO$11&gt;=GE144,CO$11&lt;=GF144),IF((CO$11-GE144)&lt;'Rent Roll'!$K$12,0,'Rent Roll'!$B$12*'Rent Roll'!$D$12*(1+'Rent Roll'!$F$12)^INT((CO$11-GE144)/12)/12),0)</f>
        <v/>
      </c>
      <c r="CP160" s="232">
        <f>IF(AND(CP$11&gt;=GF144,CP$11&lt;=GG144),IF((CP$11-GF144)&lt;'Rent Roll'!$K$12,0,'Rent Roll'!$B$12*'Rent Roll'!$D$12*(1+'Rent Roll'!$F$12)^INT((CP$11-GF144)/12)/12),0)</f>
        <v/>
      </c>
      <c r="CQ160" s="232">
        <f>IF(AND(CQ$11&gt;=GG144,CQ$11&lt;=GH144),IF((CQ$11-GG144)&lt;'Rent Roll'!$K$12,0,'Rent Roll'!$B$12*'Rent Roll'!$D$12*(1+'Rent Roll'!$F$12)^INT((CQ$11-GG144)/12)/12),0)</f>
        <v/>
      </c>
      <c r="CR160" s="232">
        <f>IF(AND(CR$11&gt;=GH144,CR$11&lt;=GI144),IF((CR$11-GH144)&lt;'Rent Roll'!$K$12,0,'Rent Roll'!$B$12*'Rent Roll'!$D$12*(1+'Rent Roll'!$F$12)^INT((CR$11-GH144)/12)/12),0)</f>
        <v/>
      </c>
      <c r="CS160" s="232">
        <f>IF(AND(CS$11&gt;=GI144,CS$11&lt;=GJ144),IF((CS$11-GI144)&lt;'Rent Roll'!$K$12,0,'Rent Roll'!$B$12*'Rent Roll'!$D$12*(1+'Rent Roll'!$F$12)^INT((CS$11-GI144)/12)/12),0)</f>
        <v/>
      </c>
      <c r="CT160" s="232">
        <f>IF(AND(CT$11&gt;=GJ144,CT$11&lt;=GK144),IF((CT$11-GJ144)&lt;'Rent Roll'!$K$12,0,'Rent Roll'!$B$12*'Rent Roll'!$D$12*(1+'Rent Roll'!$F$12)^INT((CT$11-GJ144)/12)/12),0)</f>
        <v/>
      </c>
      <c r="CU160" s="232">
        <f>IF(AND(CU$11&gt;=GK144,CU$11&lt;=GL144),IF((CU$11-GK144)&lt;'Rent Roll'!$K$12,0,'Rent Roll'!$B$12*'Rent Roll'!$D$12*(1+'Rent Roll'!$F$12)^INT((CU$11-GK144)/12)/12),0)</f>
        <v/>
      </c>
      <c r="CV160" s="232">
        <f>IF(AND(CV$11&gt;=GL144,CV$11&lt;=GM144),IF((CV$11-GL144)&lt;'Rent Roll'!$K$12,0,'Rent Roll'!$B$12*'Rent Roll'!$D$12*(1+'Rent Roll'!$F$12)^INT((CV$11-GL144)/12)/12),0)</f>
        <v/>
      </c>
      <c r="CW160" s="232">
        <f>IF(AND(CW$11&gt;=GM144,CW$11&lt;=GN144),IF((CW$11-GM144)&lt;'Rent Roll'!$K$12,0,'Rent Roll'!$B$12*'Rent Roll'!$D$12*(1+'Rent Roll'!$F$12)^INT((CW$11-GM144)/12)/12),0)</f>
        <v/>
      </c>
      <c r="CX160" s="232">
        <f>IF(AND(CX$11&gt;=GN144,CX$11&lt;=GO144),IF((CX$11-GN144)&lt;'Rent Roll'!$K$12,0,'Rent Roll'!$B$12*'Rent Roll'!$D$12*(1+'Rent Roll'!$F$12)^INT((CX$11-GN144)/12)/12),0)</f>
        <v/>
      </c>
      <c r="CY160" s="232">
        <f>IF(AND(CY$11&gt;=GO144,CY$11&lt;=GP144),IF((CY$11-GO144)&lt;'Rent Roll'!$K$12,0,'Rent Roll'!$B$12*'Rent Roll'!$D$12*(1+'Rent Roll'!$F$12)^INT((CY$11-GO144)/12)/12),0)</f>
        <v/>
      </c>
      <c r="CZ160" s="232">
        <f>IF(AND(CZ$11&gt;=GP144,CZ$11&lt;=GQ144),IF((CZ$11-GP144)&lt;'Rent Roll'!$K$12,0,'Rent Roll'!$B$12*'Rent Roll'!$D$12*(1+'Rent Roll'!$F$12)^INT((CZ$11-GP144)/12)/12),0)</f>
        <v/>
      </c>
      <c r="DA160" s="232">
        <f>IF(AND(DA$11&gt;=GQ144,DA$11&lt;=GR144),IF((DA$11-GQ144)&lt;'Rent Roll'!$K$12,0,'Rent Roll'!$B$12*'Rent Roll'!$D$12*(1+'Rent Roll'!$F$12)^INT((DA$11-GQ144)/12)/12),0)</f>
        <v/>
      </c>
      <c r="DB160" s="232">
        <f>IF(AND(DB$11&gt;=GR144,DB$11&lt;=GS144),IF((DB$11-GR144)&lt;'Rent Roll'!$K$12,0,'Rent Roll'!$B$12*'Rent Roll'!$D$12*(1+'Rent Roll'!$F$12)^INT((DB$11-GR144)/12)/12),0)</f>
        <v/>
      </c>
      <c r="DC160" s="232">
        <f>IF(AND(DC$11&gt;=GS144,DC$11&lt;=GT144),IF((DC$11-GS144)&lt;'Rent Roll'!$K$12,0,'Rent Roll'!$B$12*'Rent Roll'!$D$12*(1+'Rent Roll'!$F$12)^INT((DC$11-GS144)/12)/12),0)</f>
        <v/>
      </c>
      <c r="DD160" s="232">
        <f>IF(AND(DD$11&gt;=GT144,DD$11&lt;=GU144),IF((DD$11-GT144)&lt;'Rent Roll'!$K$12,0,'Rent Roll'!$B$12*'Rent Roll'!$D$12*(1+'Rent Roll'!$F$12)^INT((DD$11-GT144)/12)/12),0)</f>
        <v/>
      </c>
      <c r="DE160" s="232">
        <f>IF(AND(DE$11&gt;=GU144,DE$11&lt;=GV144),IF((DE$11-GU144)&lt;'Rent Roll'!$K$12,0,'Rent Roll'!$B$12*'Rent Roll'!$D$12*(1+'Rent Roll'!$F$12)^INT((DE$11-GU144)/12)/12),0)</f>
        <v/>
      </c>
      <c r="DF160" s="232">
        <f>IF(AND(DF$11&gt;=GV144,DF$11&lt;=GW144),IF((DF$11-GV144)&lt;'Rent Roll'!$K$12,0,'Rent Roll'!$B$12*'Rent Roll'!$D$12*(1+'Rent Roll'!$F$12)^INT((DF$11-GV144)/12)/12),0)</f>
        <v/>
      </c>
      <c r="DG160" s="232">
        <f>IF(AND(DG$11&gt;=GW144,DG$11&lt;=GX144),IF((DG$11-GW144)&lt;'Rent Roll'!$K$12,0,'Rent Roll'!$B$12*'Rent Roll'!$D$12*(1+'Rent Roll'!$F$12)^INT((DG$11-GW144)/12)/12),0)</f>
        <v/>
      </c>
      <c r="DH160" s="232">
        <f>IF(AND(DH$11&gt;=GX144,DH$11&lt;=GY144),IF((DH$11-GX144)&lt;'Rent Roll'!$K$12,0,'Rent Roll'!$B$12*'Rent Roll'!$D$12*(1+'Rent Roll'!$F$12)^INT((DH$11-GX144)/12)/12),0)</f>
        <v/>
      </c>
      <c r="DI160" s="232">
        <f>IF(AND(DI$11&gt;=GY144,DI$11&lt;=GZ144),IF((DI$11-GY144)&lt;'Rent Roll'!$K$12,0,'Rent Roll'!$B$12*'Rent Roll'!$D$12*(1+'Rent Roll'!$F$12)^INT((DI$11-GY144)/12)/12),0)</f>
        <v/>
      </c>
      <c r="DJ160" s="232">
        <f>IF(AND(DJ$11&gt;=GZ144,DJ$11&lt;=HA144),IF((DJ$11-GZ144)&lt;'Rent Roll'!$K$12,0,'Rent Roll'!$B$12*'Rent Roll'!$D$12*(1+'Rent Roll'!$F$12)^INT((DJ$11-GZ144)/12)/12),0)</f>
        <v/>
      </c>
      <c r="DK160" s="232">
        <f>IF(AND(DK$11&gt;=HA144,DK$11&lt;=HB144),IF((DK$11-HA144)&lt;'Rent Roll'!$K$12,0,'Rent Roll'!$B$12*'Rent Roll'!$D$12*(1+'Rent Roll'!$F$12)^INT((DK$11-HA144)/12)/12),0)</f>
        <v/>
      </c>
      <c r="DL160" s="232">
        <f>IF(AND(DL$11&gt;=HB144,DL$11&lt;=HC144),IF((DL$11-HB144)&lt;'Rent Roll'!$K$12,0,'Rent Roll'!$B$12*'Rent Roll'!$D$12*(1+'Rent Roll'!$F$12)^INT((DL$11-HB144)/12)/12),0)</f>
        <v/>
      </c>
      <c r="DM160" s="232">
        <f>IF(AND(DM$11&gt;=HC144,DM$11&lt;=HD144),IF((DM$11-HC144)&lt;'Rent Roll'!$K$12,0,'Rent Roll'!$B$12*'Rent Roll'!$D$12*(1+'Rent Roll'!$F$12)^INT((DM$11-HC144)/12)/12),0)</f>
        <v/>
      </c>
      <c r="DN160" s="232">
        <f>IF(AND(DN$11&gt;=HD144,DN$11&lt;=HE144),IF((DN$11-HD144)&lt;'Rent Roll'!$K$12,0,'Rent Roll'!$B$12*'Rent Roll'!$D$12*(1+'Rent Roll'!$F$12)^INT((DN$11-HD144)/12)/12),0)</f>
        <v/>
      </c>
      <c r="DO160" s="232">
        <f>IF(AND(DO$11&gt;=HE144,DO$11&lt;=HF144),IF((DO$11-HE144)&lt;'Rent Roll'!$K$12,0,'Rent Roll'!$B$12*'Rent Roll'!$D$12*(1+'Rent Roll'!$F$12)^INT((DO$11-HE144)/12)/12),0)</f>
        <v/>
      </c>
      <c r="DP160" s="232">
        <f>IF(AND(DP$11&gt;=HF144,DP$11&lt;=HG144),IF((DP$11-HF144)&lt;'Rent Roll'!$K$12,0,'Rent Roll'!$B$12*'Rent Roll'!$D$12*(1+'Rent Roll'!$F$12)^INT((DP$11-HF144)/12)/12),0)</f>
        <v/>
      </c>
      <c r="DQ160" s="232">
        <f>IF(AND(DQ$11&gt;=HG144,DQ$11&lt;=HH144),IF((DQ$11-HG144)&lt;'Rent Roll'!$K$12,0,'Rent Roll'!$B$12*'Rent Roll'!$D$12*(1+'Rent Roll'!$F$12)^INT((DQ$11-HG144)/12)/12),0)</f>
        <v/>
      </c>
      <c r="DR160" s="232">
        <f>IF(AND(DR$11&gt;=HH144,DR$11&lt;=HI144),IF((DR$11-HH144)&lt;'Rent Roll'!$K$12,0,'Rent Roll'!$B$12*'Rent Roll'!$D$12*(1+'Rent Roll'!$F$12)^INT((DR$11-HH144)/12)/12),0)</f>
        <v/>
      </c>
      <c r="DS160" s="232">
        <f>IF(AND(DS$11&gt;=HI144,DS$11&lt;=HJ144),IF((DS$11-HI144)&lt;'Rent Roll'!$K$12,0,'Rent Roll'!$B$12*'Rent Roll'!$D$12*(1+'Rent Roll'!$F$12)^INT((DS$11-HI144)/12)/12),0)</f>
        <v/>
      </c>
      <c r="DT160" s="232">
        <f>IF(AND(DT$11&gt;=HJ144,DT$11&lt;=HK144),IF((DT$11-HJ144)&lt;'Rent Roll'!$K$12,0,'Rent Roll'!$B$12*'Rent Roll'!$D$12*(1+'Rent Roll'!$F$12)^INT((DT$11-HJ144)/12)/12),0)</f>
        <v/>
      </c>
      <c r="DV160">
        <f>DV144&amp;" Rent"</f>
        <v/>
      </c>
    </row>
    <row r="161" ht="15" customHeight="1" s="148">
      <c r="D161" s="127">
        <f>IF(AND(D$11&gt;=FB144,D$11&lt;=FC144),'Rent Roll'!$B$12,0)</f>
        <v/>
      </c>
      <c r="E161" s="127">
        <f>IF(AND(E$11&gt;=FB144,E$11&lt;=FC144),'Rent Roll'!$B$12,0)</f>
        <v/>
      </c>
      <c r="F161" s="127">
        <f>IF(AND(F$11&gt;=FB144,F$11&lt;=FC144),'Rent Roll'!$B$12,0)</f>
        <v/>
      </c>
      <c r="G161" s="127">
        <f>IF(AND(G$11&gt;=FB144,G$11&lt;=FC144),'Rent Roll'!$B$12,0)</f>
        <v/>
      </c>
      <c r="H161" s="127">
        <f>IF(AND(H$11&gt;=FB144,H$11&lt;=FC144),'Rent Roll'!$B$12,0)</f>
        <v/>
      </c>
      <c r="I161" s="127">
        <f>IF(AND(I$11&gt;=FB144,I$11&lt;=FC144),'Rent Roll'!$B$12,0)</f>
        <v/>
      </c>
      <c r="J161" s="127">
        <f>IF(AND(J$11&gt;=FB144,J$11&lt;=FC144),'Rent Roll'!$B$12,0)</f>
        <v/>
      </c>
      <c r="K161" s="127">
        <f>IF(AND(K$11&gt;=FB144,K$11&lt;=FC144),'Rent Roll'!$B$12,0)</f>
        <v/>
      </c>
      <c r="L161" s="127">
        <f>IF(AND(L$11&gt;=FB144,L$11&lt;=FC144),'Rent Roll'!$B$12,0)</f>
        <v/>
      </c>
      <c r="M161" s="127">
        <f>IF(AND(M$11&gt;=FB144,M$11&lt;=FC144),'Rent Roll'!$B$12,0)</f>
        <v/>
      </c>
      <c r="N161" s="127">
        <f>IF(AND(N$11&gt;=FB144,N$11&lt;=FC144),'Rent Roll'!$B$12,0)</f>
        <v/>
      </c>
      <c r="O161" s="127">
        <f>IF(AND(O$11&gt;=FB144,O$11&lt;=FC144),'Rent Roll'!$B$12,0)</f>
        <v/>
      </c>
      <c r="P161" s="127">
        <f>IF(AND(P$11&gt;=FB144,P$11&lt;=FC144),'Rent Roll'!$B$12,0)</f>
        <v/>
      </c>
      <c r="Q161" s="127">
        <f>IF(AND(Q$11&gt;=FB144,Q$11&lt;=FC144),'Rent Roll'!$B$12,0)</f>
        <v/>
      </c>
      <c r="R161" s="127">
        <f>IF(AND(R$11&gt;=FB144,R$11&lt;=FC144),'Rent Roll'!$B$12,0)</f>
        <v/>
      </c>
      <c r="S161" s="127">
        <f>IF(AND(S$11&gt;=FB144,S$11&lt;=FC144),'Rent Roll'!$B$12,0)</f>
        <v/>
      </c>
      <c r="T161" s="127">
        <f>IF(AND(T$11&gt;=FB144,T$11&lt;=FC144),'Rent Roll'!$B$12,0)</f>
        <v/>
      </c>
      <c r="U161" s="127">
        <f>IF(AND(U$11&gt;=FB144,U$11&lt;=FC144),'Rent Roll'!$B$12,0)</f>
        <v/>
      </c>
      <c r="V161" s="127">
        <f>IF(AND(V$11&gt;=FB144,V$11&lt;=FC144),'Rent Roll'!$B$12,0)</f>
        <v/>
      </c>
      <c r="W161" s="127">
        <f>IF(AND(W$11&gt;=FB144,W$11&lt;=FC144),'Rent Roll'!$B$12,0)</f>
        <v/>
      </c>
      <c r="X161" s="127">
        <f>IF(AND(X$11&gt;=FB144,X$11&lt;=FC144),'Rent Roll'!$B$12,0)</f>
        <v/>
      </c>
      <c r="Y161" s="127">
        <f>IF(AND(Y$11&gt;=FB144,Y$11&lt;=FC144),'Rent Roll'!$B$12,0)</f>
        <v/>
      </c>
      <c r="Z161" s="127">
        <f>IF(AND(Z$11&gt;=FB144,Z$11&lt;=FC144),'Rent Roll'!$B$12,0)</f>
        <v/>
      </c>
      <c r="AA161" s="127">
        <f>IF(AND(AA$11&gt;=FB144,AA$11&lt;=FC144),'Rent Roll'!$B$12,0)</f>
        <v/>
      </c>
      <c r="AB161" s="127">
        <f>IF(AND(AB$11&gt;=FB144,AB$11&lt;=FC144),'Rent Roll'!$B$12,0)</f>
        <v/>
      </c>
      <c r="AC161" s="127">
        <f>IF(AND(AC$11&gt;=FB144,AC$11&lt;=FC144),'Rent Roll'!$B$12,0)</f>
        <v/>
      </c>
      <c r="AD161" s="127">
        <f>IF(AND(AD$11&gt;=FB144,AD$11&lt;=FC144),'Rent Roll'!$B$12,0)</f>
        <v/>
      </c>
      <c r="AE161" s="127">
        <f>IF(AND(AE$11&gt;=FB144,AE$11&lt;=FC144),'Rent Roll'!$B$12,0)</f>
        <v/>
      </c>
      <c r="AF161" s="127">
        <f>IF(AND(AF$11&gt;=FB144,AF$11&lt;=FC144),'Rent Roll'!$B$12,0)</f>
        <v/>
      </c>
      <c r="AG161" s="127">
        <f>IF(AND(AG$11&gt;=FB144,AG$11&lt;=FC144),'Rent Roll'!$B$12,0)</f>
        <v/>
      </c>
      <c r="AH161" s="127">
        <f>IF(AND(AH$11&gt;=FB144,AH$11&lt;=FC144),'Rent Roll'!$B$12,0)</f>
        <v/>
      </c>
      <c r="AI161" s="127">
        <f>IF(AND(AI$11&gt;=FB144,AI$11&lt;=FC144),'Rent Roll'!$B$12,0)</f>
        <v/>
      </c>
      <c r="AJ161" s="127">
        <f>IF(AND(AJ$11&gt;=FB144,AJ$11&lt;=FC144),'Rent Roll'!$B$12,0)</f>
        <v/>
      </c>
      <c r="AK161" s="127">
        <f>IF(AND(AK$11&gt;=FB144,AK$11&lt;=FC144),'Rent Roll'!$B$12,0)</f>
        <v/>
      </c>
      <c r="AL161" s="127">
        <f>IF(AND(AL$11&gt;=FB144,AL$11&lt;=FC144),'Rent Roll'!$B$12,0)</f>
        <v/>
      </c>
      <c r="AM161" s="127">
        <f>IF(AND(AM$11&gt;=FB144,AM$11&lt;=FC144),'Rent Roll'!$B$12,0)</f>
        <v/>
      </c>
      <c r="AN161" s="127">
        <f>IF(AND(AN$11&gt;=FB144,AN$11&lt;=FC144),'Rent Roll'!$B$12,0)</f>
        <v/>
      </c>
      <c r="AO161" s="127">
        <f>IF(AND(AO$11&gt;=FB144,AO$11&lt;=FC144),'Rent Roll'!$B$12,0)</f>
        <v/>
      </c>
      <c r="AP161" s="127">
        <f>IF(AND(AP$11&gt;=FB144,AP$11&lt;=FC144),'Rent Roll'!$B$12,0)</f>
        <v/>
      </c>
      <c r="AQ161" s="127">
        <f>IF(AND(AQ$11&gt;=FB144,AQ$11&lt;=FC144),'Rent Roll'!$B$12,0)</f>
        <v/>
      </c>
      <c r="AR161" s="127">
        <f>IF(AND(AR$11&gt;=FB144,AR$11&lt;=FC144),'Rent Roll'!$B$12,0)</f>
        <v/>
      </c>
      <c r="AS161" s="127">
        <f>IF(AND(AS$11&gt;=FB144,AS$11&lt;=FC144),'Rent Roll'!$B$12,0)</f>
        <v/>
      </c>
      <c r="AT161" s="127">
        <f>IF(AND(AT$11&gt;=FB144,AT$11&lt;=FC144),'Rent Roll'!$B$12,0)</f>
        <v/>
      </c>
      <c r="AU161" s="127">
        <f>IF(AND(AU$11&gt;=FB144,AU$11&lt;=FC144),'Rent Roll'!$B$12,0)</f>
        <v/>
      </c>
      <c r="AV161" s="127">
        <f>IF(AND(AV$11&gt;=FB144,AV$11&lt;=FC144),'Rent Roll'!$B$12,0)</f>
        <v/>
      </c>
      <c r="AW161" s="127">
        <f>IF(AND(AW$11&gt;=FB144,AW$11&lt;=FC144),'Rent Roll'!$B$12,0)</f>
        <v/>
      </c>
      <c r="AX161" s="127">
        <f>IF(AND(AX$11&gt;=FB144,AX$11&lt;=FC144),'Rent Roll'!$B$12,0)</f>
        <v/>
      </c>
      <c r="AY161" s="127">
        <f>IF(AND(AY$11&gt;=FB144,AY$11&lt;=FC144),'Rent Roll'!$B$12,0)</f>
        <v/>
      </c>
      <c r="AZ161" s="127">
        <f>IF(AND(AZ$11&gt;=FB144,AZ$11&lt;=FC144),'Rent Roll'!$B$12,0)</f>
        <v/>
      </c>
      <c r="BA161" s="127">
        <f>IF(AND(BA$11&gt;=FB144,BA$11&lt;=FC144),'Rent Roll'!$B$12,0)</f>
        <v/>
      </c>
      <c r="BB161" s="127">
        <f>IF(AND(BB$11&gt;=FB144,BB$11&lt;=FC144),'Rent Roll'!$B$12,0)</f>
        <v/>
      </c>
      <c r="BC161" s="127">
        <f>IF(AND(BC$11&gt;=FB144,BC$11&lt;=FC144),'Rent Roll'!$B$12,0)</f>
        <v/>
      </c>
      <c r="BD161" s="127">
        <f>IF(AND(BD$11&gt;=FB144,BD$11&lt;=FC144),'Rent Roll'!$B$12,0)</f>
        <v/>
      </c>
      <c r="BE161" s="127">
        <f>IF(AND(BE$11&gt;=FB144,BE$11&lt;=FC144),'Rent Roll'!$B$12,0)</f>
        <v/>
      </c>
      <c r="BF161" s="127">
        <f>IF(AND(BF$11&gt;=FB144,BF$11&lt;=FC144),'Rent Roll'!$B$12,0)</f>
        <v/>
      </c>
      <c r="BG161" s="127">
        <f>IF(AND(BG$11&gt;=FB144,BG$11&lt;=FC144),'Rent Roll'!$B$12,0)</f>
        <v/>
      </c>
      <c r="BH161" s="127">
        <f>IF(AND(BH$11&gt;=FB144,BH$11&lt;=FC144),'Rent Roll'!$B$12,0)</f>
        <v/>
      </c>
      <c r="BI161" s="127">
        <f>IF(AND(BI$11&gt;=FB144,BI$11&lt;=FC144),'Rent Roll'!$B$12,0)</f>
        <v/>
      </c>
      <c r="BJ161" s="127">
        <f>IF(AND(BJ$11&gt;=FB144,BJ$11&lt;=FC144),'Rent Roll'!$B$12,0)</f>
        <v/>
      </c>
      <c r="BK161" s="127">
        <f>IF(AND(BK$11&gt;=FB144,BK$11&lt;=FC144),'Rent Roll'!$B$12,0)</f>
        <v/>
      </c>
      <c r="BL161" s="127">
        <f>IF(AND(BL$11&gt;=FB144,BL$11&lt;=FC144),'Rent Roll'!$B$12,0)</f>
        <v/>
      </c>
      <c r="BM161" s="127">
        <f>IF(AND(BM$11&gt;=FC144,BM$11&lt;=FD144),'Rent Roll'!$B$12,0)</f>
        <v/>
      </c>
      <c r="BN161" s="127">
        <f>IF(AND(BN$11&gt;=FD144,BN$11&lt;=FE144),'Rent Roll'!$B$12,0)</f>
        <v/>
      </c>
      <c r="BO161" s="127">
        <f>IF(AND(BO$11&gt;=FE144,BO$11&lt;=FF144),'Rent Roll'!$B$12,0)</f>
        <v/>
      </c>
      <c r="BP161" s="127">
        <f>IF(AND(BP$11&gt;=FF144,BP$11&lt;=FG144),'Rent Roll'!$B$12,0)</f>
        <v/>
      </c>
      <c r="BQ161" s="127">
        <f>IF(AND(BQ$11&gt;=FG144,BQ$11&lt;=FH144),'Rent Roll'!$B$12,0)</f>
        <v/>
      </c>
      <c r="BR161" s="127">
        <f>IF(AND(BR$11&gt;=FH144,BR$11&lt;=FI144),'Rent Roll'!$B$12,0)</f>
        <v/>
      </c>
      <c r="BS161" s="127">
        <f>IF(AND(BS$11&gt;=FI144,BS$11&lt;=FJ144),'Rent Roll'!$B$12,0)</f>
        <v/>
      </c>
      <c r="BT161" s="127">
        <f>IF(AND(BT$11&gt;=FJ144,BT$11&lt;=FK144),'Rent Roll'!$B$12,0)</f>
        <v/>
      </c>
      <c r="BU161" s="127">
        <f>IF(AND(BU$11&gt;=FK144,BU$11&lt;=FL144),'Rent Roll'!$B$12,0)</f>
        <v/>
      </c>
      <c r="BV161" s="127">
        <f>IF(AND(BV$11&gt;=FL144,BV$11&lt;=FM144),'Rent Roll'!$B$12,0)</f>
        <v/>
      </c>
      <c r="BW161" s="127">
        <f>IF(AND(BW$11&gt;=FM144,BW$11&lt;=FN144),'Rent Roll'!$B$12,0)</f>
        <v/>
      </c>
      <c r="BX161" s="127">
        <f>IF(AND(BX$11&gt;=FN144,BX$11&lt;=FO144),'Rent Roll'!$B$12,0)</f>
        <v/>
      </c>
      <c r="BY161" s="127">
        <f>IF(AND(BY$11&gt;=FO144,BY$11&lt;=FP144),'Rent Roll'!$B$12,0)</f>
        <v/>
      </c>
      <c r="BZ161" s="127">
        <f>IF(AND(BZ$11&gt;=FP144,BZ$11&lt;=FQ144),'Rent Roll'!$B$12,0)</f>
        <v/>
      </c>
      <c r="CA161" s="127">
        <f>IF(AND(CA$11&gt;=FQ144,CA$11&lt;=FR144),'Rent Roll'!$B$12,0)</f>
        <v/>
      </c>
      <c r="CB161" s="127">
        <f>IF(AND(CB$11&gt;=FR144,CB$11&lt;=FS144),'Rent Roll'!$B$12,0)</f>
        <v/>
      </c>
      <c r="CC161" s="127">
        <f>IF(AND(CC$11&gt;=FS144,CC$11&lt;=FT144),'Rent Roll'!$B$12,0)</f>
        <v/>
      </c>
      <c r="CD161" s="127">
        <f>IF(AND(CD$11&gt;=FT144,CD$11&lt;=FU144),'Rent Roll'!$B$12,0)</f>
        <v/>
      </c>
      <c r="CE161" s="127">
        <f>IF(AND(CE$11&gt;=FU144,CE$11&lt;=FV144),'Rent Roll'!$B$12,0)</f>
        <v/>
      </c>
      <c r="CF161" s="127">
        <f>IF(AND(CF$11&gt;=FV144,CF$11&lt;=FW144),'Rent Roll'!$B$12,0)</f>
        <v/>
      </c>
      <c r="CG161" s="127">
        <f>IF(AND(CG$11&gt;=FW144,CG$11&lt;=FX144),'Rent Roll'!$B$12,0)</f>
        <v/>
      </c>
      <c r="CH161" s="127">
        <f>IF(AND(CH$11&gt;=FX144,CH$11&lt;=FY144),'Rent Roll'!$B$12,0)</f>
        <v/>
      </c>
      <c r="CI161" s="127">
        <f>IF(AND(CI$11&gt;=FY144,CI$11&lt;=FZ144),'Rent Roll'!$B$12,0)</f>
        <v/>
      </c>
      <c r="CJ161" s="127">
        <f>IF(AND(CJ$11&gt;=FZ144,CJ$11&lt;=GA144),'Rent Roll'!$B$12,0)</f>
        <v/>
      </c>
      <c r="CK161" s="127">
        <f>IF(AND(CK$11&gt;=GA144,CK$11&lt;=GB144),'Rent Roll'!$B$12,0)</f>
        <v/>
      </c>
      <c r="CL161" s="127">
        <f>IF(AND(CL$11&gt;=GB144,CL$11&lt;=GC144),'Rent Roll'!$B$12,0)</f>
        <v/>
      </c>
      <c r="CM161" s="127">
        <f>IF(AND(CM$11&gt;=GC144,CM$11&lt;=GD144),'Rent Roll'!$B$12,0)</f>
        <v/>
      </c>
      <c r="CN161" s="127">
        <f>IF(AND(CN$11&gt;=GD144,CN$11&lt;=GE144),'Rent Roll'!$B$12,0)</f>
        <v/>
      </c>
      <c r="CO161" s="127">
        <f>IF(AND(CO$11&gt;=GE144,CO$11&lt;=GF144),'Rent Roll'!$B$12,0)</f>
        <v/>
      </c>
      <c r="CP161" s="127">
        <f>IF(AND(CP$11&gt;=GF144,CP$11&lt;=GG144),'Rent Roll'!$B$12,0)</f>
        <v/>
      </c>
      <c r="CQ161" s="127">
        <f>IF(AND(CQ$11&gt;=GG144,CQ$11&lt;=GH144),'Rent Roll'!$B$12,0)</f>
        <v/>
      </c>
      <c r="CR161" s="127">
        <f>IF(AND(CR$11&gt;=GH144,CR$11&lt;=GI144),'Rent Roll'!$B$12,0)</f>
        <v/>
      </c>
      <c r="CS161" s="127">
        <f>IF(AND(CS$11&gt;=GI144,CS$11&lt;=GJ144),'Rent Roll'!$B$12,0)</f>
        <v/>
      </c>
      <c r="CT161" s="127">
        <f>IF(AND(CT$11&gt;=GJ144,CT$11&lt;=GK144),'Rent Roll'!$B$12,0)</f>
        <v/>
      </c>
      <c r="CU161" s="127">
        <f>IF(AND(CU$11&gt;=GK144,CU$11&lt;=GL144),'Rent Roll'!$B$12,0)</f>
        <v/>
      </c>
      <c r="CV161" s="127">
        <f>IF(AND(CV$11&gt;=GL144,CV$11&lt;=GM144),'Rent Roll'!$B$12,0)</f>
        <v/>
      </c>
      <c r="CW161" s="127">
        <f>IF(AND(CW$11&gt;=GM144,CW$11&lt;=GN144),'Rent Roll'!$B$12,0)</f>
        <v/>
      </c>
      <c r="CX161" s="127">
        <f>IF(AND(CX$11&gt;=GN144,CX$11&lt;=GO144),'Rent Roll'!$B$12,0)</f>
        <v/>
      </c>
      <c r="CY161" s="127">
        <f>IF(AND(CY$11&gt;=GO144,CY$11&lt;=GP144),'Rent Roll'!$B$12,0)</f>
        <v/>
      </c>
      <c r="CZ161" s="127">
        <f>IF(AND(CZ$11&gt;=GP144,CZ$11&lt;=GQ144),'Rent Roll'!$B$12,0)</f>
        <v/>
      </c>
      <c r="DA161" s="127">
        <f>IF(AND(DA$11&gt;=GQ144,DA$11&lt;=GR144),'Rent Roll'!$B$12,0)</f>
        <v/>
      </c>
      <c r="DB161" s="127">
        <f>IF(AND(DB$11&gt;=GR144,DB$11&lt;=GS144),'Rent Roll'!$B$12,0)</f>
        <v/>
      </c>
      <c r="DC161" s="127">
        <f>IF(AND(DC$11&gt;=GS144,DC$11&lt;=GT144),'Rent Roll'!$B$12,0)</f>
        <v/>
      </c>
      <c r="DD161" s="127">
        <f>IF(AND(DD$11&gt;=GT144,DD$11&lt;=GU144),'Rent Roll'!$B$12,0)</f>
        <v/>
      </c>
      <c r="DE161" s="127">
        <f>IF(AND(DE$11&gt;=GU144,DE$11&lt;=GV144),'Rent Roll'!$B$12,0)</f>
        <v/>
      </c>
      <c r="DF161" s="127">
        <f>IF(AND(DF$11&gt;=GV144,DF$11&lt;=GW144),'Rent Roll'!$B$12,0)</f>
        <v/>
      </c>
      <c r="DG161" s="127">
        <f>IF(AND(DG$11&gt;=GW144,DG$11&lt;=GX144),'Rent Roll'!$B$12,0)</f>
        <v/>
      </c>
      <c r="DH161" s="127">
        <f>IF(AND(DH$11&gt;=GX144,DH$11&lt;=GY144),'Rent Roll'!$B$12,0)</f>
        <v/>
      </c>
      <c r="DI161" s="127">
        <f>IF(AND(DI$11&gt;=GY144,DI$11&lt;=GZ144),'Rent Roll'!$B$12,0)</f>
        <v/>
      </c>
      <c r="DJ161" s="127">
        <f>IF(AND(DJ$11&gt;=GZ144,DJ$11&lt;=HA144),'Rent Roll'!$B$12,0)</f>
        <v/>
      </c>
      <c r="DK161" s="127">
        <f>IF(AND(DK$11&gt;=HA144,DK$11&lt;=HB144),'Rent Roll'!$B$12,0)</f>
        <v/>
      </c>
      <c r="DL161" s="127">
        <f>IF(AND(DL$11&gt;=HB144,DL$11&lt;=HC144),'Rent Roll'!$B$12,0)</f>
        <v/>
      </c>
      <c r="DM161" s="127">
        <f>IF(AND(DM$11&gt;=HC144,DM$11&lt;=HD144),'Rent Roll'!$B$12,0)</f>
        <v/>
      </c>
      <c r="DN161" s="127">
        <f>IF(AND(DN$11&gt;=HD144,DN$11&lt;=HE144),'Rent Roll'!$B$12,0)</f>
        <v/>
      </c>
      <c r="DO161" s="127">
        <f>IF(AND(DO$11&gt;=HE144,DO$11&lt;=HF144),'Rent Roll'!$B$12,0)</f>
        <v/>
      </c>
      <c r="DP161" s="127">
        <f>IF(AND(DP$11&gt;=HF144,DP$11&lt;=HG144),'Rent Roll'!$B$12,0)</f>
        <v/>
      </c>
      <c r="DQ161" s="127">
        <f>IF(AND(DQ$11&gt;=HG144,DQ$11&lt;=HH144),'Rent Roll'!$B$12,0)</f>
        <v/>
      </c>
      <c r="DR161" s="127">
        <f>IF(AND(DR$11&gt;=HH144,DR$11&lt;=HI144),'Rent Roll'!$B$12,0)</f>
        <v/>
      </c>
      <c r="DS161" s="127">
        <f>IF(AND(DS$11&gt;=HI144,DS$11&lt;=HJ144),'Rent Roll'!$B$12,0)</f>
        <v/>
      </c>
      <c r="DT161" s="127">
        <f>IF(AND(DT$11&gt;=HJ144,DT$11&lt;=HK144),'Rent Roll'!$B$12,0)</f>
        <v/>
      </c>
      <c r="DV161">
        <f>DV144&amp;" ActiveSF"</f>
        <v/>
      </c>
    </row>
    <row r="162" ht="15" customHeight="1" s="148">
      <c r="D162" s="232">
        <f>IF(AND(D$11&gt;=FB145,D$11&lt;=FC145),IF((D$11-FB145)&lt;'Rent Roll'!$K$13,0,'Rent Roll'!$B$13*'Rent Roll'!$D$13*(1+'Rent Roll'!$F$13)^INT((D$11-FB145)/12)/12),0)</f>
        <v/>
      </c>
      <c r="E162" s="232">
        <f>IF(AND(E$11&gt;=FB145,E$11&lt;=FC145),IF((E$11-FB145)&lt;'Rent Roll'!$K$13,0,'Rent Roll'!$B$13*'Rent Roll'!$D$13*(1+'Rent Roll'!$F$13)^INT((E$11-FB145)/12)/12),0)</f>
        <v/>
      </c>
      <c r="F162" s="232">
        <f>IF(AND(F$11&gt;=FB145,F$11&lt;=FC145),IF((F$11-FB145)&lt;'Rent Roll'!$K$13,0,'Rent Roll'!$B$13*'Rent Roll'!$D$13*(1+'Rent Roll'!$F$13)^INT((F$11-FB145)/12)/12),0)</f>
        <v/>
      </c>
      <c r="G162" s="232">
        <f>IF(AND(G$11&gt;=FB145,G$11&lt;=FC145),IF((G$11-FB145)&lt;'Rent Roll'!$K$13,0,'Rent Roll'!$B$13*'Rent Roll'!$D$13*(1+'Rent Roll'!$F$13)^INT((G$11-FB145)/12)/12),0)</f>
        <v/>
      </c>
      <c r="H162" s="232">
        <f>IF(AND(H$11&gt;=FB145,H$11&lt;=FC145),IF((H$11-FB145)&lt;'Rent Roll'!$K$13,0,'Rent Roll'!$B$13*'Rent Roll'!$D$13*(1+'Rent Roll'!$F$13)^INT((H$11-FB145)/12)/12),0)</f>
        <v/>
      </c>
      <c r="I162" s="232">
        <f>IF(AND(I$11&gt;=FB145,I$11&lt;=FC145),IF((I$11-FB145)&lt;'Rent Roll'!$K$13,0,'Rent Roll'!$B$13*'Rent Roll'!$D$13*(1+'Rent Roll'!$F$13)^INT((I$11-FB145)/12)/12),0)</f>
        <v/>
      </c>
      <c r="J162" s="232">
        <f>IF(AND(J$11&gt;=FB145,J$11&lt;=FC145),IF((J$11-FB145)&lt;'Rent Roll'!$K$13,0,'Rent Roll'!$B$13*'Rent Roll'!$D$13*(1+'Rent Roll'!$F$13)^INT((J$11-FB145)/12)/12),0)</f>
        <v/>
      </c>
      <c r="K162" s="232">
        <f>IF(AND(K$11&gt;=FB145,K$11&lt;=FC145),IF((K$11-FB145)&lt;'Rent Roll'!$K$13,0,'Rent Roll'!$B$13*'Rent Roll'!$D$13*(1+'Rent Roll'!$F$13)^INT((K$11-FB145)/12)/12),0)</f>
        <v/>
      </c>
      <c r="L162" s="232">
        <f>IF(AND(L$11&gt;=FB145,L$11&lt;=FC145),IF((L$11-FB145)&lt;'Rent Roll'!$K$13,0,'Rent Roll'!$B$13*'Rent Roll'!$D$13*(1+'Rent Roll'!$F$13)^INT((L$11-FB145)/12)/12),0)</f>
        <v/>
      </c>
      <c r="M162" s="232">
        <f>IF(AND(M$11&gt;=FB145,M$11&lt;=FC145),IF((M$11-FB145)&lt;'Rent Roll'!$K$13,0,'Rent Roll'!$B$13*'Rent Roll'!$D$13*(1+'Rent Roll'!$F$13)^INT((M$11-FB145)/12)/12),0)</f>
        <v/>
      </c>
      <c r="N162" s="232">
        <f>IF(AND(N$11&gt;=FB145,N$11&lt;=FC145),IF((N$11-FB145)&lt;'Rent Roll'!$K$13,0,'Rent Roll'!$B$13*'Rent Roll'!$D$13*(1+'Rent Roll'!$F$13)^INT((N$11-FB145)/12)/12),0)</f>
        <v/>
      </c>
      <c r="O162" s="232">
        <f>IF(AND(O$11&gt;=FB145,O$11&lt;=FC145),IF((O$11-FB145)&lt;'Rent Roll'!$K$13,0,'Rent Roll'!$B$13*'Rent Roll'!$D$13*(1+'Rent Roll'!$F$13)^INT((O$11-FB145)/12)/12),0)</f>
        <v/>
      </c>
      <c r="P162" s="232">
        <f>IF(AND(P$11&gt;=FB145,P$11&lt;=FC145),IF((P$11-FB145)&lt;'Rent Roll'!$K$13,0,'Rent Roll'!$B$13*'Rent Roll'!$D$13*(1+'Rent Roll'!$F$13)^INT((P$11-FB145)/12)/12),0)</f>
        <v/>
      </c>
      <c r="Q162" s="232">
        <f>IF(AND(Q$11&gt;=FB145,Q$11&lt;=FC145),IF((Q$11-FB145)&lt;'Rent Roll'!$K$13,0,'Rent Roll'!$B$13*'Rent Roll'!$D$13*(1+'Rent Roll'!$F$13)^INT((Q$11-FB145)/12)/12),0)</f>
        <v/>
      </c>
      <c r="R162" s="232">
        <f>IF(AND(R$11&gt;=FB145,R$11&lt;=FC145),IF((R$11-FB145)&lt;'Rent Roll'!$K$13,0,'Rent Roll'!$B$13*'Rent Roll'!$D$13*(1+'Rent Roll'!$F$13)^INT((R$11-FB145)/12)/12),0)</f>
        <v/>
      </c>
      <c r="S162" s="232">
        <f>IF(AND(S$11&gt;=FB145,S$11&lt;=FC145),IF((S$11-FB145)&lt;'Rent Roll'!$K$13,0,'Rent Roll'!$B$13*'Rent Roll'!$D$13*(1+'Rent Roll'!$F$13)^INT((S$11-FB145)/12)/12),0)</f>
        <v/>
      </c>
      <c r="T162" s="232">
        <f>IF(AND(T$11&gt;=FB145,T$11&lt;=FC145),IF((T$11-FB145)&lt;'Rent Roll'!$K$13,0,'Rent Roll'!$B$13*'Rent Roll'!$D$13*(1+'Rent Roll'!$F$13)^INT((T$11-FB145)/12)/12),0)</f>
        <v/>
      </c>
      <c r="U162" s="232">
        <f>IF(AND(U$11&gt;=FB145,U$11&lt;=FC145),IF((U$11-FB145)&lt;'Rent Roll'!$K$13,0,'Rent Roll'!$B$13*'Rent Roll'!$D$13*(1+'Rent Roll'!$F$13)^INT((U$11-FB145)/12)/12),0)</f>
        <v/>
      </c>
      <c r="V162" s="232">
        <f>IF(AND(V$11&gt;=FB145,V$11&lt;=FC145),IF((V$11-FB145)&lt;'Rent Roll'!$K$13,0,'Rent Roll'!$B$13*'Rent Roll'!$D$13*(1+'Rent Roll'!$F$13)^INT((V$11-FB145)/12)/12),0)</f>
        <v/>
      </c>
      <c r="W162" s="232">
        <f>IF(AND(W$11&gt;=FB145,W$11&lt;=FC145),IF((W$11-FB145)&lt;'Rent Roll'!$K$13,0,'Rent Roll'!$B$13*'Rent Roll'!$D$13*(1+'Rent Roll'!$F$13)^INT((W$11-FB145)/12)/12),0)</f>
        <v/>
      </c>
      <c r="X162" s="232">
        <f>IF(AND(X$11&gt;=FB145,X$11&lt;=FC145),IF((X$11-FB145)&lt;'Rent Roll'!$K$13,0,'Rent Roll'!$B$13*'Rent Roll'!$D$13*(1+'Rent Roll'!$F$13)^INT((X$11-FB145)/12)/12),0)</f>
        <v/>
      </c>
      <c r="Y162" s="232">
        <f>IF(AND(Y$11&gt;=FB145,Y$11&lt;=FC145),IF((Y$11-FB145)&lt;'Rent Roll'!$K$13,0,'Rent Roll'!$B$13*'Rent Roll'!$D$13*(1+'Rent Roll'!$F$13)^INT((Y$11-FB145)/12)/12),0)</f>
        <v/>
      </c>
      <c r="Z162" s="232">
        <f>IF(AND(Z$11&gt;=FB145,Z$11&lt;=FC145),IF((Z$11-FB145)&lt;'Rent Roll'!$K$13,0,'Rent Roll'!$B$13*'Rent Roll'!$D$13*(1+'Rent Roll'!$F$13)^INT((Z$11-FB145)/12)/12),0)</f>
        <v/>
      </c>
      <c r="AA162" s="232">
        <f>IF(AND(AA$11&gt;=FB145,AA$11&lt;=FC145),IF((AA$11-FB145)&lt;'Rent Roll'!$K$13,0,'Rent Roll'!$B$13*'Rent Roll'!$D$13*(1+'Rent Roll'!$F$13)^INT((AA$11-FB145)/12)/12),0)</f>
        <v/>
      </c>
      <c r="AB162" s="232">
        <f>IF(AND(AB$11&gt;=FB145,AB$11&lt;=FC145),IF((AB$11-FB145)&lt;'Rent Roll'!$K$13,0,'Rent Roll'!$B$13*'Rent Roll'!$D$13*(1+'Rent Roll'!$F$13)^INT((AB$11-FB145)/12)/12),0)</f>
        <v/>
      </c>
      <c r="AC162" s="232">
        <f>IF(AND(AC$11&gt;=FB145,AC$11&lt;=FC145),IF((AC$11-FB145)&lt;'Rent Roll'!$K$13,0,'Rent Roll'!$B$13*'Rent Roll'!$D$13*(1+'Rent Roll'!$F$13)^INT((AC$11-FB145)/12)/12),0)</f>
        <v/>
      </c>
      <c r="AD162" s="232">
        <f>IF(AND(AD$11&gt;=FB145,AD$11&lt;=FC145),IF((AD$11-FB145)&lt;'Rent Roll'!$K$13,0,'Rent Roll'!$B$13*'Rent Roll'!$D$13*(1+'Rent Roll'!$F$13)^INT((AD$11-FB145)/12)/12),0)</f>
        <v/>
      </c>
      <c r="AE162" s="232">
        <f>IF(AND(AE$11&gt;=FB145,AE$11&lt;=FC145),IF((AE$11-FB145)&lt;'Rent Roll'!$K$13,0,'Rent Roll'!$B$13*'Rent Roll'!$D$13*(1+'Rent Roll'!$F$13)^INT((AE$11-FB145)/12)/12),0)</f>
        <v/>
      </c>
      <c r="AF162" s="232">
        <f>IF(AND(AF$11&gt;=FB145,AF$11&lt;=FC145),IF((AF$11-FB145)&lt;'Rent Roll'!$K$13,0,'Rent Roll'!$B$13*'Rent Roll'!$D$13*(1+'Rent Roll'!$F$13)^INT((AF$11-FB145)/12)/12),0)</f>
        <v/>
      </c>
      <c r="AG162" s="232">
        <f>IF(AND(AG$11&gt;=FB145,AG$11&lt;=FC145),IF((AG$11-FB145)&lt;'Rent Roll'!$K$13,0,'Rent Roll'!$B$13*'Rent Roll'!$D$13*(1+'Rent Roll'!$F$13)^INT((AG$11-FB145)/12)/12),0)</f>
        <v/>
      </c>
      <c r="AH162" s="232">
        <f>IF(AND(AH$11&gt;=FB145,AH$11&lt;=FC145),IF((AH$11-FB145)&lt;'Rent Roll'!$K$13,0,'Rent Roll'!$B$13*'Rent Roll'!$D$13*(1+'Rent Roll'!$F$13)^INT((AH$11-FB145)/12)/12),0)</f>
        <v/>
      </c>
      <c r="AI162" s="232">
        <f>IF(AND(AI$11&gt;=FB145,AI$11&lt;=FC145),IF((AI$11-FB145)&lt;'Rent Roll'!$K$13,0,'Rent Roll'!$B$13*'Rent Roll'!$D$13*(1+'Rent Roll'!$F$13)^INT((AI$11-FB145)/12)/12),0)</f>
        <v/>
      </c>
      <c r="AJ162" s="232">
        <f>IF(AND(AJ$11&gt;=FB145,AJ$11&lt;=FC145),IF((AJ$11-FB145)&lt;'Rent Roll'!$K$13,0,'Rent Roll'!$B$13*'Rent Roll'!$D$13*(1+'Rent Roll'!$F$13)^INT((AJ$11-FB145)/12)/12),0)</f>
        <v/>
      </c>
      <c r="AK162" s="232">
        <f>IF(AND(AK$11&gt;=FB145,AK$11&lt;=FC145),IF((AK$11-FB145)&lt;'Rent Roll'!$K$13,0,'Rent Roll'!$B$13*'Rent Roll'!$D$13*(1+'Rent Roll'!$F$13)^INT((AK$11-FB145)/12)/12),0)</f>
        <v/>
      </c>
      <c r="AL162" s="232">
        <f>IF(AND(AL$11&gt;=FB145,AL$11&lt;=FC145),IF((AL$11-FB145)&lt;'Rent Roll'!$K$13,0,'Rent Roll'!$B$13*'Rent Roll'!$D$13*(1+'Rent Roll'!$F$13)^INT((AL$11-FB145)/12)/12),0)</f>
        <v/>
      </c>
      <c r="AM162" s="232">
        <f>IF(AND(AM$11&gt;=FB145,AM$11&lt;=FC145),IF((AM$11-FB145)&lt;'Rent Roll'!$K$13,0,'Rent Roll'!$B$13*'Rent Roll'!$D$13*(1+'Rent Roll'!$F$13)^INT((AM$11-FB145)/12)/12),0)</f>
        <v/>
      </c>
      <c r="AN162" s="232">
        <f>IF(AND(AN$11&gt;=FB145,AN$11&lt;=FC145),IF((AN$11-FB145)&lt;'Rent Roll'!$K$13,0,'Rent Roll'!$B$13*'Rent Roll'!$D$13*(1+'Rent Roll'!$F$13)^INT((AN$11-FB145)/12)/12),0)</f>
        <v/>
      </c>
      <c r="AO162" s="232">
        <f>IF(AND(AO$11&gt;=FB145,AO$11&lt;=FC145),IF((AO$11-FB145)&lt;'Rent Roll'!$K$13,0,'Rent Roll'!$B$13*'Rent Roll'!$D$13*(1+'Rent Roll'!$F$13)^INT((AO$11-FB145)/12)/12),0)</f>
        <v/>
      </c>
      <c r="AP162" s="232">
        <f>IF(AND(AP$11&gt;=FB145,AP$11&lt;=FC145),IF((AP$11-FB145)&lt;'Rent Roll'!$K$13,0,'Rent Roll'!$B$13*'Rent Roll'!$D$13*(1+'Rent Roll'!$F$13)^INT((AP$11-FB145)/12)/12),0)</f>
        <v/>
      </c>
      <c r="AQ162" s="232">
        <f>IF(AND(AQ$11&gt;=FB145,AQ$11&lt;=FC145),IF((AQ$11-FB145)&lt;'Rent Roll'!$K$13,0,'Rent Roll'!$B$13*'Rent Roll'!$D$13*(1+'Rent Roll'!$F$13)^INT((AQ$11-FB145)/12)/12),0)</f>
        <v/>
      </c>
      <c r="AR162" s="232">
        <f>IF(AND(AR$11&gt;=FB145,AR$11&lt;=FC145),IF((AR$11-FB145)&lt;'Rent Roll'!$K$13,0,'Rent Roll'!$B$13*'Rent Roll'!$D$13*(1+'Rent Roll'!$F$13)^INT((AR$11-FB145)/12)/12),0)</f>
        <v/>
      </c>
      <c r="AS162" s="232">
        <f>IF(AND(AS$11&gt;=FB145,AS$11&lt;=FC145),IF((AS$11-FB145)&lt;'Rent Roll'!$K$13,0,'Rent Roll'!$B$13*'Rent Roll'!$D$13*(1+'Rent Roll'!$F$13)^INT((AS$11-FB145)/12)/12),0)</f>
        <v/>
      </c>
      <c r="AT162" s="232">
        <f>IF(AND(AT$11&gt;=FB145,AT$11&lt;=FC145),IF((AT$11-FB145)&lt;'Rent Roll'!$K$13,0,'Rent Roll'!$B$13*'Rent Roll'!$D$13*(1+'Rent Roll'!$F$13)^INT((AT$11-FB145)/12)/12),0)</f>
        <v/>
      </c>
      <c r="AU162" s="232">
        <f>IF(AND(AU$11&gt;=FB145,AU$11&lt;=FC145),IF((AU$11-FB145)&lt;'Rent Roll'!$K$13,0,'Rent Roll'!$B$13*'Rent Roll'!$D$13*(1+'Rent Roll'!$F$13)^INT((AU$11-FB145)/12)/12),0)</f>
        <v/>
      </c>
      <c r="AV162" s="232">
        <f>IF(AND(AV$11&gt;=FB145,AV$11&lt;=FC145),IF((AV$11-FB145)&lt;'Rent Roll'!$K$13,0,'Rent Roll'!$B$13*'Rent Roll'!$D$13*(1+'Rent Roll'!$F$13)^INT((AV$11-FB145)/12)/12),0)</f>
        <v/>
      </c>
      <c r="AW162" s="232">
        <f>IF(AND(AW$11&gt;=FB145,AW$11&lt;=FC145),IF((AW$11-FB145)&lt;'Rent Roll'!$K$13,0,'Rent Roll'!$B$13*'Rent Roll'!$D$13*(1+'Rent Roll'!$F$13)^INT((AW$11-FB145)/12)/12),0)</f>
        <v/>
      </c>
      <c r="AX162" s="232">
        <f>IF(AND(AX$11&gt;=FB145,AX$11&lt;=FC145),IF((AX$11-FB145)&lt;'Rent Roll'!$K$13,0,'Rent Roll'!$B$13*'Rent Roll'!$D$13*(1+'Rent Roll'!$F$13)^INT((AX$11-FB145)/12)/12),0)</f>
        <v/>
      </c>
      <c r="AY162" s="232">
        <f>IF(AND(AY$11&gt;=FB145,AY$11&lt;=FC145),IF((AY$11-FB145)&lt;'Rent Roll'!$K$13,0,'Rent Roll'!$B$13*'Rent Roll'!$D$13*(1+'Rent Roll'!$F$13)^INT((AY$11-FB145)/12)/12),0)</f>
        <v/>
      </c>
      <c r="AZ162" s="232">
        <f>IF(AND(AZ$11&gt;=FB145,AZ$11&lt;=FC145),IF((AZ$11-FB145)&lt;'Rent Roll'!$K$13,0,'Rent Roll'!$B$13*'Rent Roll'!$D$13*(1+'Rent Roll'!$F$13)^INT((AZ$11-FB145)/12)/12),0)</f>
        <v/>
      </c>
      <c r="BA162" s="232">
        <f>IF(AND(BA$11&gt;=FB145,BA$11&lt;=FC145),IF((BA$11-FB145)&lt;'Rent Roll'!$K$13,0,'Rent Roll'!$B$13*'Rent Roll'!$D$13*(1+'Rent Roll'!$F$13)^INT((BA$11-FB145)/12)/12),0)</f>
        <v/>
      </c>
      <c r="BB162" s="232">
        <f>IF(AND(BB$11&gt;=FB145,BB$11&lt;=FC145),IF((BB$11-FB145)&lt;'Rent Roll'!$K$13,0,'Rent Roll'!$B$13*'Rent Roll'!$D$13*(1+'Rent Roll'!$F$13)^INT((BB$11-FB145)/12)/12),0)</f>
        <v/>
      </c>
      <c r="BC162" s="232">
        <f>IF(AND(BC$11&gt;=FB145,BC$11&lt;=FC145),IF((BC$11-FB145)&lt;'Rent Roll'!$K$13,0,'Rent Roll'!$B$13*'Rent Roll'!$D$13*(1+'Rent Roll'!$F$13)^INT((BC$11-FB145)/12)/12),0)</f>
        <v/>
      </c>
      <c r="BD162" s="232">
        <f>IF(AND(BD$11&gt;=FB145,BD$11&lt;=FC145),IF((BD$11-FB145)&lt;'Rent Roll'!$K$13,0,'Rent Roll'!$B$13*'Rent Roll'!$D$13*(1+'Rent Roll'!$F$13)^INT((BD$11-FB145)/12)/12),0)</f>
        <v/>
      </c>
      <c r="BE162" s="232">
        <f>IF(AND(BE$11&gt;=FB145,BE$11&lt;=FC145),IF((BE$11-FB145)&lt;'Rent Roll'!$K$13,0,'Rent Roll'!$B$13*'Rent Roll'!$D$13*(1+'Rent Roll'!$F$13)^INT((BE$11-FB145)/12)/12),0)</f>
        <v/>
      </c>
      <c r="BF162" s="232">
        <f>IF(AND(BF$11&gt;=FB145,BF$11&lt;=FC145),IF((BF$11-FB145)&lt;'Rent Roll'!$K$13,0,'Rent Roll'!$B$13*'Rent Roll'!$D$13*(1+'Rent Roll'!$F$13)^INT((BF$11-FB145)/12)/12),0)</f>
        <v/>
      </c>
      <c r="BG162" s="232">
        <f>IF(AND(BG$11&gt;=FB145,BG$11&lt;=FC145),IF((BG$11-FB145)&lt;'Rent Roll'!$K$13,0,'Rent Roll'!$B$13*'Rent Roll'!$D$13*(1+'Rent Roll'!$F$13)^INT((BG$11-FB145)/12)/12),0)</f>
        <v/>
      </c>
      <c r="BH162" s="232">
        <f>IF(AND(BH$11&gt;=FB145,BH$11&lt;=FC145),IF((BH$11-FB145)&lt;'Rent Roll'!$K$13,0,'Rent Roll'!$B$13*'Rent Roll'!$D$13*(1+'Rent Roll'!$F$13)^INT((BH$11-FB145)/12)/12),0)</f>
        <v/>
      </c>
      <c r="BI162" s="232">
        <f>IF(AND(BI$11&gt;=FB145,BI$11&lt;=FC145),IF((BI$11-FB145)&lt;'Rent Roll'!$K$13,0,'Rent Roll'!$B$13*'Rent Roll'!$D$13*(1+'Rent Roll'!$F$13)^INT((BI$11-FB145)/12)/12),0)</f>
        <v/>
      </c>
      <c r="BJ162" s="232">
        <f>IF(AND(BJ$11&gt;=FB145,BJ$11&lt;=FC145),IF((BJ$11-FB145)&lt;'Rent Roll'!$K$13,0,'Rent Roll'!$B$13*'Rent Roll'!$D$13*(1+'Rent Roll'!$F$13)^INT((BJ$11-FB145)/12)/12),0)</f>
        <v/>
      </c>
      <c r="BK162" s="232">
        <f>IF(AND(BK$11&gt;=FB145,BK$11&lt;=FC145),IF((BK$11-FB145)&lt;'Rent Roll'!$K$13,0,'Rent Roll'!$B$13*'Rent Roll'!$D$13*(1+'Rent Roll'!$F$13)^INT((BK$11-FB145)/12)/12),0)</f>
        <v/>
      </c>
      <c r="BL162" s="232">
        <f>IF(AND(BL$11&gt;=FB145,BL$11&lt;=FC145),IF((BL$11-FB145)&lt;'Rent Roll'!$K$13,0,'Rent Roll'!$B$13*'Rent Roll'!$D$13*(1+'Rent Roll'!$F$13)^INT((BL$11-FB145)/12)/12),0)</f>
        <v/>
      </c>
      <c r="BM162" s="232">
        <f>IF(AND(BM$11&gt;=FC145,BM$11&lt;=FD145),IF((BM$11-FC145)&lt;'Rent Roll'!$K$13,0,'Rent Roll'!$B$13*'Rent Roll'!$D$13*(1+'Rent Roll'!$F$13)^INT((BM$11-FC145)/12)/12),0)</f>
        <v/>
      </c>
      <c r="BN162" s="232">
        <f>IF(AND(BN$11&gt;=FD145,BN$11&lt;=FE145),IF((BN$11-FD145)&lt;'Rent Roll'!$K$13,0,'Rent Roll'!$B$13*'Rent Roll'!$D$13*(1+'Rent Roll'!$F$13)^INT((BN$11-FD145)/12)/12),0)</f>
        <v/>
      </c>
      <c r="BO162" s="232">
        <f>IF(AND(BO$11&gt;=FE145,BO$11&lt;=FF145),IF((BO$11-FE145)&lt;'Rent Roll'!$K$13,0,'Rent Roll'!$B$13*'Rent Roll'!$D$13*(1+'Rent Roll'!$F$13)^INT((BO$11-FE145)/12)/12),0)</f>
        <v/>
      </c>
      <c r="BP162" s="232">
        <f>IF(AND(BP$11&gt;=FF145,BP$11&lt;=FG145),IF((BP$11-FF145)&lt;'Rent Roll'!$K$13,0,'Rent Roll'!$B$13*'Rent Roll'!$D$13*(1+'Rent Roll'!$F$13)^INT((BP$11-FF145)/12)/12),0)</f>
        <v/>
      </c>
      <c r="BQ162" s="232">
        <f>IF(AND(BQ$11&gt;=FG145,BQ$11&lt;=FH145),IF((BQ$11-FG145)&lt;'Rent Roll'!$K$13,0,'Rent Roll'!$B$13*'Rent Roll'!$D$13*(1+'Rent Roll'!$F$13)^INT((BQ$11-FG145)/12)/12),0)</f>
        <v/>
      </c>
      <c r="BR162" s="232">
        <f>IF(AND(BR$11&gt;=FH145,BR$11&lt;=FI145),IF((BR$11-FH145)&lt;'Rent Roll'!$K$13,0,'Rent Roll'!$B$13*'Rent Roll'!$D$13*(1+'Rent Roll'!$F$13)^INT((BR$11-FH145)/12)/12),0)</f>
        <v/>
      </c>
      <c r="BS162" s="232">
        <f>IF(AND(BS$11&gt;=FI145,BS$11&lt;=FJ145),IF((BS$11-FI145)&lt;'Rent Roll'!$K$13,0,'Rent Roll'!$B$13*'Rent Roll'!$D$13*(1+'Rent Roll'!$F$13)^INT((BS$11-FI145)/12)/12),0)</f>
        <v/>
      </c>
      <c r="BT162" s="232">
        <f>IF(AND(BT$11&gt;=FJ145,BT$11&lt;=FK145),IF((BT$11-FJ145)&lt;'Rent Roll'!$K$13,0,'Rent Roll'!$B$13*'Rent Roll'!$D$13*(1+'Rent Roll'!$F$13)^INT((BT$11-FJ145)/12)/12),0)</f>
        <v/>
      </c>
      <c r="BU162" s="232">
        <f>IF(AND(BU$11&gt;=FK145,BU$11&lt;=FL145),IF((BU$11-FK145)&lt;'Rent Roll'!$K$13,0,'Rent Roll'!$B$13*'Rent Roll'!$D$13*(1+'Rent Roll'!$F$13)^INT((BU$11-FK145)/12)/12),0)</f>
        <v/>
      </c>
      <c r="BV162" s="232">
        <f>IF(AND(BV$11&gt;=FL145,BV$11&lt;=FM145),IF((BV$11-FL145)&lt;'Rent Roll'!$K$13,0,'Rent Roll'!$B$13*'Rent Roll'!$D$13*(1+'Rent Roll'!$F$13)^INT((BV$11-FL145)/12)/12),0)</f>
        <v/>
      </c>
      <c r="BW162" s="232">
        <f>IF(AND(BW$11&gt;=FM145,BW$11&lt;=FN145),IF((BW$11-FM145)&lt;'Rent Roll'!$K$13,0,'Rent Roll'!$B$13*'Rent Roll'!$D$13*(1+'Rent Roll'!$F$13)^INT((BW$11-FM145)/12)/12),0)</f>
        <v/>
      </c>
      <c r="BX162" s="232">
        <f>IF(AND(BX$11&gt;=FN145,BX$11&lt;=FO145),IF((BX$11-FN145)&lt;'Rent Roll'!$K$13,0,'Rent Roll'!$B$13*'Rent Roll'!$D$13*(1+'Rent Roll'!$F$13)^INT((BX$11-FN145)/12)/12),0)</f>
        <v/>
      </c>
      <c r="BY162" s="232">
        <f>IF(AND(BY$11&gt;=FO145,BY$11&lt;=FP145),IF((BY$11-FO145)&lt;'Rent Roll'!$K$13,0,'Rent Roll'!$B$13*'Rent Roll'!$D$13*(1+'Rent Roll'!$F$13)^INT((BY$11-FO145)/12)/12),0)</f>
        <v/>
      </c>
      <c r="BZ162" s="232">
        <f>IF(AND(BZ$11&gt;=FP145,BZ$11&lt;=FQ145),IF((BZ$11-FP145)&lt;'Rent Roll'!$K$13,0,'Rent Roll'!$B$13*'Rent Roll'!$D$13*(1+'Rent Roll'!$F$13)^INT((BZ$11-FP145)/12)/12),0)</f>
        <v/>
      </c>
      <c r="CA162" s="232">
        <f>IF(AND(CA$11&gt;=FQ145,CA$11&lt;=FR145),IF((CA$11-FQ145)&lt;'Rent Roll'!$K$13,0,'Rent Roll'!$B$13*'Rent Roll'!$D$13*(1+'Rent Roll'!$F$13)^INT((CA$11-FQ145)/12)/12),0)</f>
        <v/>
      </c>
      <c r="CB162" s="232">
        <f>IF(AND(CB$11&gt;=FR145,CB$11&lt;=FS145),IF((CB$11-FR145)&lt;'Rent Roll'!$K$13,0,'Rent Roll'!$B$13*'Rent Roll'!$D$13*(1+'Rent Roll'!$F$13)^INT((CB$11-FR145)/12)/12),0)</f>
        <v/>
      </c>
      <c r="CC162" s="232">
        <f>IF(AND(CC$11&gt;=FS145,CC$11&lt;=FT145),IF((CC$11-FS145)&lt;'Rent Roll'!$K$13,0,'Rent Roll'!$B$13*'Rent Roll'!$D$13*(1+'Rent Roll'!$F$13)^INT((CC$11-FS145)/12)/12),0)</f>
        <v/>
      </c>
      <c r="CD162" s="232">
        <f>IF(AND(CD$11&gt;=FT145,CD$11&lt;=FU145),IF((CD$11-FT145)&lt;'Rent Roll'!$K$13,0,'Rent Roll'!$B$13*'Rent Roll'!$D$13*(1+'Rent Roll'!$F$13)^INT((CD$11-FT145)/12)/12),0)</f>
        <v/>
      </c>
      <c r="CE162" s="232">
        <f>IF(AND(CE$11&gt;=FU145,CE$11&lt;=FV145),IF((CE$11-FU145)&lt;'Rent Roll'!$K$13,0,'Rent Roll'!$B$13*'Rent Roll'!$D$13*(1+'Rent Roll'!$F$13)^INT((CE$11-FU145)/12)/12),0)</f>
        <v/>
      </c>
      <c r="CF162" s="232">
        <f>IF(AND(CF$11&gt;=FV145,CF$11&lt;=FW145),IF((CF$11-FV145)&lt;'Rent Roll'!$K$13,0,'Rent Roll'!$B$13*'Rent Roll'!$D$13*(1+'Rent Roll'!$F$13)^INT((CF$11-FV145)/12)/12),0)</f>
        <v/>
      </c>
      <c r="CG162" s="232">
        <f>IF(AND(CG$11&gt;=FW145,CG$11&lt;=FX145),IF((CG$11-FW145)&lt;'Rent Roll'!$K$13,0,'Rent Roll'!$B$13*'Rent Roll'!$D$13*(1+'Rent Roll'!$F$13)^INT((CG$11-FW145)/12)/12),0)</f>
        <v/>
      </c>
      <c r="CH162" s="232">
        <f>IF(AND(CH$11&gt;=FX145,CH$11&lt;=FY145),IF((CH$11-FX145)&lt;'Rent Roll'!$K$13,0,'Rent Roll'!$B$13*'Rent Roll'!$D$13*(1+'Rent Roll'!$F$13)^INT((CH$11-FX145)/12)/12),0)</f>
        <v/>
      </c>
      <c r="CI162" s="232">
        <f>IF(AND(CI$11&gt;=FY145,CI$11&lt;=FZ145),IF((CI$11-FY145)&lt;'Rent Roll'!$K$13,0,'Rent Roll'!$B$13*'Rent Roll'!$D$13*(1+'Rent Roll'!$F$13)^INT((CI$11-FY145)/12)/12),0)</f>
        <v/>
      </c>
      <c r="CJ162" s="232">
        <f>IF(AND(CJ$11&gt;=FZ145,CJ$11&lt;=GA145),IF((CJ$11-FZ145)&lt;'Rent Roll'!$K$13,0,'Rent Roll'!$B$13*'Rent Roll'!$D$13*(1+'Rent Roll'!$F$13)^INT((CJ$11-FZ145)/12)/12),0)</f>
        <v/>
      </c>
      <c r="CK162" s="232">
        <f>IF(AND(CK$11&gt;=GA145,CK$11&lt;=GB145),IF((CK$11-GA145)&lt;'Rent Roll'!$K$13,0,'Rent Roll'!$B$13*'Rent Roll'!$D$13*(1+'Rent Roll'!$F$13)^INT((CK$11-GA145)/12)/12),0)</f>
        <v/>
      </c>
      <c r="CL162" s="232">
        <f>IF(AND(CL$11&gt;=GB145,CL$11&lt;=GC145),IF((CL$11-GB145)&lt;'Rent Roll'!$K$13,0,'Rent Roll'!$B$13*'Rent Roll'!$D$13*(1+'Rent Roll'!$F$13)^INT((CL$11-GB145)/12)/12),0)</f>
        <v/>
      </c>
      <c r="CM162" s="232">
        <f>IF(AND(CM$11&gt;=GC145,CM$11&lt;=GD145),IF((CM$11-GC145)&lt;'Rent Roll'!$K$13,0,'Rent Roll'!$B$13*'Rent Roll'!$D$13*(1+'Rent Roll'!$F$13)^INT((CM$11-GC145)/12)/12),0)</f>
        <v/>
      </c>
      <c r="CN162" s="232">
        <f>IF(AND(CN$11&gt;=GD145,CN$11&lt;=GE145),IF((CN$11-GD145)&lt;'Rent Roll'!$K$13,0,'Rent Roll'!$B$13*'Rent Roll'!$D$13*(1+'Rent Roll'!$F$13)^INT((CN$11-GD145)/12)/12),0)</f>
        <v/>
      </c>
      <c r="CO162" s="232">
        <f>IF(AND(CO$11&gt;=GE145,CO$11&lt;=GF145),IF((CO$11-GE145)&lt;'Rent Roll'!$K$13,0,'Rent Roll'!$B$13*'Rent Roll'!$D$13*(1+'Rent Roll'!$F$13)^INT((CO$11-GE145)/12)/12),0)</f>
        <v/>
      </c>
      <c r="CP162" s="232">
        <f>IF(AND(CP$11&gt;=GF145,CP$11&lt;=GG145),IF((CP$11-GF145)&lt;'Rent Roll'!$K$13,0,'Rent Roll'!$B$13*'Rent Roll'!$D$13*(1+'Rent Roll'!$F$13)^INT((CP$11-GF145)/12)/12),0)</f>
        <v/>
      </c>
      <c r="CQ162" s="232">
        <f>IF(AND(CQ$11&gt;=GG145,CQ$11&lt;=GH145),IF((CQ$11-GG145)&lt;'Rent Roll'!$K$13,0,'Rent Roll'!$B$13*'Rent Roll'!$D$13*(1+'Rent Roll'!$F$13)^INT((CQ$11-GG145)/12)/12),0)</f>
        <v/>
      </c>
      <c r="CR162" s="232">
        <f>IF(AND(CR$11&gt;=GH145,CR$11&lt;=GI145),IF((CR$11-GH145)&lt;'Rent Roll'!$K$13,0,'Rent Roll'!$B$13*'Rent Roll'!$D$13*(1+'Rent Roll'!$F$13)^INT((CR$11-GH145)/12)/12),0)</f>
        <v/>
      </c>
      <c r="CS162" s="232">
        <f>IF(AND(CS$11&gt;=GI145,CS$11&lt;=GJ145),IF((CS$11-GI145)&lt;'Rent Roll'!$K$13,0,'Rent Roll'!$B$13*'Rent Roll'!$D$13*(1+'Rent Roll'!$F$13)^INT((CS$11-GI145)/12)/12),0)</f>
        <v/>
      </c>
      <c r="CT162" s="232">
        <f>IF(AND(CT$11&gt;=GJ145,CT$11&lt;=GK145),IF((CT$11-GJ145)&lt;'Rent Roll'!$K$13,0,'Rent Roll'!$B$13*'Rent Roll'!$D$13*(1+'Rent Roll'!$F$13)^INT((CT$11-GJ145)/12)/12),0)</f>
        <v/>
      </c>
      <c r="CU162" s="232">
        <f>IF(AND(CU$11&gt;=GK145,CU$11&lt;=GL145),IF((CU$11-GK145)&lt;'Rent Roll'!$K$13,0,'Rent Roll'!$B$13*'Rent Roll'!$D$13*(1+'Rent Roll'!$F$13)^INT((CU$11-GK145)/12)/12),0)</f>
        <v/>
      </c>
      <c r="CV162" s="232">
        <f>IF(AND(CV$11&gt;=GL145,CV$11&lt;=GM145),IF((CV$11-GL145)&lt;'Rent Roll'!$K$13,0,'Rent Roll'!$B$13*'Rent Roll'!$D$13*(1+'Rent Roll'!$F$13)^INT((CV$11-GL145)/12)/12),0)</f>
        <v/>
      </c>
      <c r="CW162" s="232">
        <f>IF(AND(CW$11&gt;=GM145,CW$11&lt;=GN145),IF((CW$11-GM145)&lt;'Rent Roll'!$K$13,0,'Rent Roll'!$B$13*'Rent Roll'!$D$13*(1+'Rent Roll'!$F$13)^INT((CW$11-GM145)/12)/12),0)</f>
        <v/>
      </c>
      <c r="CX162" s="232">
        <f>IF(AND(CX$11&gt;=GN145,CX$11&lt;=GO145),IF((CX$11-GN145)&lt;'Rent Roll'!$K$13,0,'Rent Roll'!$B$13*'Rent Roll'!$D$13*(1+'Rent Roll'!$F$13)^INT((CX$11-GN145)/12)/12),0)</f>
        <v/>
      </c>
      <c r="CY162" s="232">
        <f>IF(AND(CY$11&gt;=GO145,CY$11&lt;=GP145),IF((CY$11-GO145)&lt;'Rent Roll'!$K$13,0,'Rent Roll'!$B$13*'Rent Roll'!$D$13*(1+'Rent Roll'!$F$13)^INT((CY$11-GO145)/12)/12),0)</f>
        <v/>
      </c>
      <c r="CZ162" s="232">
        <f>IF(AND(CZ$11&gt;=GP145,CZ$11&lt;=GQ145),IF((CZ$11-GP145)&lt;'Rent Roll'!$K$13,0,'Rent Roll'!$B$13*'Rent Roll'!$D$13*(1+'Rent Roll'!$F$13)^INT((CZ$11-GP145)/12)/12),0)</f>
        <v/>
      </c>
      <c r="DA162" s="232">
        <f>IF(AND(DA$11&gt;=GQ145,DA$11&lt;=GR145),IF((DA$11-GQ145)&lt;'Rent Roll'!$K$13,0,'Rent Roll'!$B$13*'Rent Roll'!$D$13*(1+'Rent Roll'!$F$13)^INT((DA$11-GQ145)/12)/12),0)</f>
        <v/>
      </c>
      <c r="DB162" s="232">
        <f>IF(AND(DB$11&gt;=GR145,DB$11&lt;=GS145),IF((DB$11-GR145)&lt;'Rent Roll'!$K$13,0,'Rent Roll'!$B$13*'Rent Roll'!$D$13*(1+'Rent Roll'!$F$13)^INT((DB$11-GR145)/12)/12),0)</f>
        <v/>
      </c>
      <c r="DC162" s="232">
        <f>IF(AND(DC$11&gt;=GS145,DC$11&lt;=GT145),IF((DC$11-GS145)&lt;'Rent Roll'!$K$13,0,'Rent Roll'!$B$13*'Rent Roll'!$D$13*(1+'Rent Roll'!$F$13)^INT((DC$11-GS145)/12)/12),0)</f>
        <v/>
      </c>
      <c r="DD162" s="232">
        <f>IF(AND(DD$11&gt;=GT145,DD$11&lt;=GU145),IF((DD$11-GT145)&lt;'Rent Roll'!$K$13,0,'Rent Roll'!$B$13*'Rent Roll'!$D$13*(1+'Rent Roll'!$F$13)^INT((DD$11-GT145)/12)/12),0)</f>
        <v/>
      </c>
      <c r="DE162" s="232">
        <f>IF(AND(DE$11&gt;=GU145,DE$11&lt;=GV145),IF((DE$11-GU145)&lt;'Rent Roll'!$K$13,0,'Rent Roll'!$B$13*'Rent Roll'!$D$13*(1+'Rent Roll'!$F$13)^INT((DE$11-GU145)/12)/12),0)</f>
        <v/>
      </c>
      <c r="DF162" s="232">
        <f>IF(AND(DF$11&gt;=GV145,DF$11&lt;=GW145),IF((DF$11-GV145)&lt;'Rent Roll'!$K$13,0,'Rent Roll'!$B$13*'Rent Roll'!$D$13*(1+'Rent Roll'!$F$13)^INT((DF$11-GV145)/12)/12),0)</f>
        <v/>
      </c>
      <c r="DG162" s="232">
        <f>IF(AND(DG$11&gt;=GW145,DG$11&lt;=GX145),IF((DG$11-GW145)&lt;'Rent Roll'!$K$13,0,'Rent Roll'!$B$13*'Rent Roll'!$D$13*(1+'Rent Roll'!$F$13)^INT((DG$11-GW145)/12)/12),0)</f>
        <v/>
      </c>
      <c r="DH162" s="232">
        <f>IF(AND(DH$11&gt;=GX145,DH$11&lt;=GY145),IF((DH$11-GX145)&lt;'Rent Roll'!$K$13,0,'Rent Roll'!$B$13*'Rent Roll'!$D$13*(1+'Rent Roll'!$F$13)^INT((DH$11-GX145)/12)/12),0)</f>
        <v/>
      </c>
      <c r="DI162" s="232">
        <f>IF(AND(DI$11&gt;=GY145,DI$11&lt;=GZ145),IF((DI$11-GY145)&lt;'Rent Roll'!$K$13,0,'Rent Roll'!$B$13*'Rent Roll'!$D$13*(1+'Rent Roll'!$F$13)^INT((DI$11-GY145)/12)/12),0)</f>
        <v/>
      </c>
      <c r="DJ162" s="232">
        <f>IF(AND(DJ$11&gt;=GZ145,DJ$11&lt;=HA145),IF((DJ$11-GZ145)&lt;'Rent Roll'!$K$13,0,'Rent Roll'!$B$13*'Rent Roll'!$D$13*(1+'Rent Roll'!$F$13)^INT((DJ$11-GZ145)/12)/12),0)</f>
        <v/>
      </c>
      <c r="DK162" s="232">
        <f>IF(AND(DK$11&gt;=HA145,DK$11&lt;=HB145),IF((DK$11-HA145)&lt;'Rent Roll'!$K$13,0,'Rent Roll'!$B$13*'Rent Roll'!$D$13*(1+'Rent Roll'!$F$13)^INT((DK$11-HA145)/12)/12),0)</f>
        <v/>
      </c>
      <c r="DL162" s="232">
        <f>IF(AND(DL$11&gt;=HB145,DL$11&lt;=HC145),IF((DL$11-HB145)&lt;'Rent Roll'!$K$13,0,'Rent Roll'!$B$13*'Rent Roll'!$D$13*(1+'Rent Roll'!$F$13)^INT((DL$11-HB145)/12)/12),0)</f>
        <v/>
      </c>
      <c r="DM162" s="232">
        <f>IF(AND(DM$11&gt;=HC145,DM$11&lt;=HD145),IF((DM$11-HC145)&lt;'Rent Roll'!$K$13,0,'Rent Roll'!$B$13*'Rent Roll'!$D$13*(1+'Rent Roll'!$F$13)^INT((DM$11-HC145)/12)/12),0)</f>
        <v/>
      </c>
      <c r="DN162" s="232">
        <f>IF(AND(DN$11&gt;=HD145,DN$11&lt;=HE145),IF((DN$11-HD145)&lt;'Rent Roll'!$K$13,0,'Rent Roll'!$B$13*'Rent Roll'!$D$13*(1+'Rent Roll'!$F$13)^INT((DN$11-HD145)/12)/12),0)</f>
        <v/>
      </c>
      <c r="DO162" s="232">
        <f>IF(AND(DO$11&gt;=HE145,DO$11&lt;=HF145),IF((DO$11-HE145)&lt;'Rent Roll'!$K$13,0,'Rent Roll'!$B$13*'Rent Roll'!$D$13*(1+'Rent Roll'!$F$13)^INT((DO$11-HE145)/12)/12),0)</f>
        <v/>
      </c>
      <c r="DP162" s="232">
        <f>IF(AND(DP$11&gt;=HF145,DP$11&lt;=HG145),IF((DP$11-HF145)&lt;'Rent Roll'!$K$13,0,'Rent Roll'!$B$13*'Rent Roll'!$D$13*(1+'Rent Roll'!$F$13)^INT((DP$11-HF145)/12)/12),0)</f>
        <v/>
      </c>
      <c r="DQ162" s="232">
        <f>IF(AND(DQ$11&gt;=HG145,DQ$11&lt;=HH145),IF((DQ$11-HG145)&lt;'Rent Roll'!$K$13,0,'Rent Roll'!$B$13*'Rent Roll'!$D$13*(1+'Rent Roll'!$F$13)^INT((DQ$11-HG145)/12)/12),0)</f>
        <v/>
      </c>
      <c r="DR162" s="232">
        <f>IF(AND(DR$11&gt;=HH145,DR$11&lt;=HI145),IF((DR$11-HH145)&lt;'Rent Roll'!$K$13,0,'Rent Roll'!$B$13*'Rent Roll'!$D$13*(1+'Rent Roll'!$F$13)^INT((DR$11-HH145)/12)/12),0)</f>
        <v/>
      </c>
      <c r="DS162" s="232">
        <f>IF(AND(DS$11&gt;=HI145,DS$11&lt;=HJ145),IF((DS$11-HI145)&lt;'Rent Roll'!$K$13,0,'Rent Roll'!$B$13*'Rent Roll'!$D$13*(1+'Rent Roll'!$F$13)^INT((DS$11-HI145)/12)/12),0)</f>
        <v/>
      </c>
      <c r="DT162" s="232">
        <f>IF(AND(DT$11&gt;=HJ145,DT$11&lt;=HK145),IF((DT$11-HJ145)&lt;'Rent Roll'!$K$13,0,'Rent Roll'!$B$13*'Rent Roll'!$D$13*(1+'Rent Roll'!$F$13)^INT((DT$11-HJ145)/12)/12),0)</f>
        <v/>
      </c>
      <c r="DV162">
        <f>DV145&amp;" Rent"</f>
        <v/>
      </c>
    </row>
    <row r="163" ht="15" customHeight="1" s="148">
      <c r="D163" s="127">
        <f>IF(AND(D$11&gt;=FB145,D$11&lt;=FC145),'Rent Roll'!$B$13,0)</f>
        <v/>
      </c>
      <c r="E163" s="127">
        <f>IF(AND(E$11&gt;=FB145,E$11&lt;=FC145),'Rent Roll'!$B$13,0)</f>
        <v/>
      </c>
      <c r="F163" s="127">
        <f>IF(AND(F$11&gt;=FB145,F$11&lt;=FC145),'Rent Roll'!$B$13,0)</f>
        <v/>
      </c>
      <c r="G163" s="127">
        <f>IF(AND(G$11&gt;=FB145,G$11&lt;=FC145),'Rent Roll'!$B$13,0)</f>
        <v/>
      </c>
      <c r="H163" s="127">
        <f>IF(AND(H$11&gt;=FB145,H$11&lt;=FC145),'Rent Roll'!$B$13,0)</f>
        <v/>
      </c>
      <c r="I163" s="127">
        <f>IF(AND(I$11&gt;=FB145,I$11&lt;=FC145),'Rent Roll'!$B$13,0)</f>
        <v/>
      </c>
      <c r="J163" s="127">
        <f>IF(AND(J$11&gt;=FB145,J$11&lt;=FC145),'Rent Roll'!$B$13,0)</f>
        <v/>
      </c>
      <c r="K163" s="127">
        <f>IF(AND(K$11&gt;=FB145,K$11&lt;=FC145),'Rent Roll'!$B$13,0)</f>
        <v/>
      </c>
      <c r="L163" s="127">
        <f>IF(AND(L$11&gt;=FB145,L$11&lt;=FC145),'Rent Roll'!$B$13,0)</f>
        <v/>
      </c>
      <c r="M163" s="127">
        <f>IF(AND(M$11&gt;=FB145,M$11&lt;=FC145),'Rent Roll'!$B$13,0)</f>
        <v/>
      </c>
      <c r="N163" s="127">
        <f>IF(AND(N$11&gt;=FB145,N$11&lt;=FC145),'Rent Roll'!$B$13,0)</f>
        <v/>
      </c>
      <c r="O163" s="127">
        <f>IF(AND(O$11&gt;=FB145,O$11&lt;=FC145),'Rent Roll'!$B$13,0)</f>
        <v/>
      </c>
      <c r="P163" s="127">
        <f>IF(AND(P$11&gt;=FB145,P$11&lt;=FC145),'Rent Roll'!$B$13,0)</f>
        <v/>
      </c>
      <c r="Q163" s="127">
        <f>IF(AND(Q$11&gt;=FB145,Q$11&lt;=FC145),'Rent Roll'!$B$13,0)</f>
        <v/>
      </c>
      <c r="R163" s="127">
        <f>IF(AND(R$11&gt;=FB145,R$11&lt;=FC145),'Rent Roll'!$B$13,0)</f>
        <v/>
      </c>
      <c r="S163" s="127">
        <f>IF(AND(S$11&gt;=FB145,S$11&lt;=FC145),'Rent Roll'!$B$13,0)</f>
        <v/>
      </c>
      <c r="T163" s="127">
        <f>IF(AND(T$11&gt;=FB145,T$11&lt;=FC145),'Rent Roll'!$B$13,0)</f>
        <v/>
      </c>
      <c r="U163" s="127">
        <f>IF(AND(U$11&gt;=FB145,U$11&lt;=FC145),'Rent Roll'!$B$13,0)</f>
        <v/>
      </c>
      <c r="V163" s="127">
        <f>IF(AND(V$11&gt;=FB145,V$11&lt;=FC145),'Rent Roll'!$B$13,0)</f>
        <v/>
      </c>
      <c r="W163" s="127">
        <f>IF(AND(W$11&gt;=FB145,W$11&lt;=FC145),'Rent Roll'!$B$13,0)</f>
        <v/>
      </c>
      <c r="X163" s="127">
        <f>IF(AND(X$11&gt;=FB145,X$11&lt;=FC145),'Rent Roll'!$B$13,0)</f>
        <v/>
      </c>
      <c r="Y163" s="127">
        <f>IF(AND(Y$11&gt;=FB145,Y$11&lt;=FC145),'Rent Roll'!$B$13,0)</f>
        <v/>
      </c>
      <c r="Z163" s="127">
        <f>IF(AND(Z$11&gt;=FB145,Z$11&lt;=FC145),'Rent Roll'!$B$13,0)</f>
        <v/>
      </c>
      <c r="AA163" s="127">
        <f>IF(AND(AA$11&gt;=FB145,AA$11&lt;=FC145),'Rent Roll'!$B$13,0)</f>
        <v/>
      </c>
      <c r="AB163" s="127">
        <f>IF(AND(AB$11&gt;=FB145,AB$11&lt;=FC145),'Rent Roll'!$B$13,0)</f>
        <v/>
      </c>
      <c r="AC163" s="127">
        <f>IF(AND(AC$11&gt;=FB145,AC$11&lt;=FC145),'Rent Roll'!$B$13,0)</f>
        <v/>
      </c>
      <c r="AD163" s="127">
        <f>IF(AND(AD$11&gt;=FB145,AD$11&lt;=FC145),'Rent Roll'!$B$13,0)</f>
        <v/>
      </c>
      <c r="AE163" s="127">
        <f>IF(AND(AE$11&gt;=FB145,AE$11&lt;=FC145),'Rent Roll'!$B$13,0)</f>
        <v/>
      </c>
      <c r="AF163" s="127">
        <f>IF(AND(AF$11&gt;=FB145,AF$11&lt;=FC145),'Rent Roll'!$B$13,0)</f>
        <v/>
      </c>
      <c r="AG163" s="127">
        <f>IF(AND(AG$11&gt;=FB145,AG$11&lt;=FC145),'Rent Roll'!$B$13,0)</f>
        <v/>
      </c>
      <c r="AH163" s="127">
        <f>IF(AND(AH$11&gt;=FB145,AH$11&lt;=FC145),'Rent Roll'!$B$13,0)</f>
        <v/>
      </c>
      <c r="AI163" s="127">
        <f>IF(AND(AI$11&gt;=FB145,AI$11&lt;=FC145),'Rent Roll'!$B$13,0)</f>
        <v/>
      </c>
      <c r="AJ163" s="127">
        <f>IF(AND(AJ$11&gt;=FB145,AJ$11&lt;=FC145),'Rent Roll'!$B$13,0)</f>
        <v/>
      </c>
      <c r="AK163" s="127">
        <f>IF(AND(AK$11&gt;=FB145,AK$11&lt;=FC145),'Rent Roll'!$B$13,0)</f>
        <v/>
      </c>
      <c r="AL163" s="127">
        <f>IF(AND(AL$11&gt;=FB145,AL$11&lt;=FC145),'Rent Roll'!$B$13,0)</f>
        <v/>
      </c>
      <c r="AM163" s="127">
        <f>IF(AND(AM$11&gt;=FB145,AM$11&lt;=FC145),'Rent Roll'!$B$13,0)</f>
        <v/>
      </c>
      <c r="AN163" s="127">
        <f>IF(AND(AN$11&gt;=FB145,AN$11&lt;=FC145),'Rent Roll'!$B$13,0)</f>
        <v/>
      </c>
      <c r="AO163" s="127">
        <f>IF(AND(AO$11&gt;=FB145,AO$11&lt;=FC145),'Rent Roll'!$B$13,0)</f>
        <v/>
      </c>
      <c r="AP163" s="127">
        <f>IF(AND(AP$11&gt;=FB145,AP$11&lt;=FC145),'Rent Roll'!$B$13,0)</f>
        <v/>
      </c>
      <c r="AQ163" s="127">
        <f>IF(AND(AQ$11&gt;=FB145,AQ$11&lt;=FC145),'Rent Roll'!$B$13,0)</f>
        <v/>
      </c>
      <c r="AR163" s="127">
        <f>IF(AND(AR$11&gt;=FB145,AR$11&lt;=FC145),'Rent Roll'!$B$13,0)</f>
        <v/>
      </c>
      <c r="AS163" s="127">
        <f>IF(AND(AS$11&gt;=FB145,AS$11&lt;=FC145),'Rent Roll'!$B$13,0)</f>
        <v/>
      </c>
      <c r="AT163" s="127">
        <f>IF(AND(AT$11&gt;=FB145,AT$11&lt;=FC145),'Rent Roll'!$B$13,0)</f>
        <v/>
      </c>
      <c r="AU163" s="127">
        <f>IF(AND(AU$11&gt;=FB145,AU$11&lt;=FC145),'Rent Roll'!$B$13,0)</f>
        <v/>
      </c>
      <c r="AV163" s="127">
        <f>IF(AND(AV$11&gt;=FB145,AV$11&lt;=FC145),'Rent Roll'!$B$13,0)</f>
        <v/>
      </c>
      <c r="AW163" s="127">
        <f>IF(AND(AW$11&gt;=FB145,AW$11&lt;=FC145),'Rent Roll'!$B$13,0)</f>
        <v/>
      </c>
      <c r="AX163" s="127">
        <f>IF(AND(AX$11&gt;=FB145,AX$11&lt;=FC145),'Rent Roll'!$B$13,0)</f>
        <v/>
      </c>
      <c r="AY163" s="127">
        <f>IF(AND(AY$11&gt;=FB145,AY$11&lt;=FC145),'Rent Roll'!$B$13,0)</f>
        <v/>
      </c>
      <c r="AZ163" s="127">
        <f>IF(AND(AZ$11&gt;=FB145,AZ$11&lt;=FC145),'Rent Roll'!$B$13,0)</f>
        <v/>
      </c>
      <c r="BA163" s="127">
        <f>IF(AND(BA$11&gt;=FB145,BA$11&lt;=FC145),'Rent Roll'!$B$13,0)</f>
        <v/>
      </c>
      <c r="BB163" s="127">
        <f>IF(AND(BB$11&gt;=FB145,BB$11&lt;=FC145),'Rent Roll'!$B$13,0)</f>
        <v/>
      </c>
      <c r="BC163" s="127">
        <f>IF(AND(BC$11&gt;=FB145,BC$11&lt;=FC145),'Rent Roll'!$B$13,0)</f>
        <v/>
      </c>
      <c r="BD163" s="127">
        <f>IF(AND(BD$11&gt;=FB145,BD$11&lt;=FC145),'Rent Roll'!$B$13,0)</f>
        <v/>
      </c>
      <c r="BE163" s="127">
        <f>IF(AND(BE$11&gt;=FB145,BE$11&lt;=FC145),'Rent Roll'!$B$13,0)</f>
        <v/>
      </c>
      <c r="BF163" s="127">
        <f>IF(AND(BF$11&gt;=FB145,BF$11&lt;=FC145),'Rent Roll'!$B$13,0)</f>
        <v/>
      </c>
      <c r="BG163" s="127">
        <f>IF(AND(BG$11&gt;=FB145,BG$11&lt;=FC145),'Rent Roll'!$B$13,0)</f>
        <v/>
      </c>
      <c r="BH163" s="127">
        <f>IF(AND(BH$11&gt;=FB145,BH$11&lt;=FC145),'Rent Roll'!$B$13,0)</f>
        <v/>
      </c>
      <c r="BI163" s="127">
        <f>IF(AND(BI$11&gt;=FB145,BI$11&lt;=FC145),'Rent Roll'!$B$13,0)</f>
        <v/>
      </c>
      <c r="BJ163" s="127">
        <f>IF(AND(BJ$11&gt;=FB145,BJ$11&lt;=FC145),'Rent Roll'!$B$13,0)</f>
        <v/>
      </c>
      <c r="BK163" s="127">
        <f>IF(AND(BK$11&gt;=FB145,BK$11&lt;=FC145),'Rent Roll'!$B$13,0)</f>
        <v/>
      </c>
      <c r="BL163" s="127">
        <f>IF(AND(BL$11&gt;=FB145,BL$11&lt;=FC145),'Rent Roll'!$B$13,0)</f>
        <v/>
      </c>
      <c r="BM163" s="127">
        <f>IF(AND(BM$11&gt;=FC145,BM$11&lt;=FD145),'Rent Roll'!$B$13,0)</f>
        <v/>
      </c>
      <c r="BN163" s="127">
        <f>IF(AND(BN$11&gt;=FD145,BN$11&lt;=FE145),'Rent Roll'!$B$13,0)</f>
        <v/>
      </c>
      <c r="BO163" s="127">
        <f>IF(AND(BO$11&gt;=FE145,BO$11&lt;=FF145),'Rent Roll'!$B$13,0)</f>
        <v/>
      </c>
      <c r="BP163" s="127">
        <f>IF(AND(BP$11&gt;=FF145,BP$11&lt;=FG145),'Rent Roll'!$B$13,0)</f>
        <v/>
      </c>
      <c r="BQ163" s="127">
        <f>IF(AND(BQ$11&gt;=FG145,BQ$11&lt;=FH145),'Rent Roll'!$B$13,0)</f>
        <v/>
      </c>
      <c r="BR163" s="127">
        <f>IF(AND(BR$11&gt;=FH145,BR$11&lt;=FI145),'Rent Roll'!$B$13,0)</f>
        <v/>
      </c>
      <c r="BS163" s="127">
        <f>IF(AND(BS$11&gt;=FI145,BS$11&lt;=FJ145),'Rent Roll'!$B$13,0)</f>
        <v/>
      </c>
      <c r="BT163" s="127">
        <f>IF(AND(BT$11&gt;=FJ145,BT$11&lt;=FK145),'Rent Roll'!$B$13,0)</f>
        <v/>
      </c>
      <c r="BU163" s="127">
        <f>IF(AND(BU$11&gt;=FK145,BU$11&lt;=FL145),'Rent Roll'!$B$13,0)</f>
        <v/>
      </c>
      <c r="BV163" s="127">
        <f>IF(AND(BV$11&gt;=FL145,BV$11&lt;=FM145),'Rent Roll'!$B$13,0)</f>
        <v/>
      </c>
      <c r="BW163" s="127">
        <f>IF(AND(BW$11&gt;=FM145,BW$11&lt;=FN145),'Rent Roll'!$B$13,0)</f>
        <v/>
      </c>
      <c r="BX163" s="127">
        <f>IF(AND(BX$11&gt;=FN145,BX$11&lt;=FO145),'Rent Roll'!$B$13,0)</f>
        <v/>
      </c>
      <c r="BY163" s="127">
        <f>IF(AND(BY$11&gt;=FO145,BY$11&lt;=FP145),'Rent Roll'!$B$13,0)</f>
        <v/>
      </c>
      <c r="BZ163" s="127">
        <f>IF(AND(BZ$11&gt;=FP145,BZ$11&lt;=FQ145),'Rent Roll'!$B$13,0)</f>
        <v/>
      </c>
      <c r="CA163" s="127">
        <f>IF(AND(CA$11&gt;=FQ145,CA$11&lt;=FR145),'Rent Roll'!$B$13,0)</f>
        <v/>
      </c>
      <c r="CB163" s="127">
        <f>IF(AND(CB$11&gt;=FR145,CB$11&lt;=FS145),'Rent Roll'!$B$13,0)</f>
        <v/>
      </c>
      <c r="CC163" s="127">
        <f>IF(AND(CC$11&gt;=FS145,CC$11&lt;=FT145),'Rent Roll'!$B$13,0)</f>
        <v/>
      </c>
      <c r="CD163" s="127">
        <f>IF(AND(CD$11&gt;=FT145,CD$11&lt;=FU145),'Rent Roll'!$B$13,0)</f>
        <v/>
      </c>
      <c r="CE163" s="127">
        <f>IF(AND(CE$11&gt;=FU145,CE$11&lt;=FV145),'Rent Roll'!$B$13,0)</f>
        <v/>
      </c>
      <c r="CF163" s="127">
        <f>IF(AND(CF$11&gt;=FV145,CF$11&lt;=FW145),'Rent Roll'!$B$13,0)</f>
        <v/>
      </c>
      <c r="CG163" s="127">
        <f>IF(AND(CG$11&gt;=FW145,CG$11&lt;=FX145),'Rent Roll'!$B$13,0)</f>
        <v/>
      </c>
      <c r="CH163" s="127">
        <f>IF(AND(CH$11&gt;=FX145,CH$11&lt;=FY145),'Rent Roll'!$B$13,0)</f>
        <v/>
      </c>
      <c r="CI163" s="127">
        <f>IF(AND(CI$11&gt;=FY145,CI$11&lt;=FZ145),'Rent Roll'!$B$13,0)</f>
        <v/>
      </c>
      <c r="CJ163" s="127">
        <f>IF(AND(CJ$11&gt;=FZ145,CJ$11&lt;=GA145),'Rent Roll'!$B$13,0)</f>
        <v/>
      </c>
      <c r="CK163" s="127">
        <f>IF(AND(CK$11&gt;=GA145,CK$11&lt;=GB145),'Rent Roll'!$B$13,0)</f>
        <v/>
      </c>
      <c r="CL163" s="127">
        <f>IF(AND(CL$11&gt;=GB145,CL$11&lt;=GC145),'Rent Roll'!$B$13,0)</f>
        <v/>
      </c>
      <c r="CM163" s="127">
        <f>IF(AND(CM$11&gt;=GC145,CM$11&lt;=GD145),'Rent Roll'!$B$13,0)</f>
        <v/>
      </c>
      <c r="CN163" s="127">
        <f>IF(AND(CN$11&gt;=GD145,CN$11&lt;=GE145),'Rent Roll'!$B$13,0)</f>
        <v/>
      </c>
      <c r="CO163" s="127">
        <f>IF(AND(CO$11&gt;=GE145,CO$11&lt;=GF145),'Rent Roll'!$B$13,0)</f>
        <v/>
      </c>
      <c r="CP163" s="127">
        <f>IF(AND(CP$11&gt;=GF145,CP$11&lt;=GG145),'Rent Roll'!$B$13,0)</f>
        <v/>
      </c>
      <c r="CQ163" s="127">
        <f>IF(AND(CQ$11&gt;=GG145,CQ$11&lt;=GH145),'Rent Roll'!$B$13,0)</f>
        <v/>
      </c>
      <c r="CR163" s="127">
        <f>IF(AND(CR$11&gt;=GH145,CR$11&lt;=GI145),'Rent Roll'!$B$13,0)</f>
        <v/>
      </c>
      <c r="CS163" s="127">
        <f>IF(AND(CS$11&gt;=GI145,CS$11&lt;=GJ145),'Rent Roll'!$B$13,0)</f>
        <v/>
      </c>
      <c r="CT163" s="127">
        <f>IF(AND(CT$11&gt;=GJ145,CT$11&lt;=GK145),'Rent Roll'!$B$13,0)</f>
        <v/>
      </c>
      <c r="CU163" s="127">
        <f>IF(AND(CU$11&gt;=GK145,CU$11&lt;=GL145),'Rent Roll'!$B$13,0)</f>
        <v/>
      </c>
      <c r="CV163" s="127">
        <f>IF(AND(CV$11&gt;=GL145,CV$11&lt;=GM145),'Rent Roll'!$B$13,0)</f>
        <v/>
      </c>
      <c r="CW163" s="127">
        <f>IF(AND(CW$11&gt;=GM145,CW$11&lt;=GN145),'Rent Roll'!$B$13,0)</f>
        <v/>
      </c>
      <c r="CX163" s="127">
        <f>IF(AND(CX$11&gt;=GN145,CX$11&lt;=GO145),'Rent Roll'!$B$13,0)</f>
        <v/>
      </c>
      <c r="CY163" s="127">
        <f>IF(AND(CY$11&gt;=GO145,CY$11&lt;=GP145),'Rent Roll'!$B$13,0)</f>
        <v/>
      </c>
      <c r="CZ163" s="127">
        <f>IF(AND(CZ$11&gt;=GP145,CZ$11&lt;=GQ145),'Rent Roll'!$B$13,0)</f>
        <v/>
      </c>
      <c r="DA163" s="127">
        <f>IF(AND(DA$11&gt;=GQ145,DA$11&lt;=GR145),'Rent Roll'!$B$13,0)</f>
        <v/>
      </c>
      <c r="DB163" s="127">
        <f>IF(AND(DB$11&gt;=GR145,DB$11&lt;=GS145),'Rent Roll'!$B$13,0)</f>
        <v/>
      </c>
      <c r="DC163" s="127">
        <f>IF(AND(DC$11&gt;=GS145,DC$11&lt;=GT145),'Rent Roll'!$B$13,0)</f>
        <v/>
      </c>
      <c r="DD163" s="127">
        <f>IF(AND(DD$11&gt;=GT145,DD$11&lt;=GU145),'Rent Roll'!$B$13,0)</f>
        <v/>
      </c>
      <c r="DE163" s="127">
        <f>IF(AND(DE$11&gt;=GU145,DE$11&lt;=GV145),'Rent Roll'!$B$13,0)</f>
        <v/>
      </c>
      <c r="DF163" s="127">
        <f>IF(AND(DF$11&gt;=GV145,DF$11&lt;=GW145),'Rent Roll'!$B$13,0)</f>
        <v/>
      </c>
      <c r="DG163" s="127">
        <f>IF(AND(DG$11&gt;=GW145,DG$11&lt;=GX145),'Rent Roll'!$B$13,0)</f>
        <v/>
      </c>
      <c r="DH163" s="127">
        <f>IF(AND(DH$11&gt;=GX145,DH$11&lt;=GY145),'Rent Roll'!$B$13,0)</f>
        <v/>
      </c>
      <c r="DI163" s="127">
        <f>IF(AND(DI$11&gt;=GY145,DI$11&lt;=GZ145),'Rent Roll'!$B$13,0)</f>
        <v/>
      </c>
      <c r="DJ163" s="127">
        <f>IF(AND(DJ$11&gt;=GZ145,DJ$11&lt;=HA145),'Rent Roll'!$B$13,0)</f>
        <v/>
      </c>
      <c r="DK163" s="127">
        <f>IF(AND(DK$11&gt;=HA145,DK$11&lt;=HB145),'Rent Roll'!$B$13,0)</f>
        <v/>
      </c>
      <c r="DL163" s="127">
        <f>IF(AND(DL$11&gt;=HB145,DL$11&lt;=HC145),'Rent Roll'!$B$13,0)</f>
        <v/>
      </c>
      <c r="DM163" s="127">
        <f>IF(AND(DM$11&gt;=HC145,DM$11&lt;=HD145),'Rent Roll'!$B$13,0)</f>
        <v/>
      </c>
      <c r="DN163" s="127">
        <f>IF(AND(DN$11&gt;=HD145,DN$11&lt;=HE145),'Rent Roll'!$B$13,0)</f>
        <v/>
      </c>
      <c r="DO163" s="127">
        <f>IF(AND(DO$11&gt;=HE145,DO$11&lt;=HF145),'Rent Roll'!$B$13,0)</f>
        <v/>
      </c>
      <c r="DP163" s="127">
        <f>IF(AND(DP$11&gt;=HF145,DP$11&lt;=HG145),'Rent Roll'!$B$13,0)</f>
        <v/>
      </c>
      <c r="DQ163" s="127">
        <f>IF(AND(DQ$11&gt;=HG145,DQ$11&lt;=HH145),'Rent Roll'!$B$13,0)</f>
        <v/>
      </c>
      <c r="DR163" s="127">
        <f>IF(AND(DR$11&gt;=HH145,DR$11&lt;=HI145),'Rent Roll'!$B$13,0)</f>
        <v/>
      </c>
      <c r="DS163" s="127">
        <f>IF(AND(DS$11&gt;=HI145,DS$11&lt;=HJ145),'Rent Roll'!$B$13,0)</f>
        <v/>
      </c>
      <c r="DT163" s="127">
        <f>IF(AND(DT$11&gt;=HJ145,DT$11&lt;=HK145),'Rent Roll'!$B$13,0)</f>
        <v/>
      </c>
      <c r="DV163">
        <f>DV145&amp;" ActiveSF"</f>
        <v/>
      </c>
    </row>
    <row r="164" ht="15" customHeight="1" s="148">
      <c r="D164" s="232">
        <f>IF(AND(D$11&gt;=FB146,D$11&lt;=FC146),IF((D$11-FB146)&lt;'Rent Roll'!$K$36,0,'Rent Roll'!$B$36*'Rent Roll'!$D$36*(1+'Rent Roll'!$F$36)^INT((D$11-FB146)/12)/12),0)</f>
        <v/>
      </c>
      <c r="E164" s="232">
        <f>IF(AND(E$11&gt;=FB146,E$11&lt;=FC146),IF((E$11-FB146)&lt;'Rent Roll'!$K$36,0,'Rent Roll'!$B$36*'Rent Roll'!$D$36*(1+'Rent Roll'!$F$36)^INT((E$11-FB146)/12)/12),0)</f>
        <v/>
      </c>
      <c r="F164" s="232">
        <f>IF(AND(F$11&gt;=FB146,F$11&lt;=FC146),IF((F$11-FB146)&lt;'Rent Roll'!$K$36,0,'Rent Roll'!$B$36*'Rent Roll'!$D$36*(1+'Rent Roll'!$F$36)^INT((F$11-FB146)/12)/12),0)</f>
        <v/>
      </c>
      <c r="G164" s="232">
        <f>IF(AND(G$11&gt;=FB146,G$11&lt;=FC146),IF((G$11-FB146)&lt;'Rent Roll'!$K$36,0,'Rent Roll'!$B$36*'Rent Roll'!$D$36*(1+'Rent Roll'!$F$36)^INT((G$11-FB146)/12)/12),0)</f>
        <v/>
      </c>
      <c r="H164" s="232">
        <f>IF(AND(H$11&gt;=FB146,H$11&lt;=FC146),IF((H$11-FB146)&lt;'Rent Roll'!$K$36,0,'Rent Roll'!$B$36*'Rent Roll'!$D$36*(1+'Rent Roll'!$F$36)^INT((H$11-FB146)/12)/12),0)</f>
        <v/>
      </c>
      <c r="I164" s="232">
        <f>IF(AND(I$11&gt;=FB146,I$11&lt;=FC146),IF((I$11-FB146)&lt;'Rent Roll'!$K$36,0,'Rent Roll'!$B$36*'Rent Roll'!$D$36*(1+'Rent Roll'!$F$36)^INT((I$11-FB146)/12)/12),0)</f>
        <v/>
      </c>
      <c r="J164" s="232">
        <f>IF(AND(J$11&gt;=FB146,J$11&lt;=FC146),IF((J$11-FB146)&lt;'Rent Roll'!$K$36,0,'Rent Roll'!$B$36*'Rent Roll'!$D$36*(1+'Rent Roll'!$F$36)^INT((J$11-FB146)/12)/12),0)</f>
        <v/>
      </c>
      <c r="K164" s="232">
        <f>IF(AND(K$11&gt;=FB146,K$11&lt;=FC146),IF((K$11-FB146)&lt;'Rent Roll'!$K$36,0,'Rent Roll'!$B$36*'Rent Roll'!$D$36*(1+'Rent Roll'!$F$36)^INT((K$11-FB146)/12)/12),0)</f>
        <v/>
      </c>
      <c r="L164" s="232">
        <f>IF(AND(L$11&gt;=FB146,L$11&lt;=FC146),IF((L$11-FB146)&lt;'Rent Roll'!$K$36,0,'Rent Roll'!$B$36*'Rent Roll'!$D$36*(1+'Rent Roll'!$F$36)^INT((L$11-FB146)/12)/12),0)</f>
        <v/>
      </c>
      <c r="M164" s="232">
        <f>IF(AND(M$11&gt;=FB146,M$11&lt;=FC146),IF((M$11-FB146)&lt;'Rent Roll'!$K$36,0,'Rent Roll'!$B$36*'Rent Roll'!$D$36*(1+'Rent Roll'!$F$36)^INT((M$11-FB146)/12)/12),0)</f>
        <v/>
      </c>
      <c r="N164" s="232">
        <f>IF(AND(N$11&gt;=FB146,N$11&lt;=FC146),IF((N$11-FB146)&lt;'Rent Roll'!$K$36,0,'Rent Roll'!$B$36*'Rent Roll'!$D$36*(1+'Rent Roll'!$F$36)^INT((N$11-FB146)/12)/12),0)</f>
        <v/>
      </c>
      <c r="O164" s="232">
        <f>IF(AND(O$11&gt;=FB146,O$11&lt;=FC146),IF((O$11-FB146)&lt;'Rent Roll'!$K$36,0,'Rent Roll'!$B$36*'Rent Roll'!$D$36*(1+'Rent Roll'!$F$36)^INT((O$11-FB146)/12)/12),0)</f>
        <v/>
      </c>
      <c r="P164" s="232">
        <f>IF(AND(P$11&gt;=FB146,P$11&lt;=FC146),IF((P$11-FB146)&lt;'Rent Roll'!$K$36,0,'Rent Roll'!$B$36*'Rent Roll'!$D$36*(1+'Rent Roll'!$F$36)^INT((P$11-FB146)/12)/12),0)</f>
        <v/>
      </c>
      <c r="Q164" s="232">
        <f>IF(AND(Q$11&gt;=FB146,Q$11&lt;=FC146),IF((Q$11-FB146)&lt;'Rent Roll'!$K$36,0,'Rent Roll'!$B$36*'Rent Roll'!$D$36*(1+'Rent Roll'!$F$36)^INT((Q$11-FB146)/12)/12),0)</f>
        <v/>
      </c>
      <c r="R164" s="232">
        <f>IF(AND(R$11&gt;=FB146,R$11&lt;=FC146),IF((R$11-FB146)&lt;'Rent Roll'!$K$36,0,'Rent Roll'!$B$36*'Rent Roll'!$D$36*(1+'Rent Roll'!$F$36)^INT((R$11-FB146)/12)/12),0)</f>
        <v/>
      </c>
      <c r="S164" s="232">
        <f>IF(AND(S$11&gt;=FB146,S$11&lt;=FC146),IF((S$11-FB146)&lt;'Rent Roll'!$K$36,0,'Rent Roll'!$B$36*'Rent Roll'!$D$36*(1+'Rent Roll'!$F$36)^INT((S$11-FB146)/12)/12),0)</f>
        <v/>
      </c>
      <c r="T164" s="232">
        <f>IF(AND(T$11&gt;=FB146,T$11&lt;=FC146),IF((T$11-FB146)&lt;'Rent Roll'!$K$36,0,'Rent Roll'!$B$36*'Rent Roll'!$D$36*(1+'Rent Roll'!$F$36)^INT((T$11-FB146)/12)/12),0)</f>
        <v/>
      </c>
      <c r="U164" s="232">
        <f>IF(AND(U$11&gt;=FB146,U$11&lt;=FC146),IF((U$11-FB146)&lt;'Rent Roll'!$K$36,0,'Rent Roll'!$B$36*'Rent Roll'!$D$36*(1+'Rent Roll'!$F$36)^INT((U$11-FB146)/12)/12),0)</f>
        <v/>
      </c>
      <c r="V164" s="232">
        <f>IF(AND(V$11&gt;=FB146,V$11&lt;=FC146),IF((V$11-FB146)&lt;'Rent Roll'!$K$36,0,'Rent Roll'!$B$36*'Rent Roll'!$D$36*(1+'Rent Roll'!$F$36)^INT((V$11-FB146)/12)/12),0)</f>
        <v/>
      </c>
      <c r="W164" s="232">
        <f>IF(AND(W$11&gt;=FB146,W$11&lt;=FC146),IF((W$11-FB146)&lt;'Rent Roll'!$K$36,0,'Rent Roll'!$B$36*'Rent Roll'!$D$36*(1+'Rent Roll'!$F$36)^INT((W$11-FB146)/12)/12),0)</f>
        <v/>
      </c>
      <c r="X164" s="232">
        <f>IF(AND(X$11&gt;=FB146,X$11&lt;=FC146),IF((X$11-FB146)&lt;'Rent Roll'!$K$36,0,'Rent Roll'!$B$36*'Rent Roll'!$D$36*(1+'Rent Roll'!$F$36)^INT((X$11-FB146)/12)/12),0)</f>
        <v/>
      </c>
      <c r="Y164" s="232">
        <f>IF(AND(Y$11&gt;=FB146,Y$11&lt;=FC146),IF((Y$11-FB146)&lt;'Rent Roll'!$K$36,0,'Rent Roll'!$B$36*'Rent Roll'!$D$36*(1+'Rent Roll'!$F$36)^INT((Y$11-FB146)/12)/12),0)</f>
        <v/>
      </c>
      <c r="Z164" s="232">
        <f>IF(AND(Z$11&gt;=FB146,Z$11&lt;=FC146),IF((Z$11-FB146)&lt;'Rent Roll'!$K$36,0,'Rent Roll'!$B$36*'Rent Roll'!$D$36*(1+'Rent Roll'!$F$36)^INT((Z$11-FB146)/12)/12),0)</f>
        <v/>
      </c>
      <c r="AA164" s="232">
        <f>IF(AND(AA$11&gt;=FB146,AA$11&lt;=FC146),IF((AA$11-FB146)&lt;'Rent Roll'!$K$36,0,'Rent Roll'!$B$36*'Rent Roll'!$D$36*(1+'Rent Roll'!$F$36)^INT((AA$11-FB146)/12)/12),0)</f>
        <v/>
      </c>
      <c r="AB164" s="232">
        <f>IF(AND(AB$11&gt;=FB146,AB$11&lt;=FC146),IF((AB$11-FB146)&lt;'Rent Roll'!$K$36,0,'Rent Roll'!$B$36*'Rent Roll'!$D$36*(1+'Rent Roll'!$F$36)^INT((AB$11-FB146)/12)/12),0)</f>
        <v/>
      </c>
      <c r="AC164" s="232">
        <f>IF(AND(AC$11&gt;=FB146,AC$11&lt;=FC146),IF((AC$11-FB146)&lt;'Rent Roll'!$K$36,0,'Rent Roll'!$B$36*'Rent Roll'!$D$36*(1+'Rent Roll'!$F$36)^INT((AC$11-FB146)/12)/12),0)</f>
        <v/>
      </c>
      <c r="AD164" s="232">
        <f>IF(AND(AD$11&gt;=FB146,AD$11&lt;=FC146),IF((AD$11-FB146)&lt;'Rent Roll'!$K$36,0,'Rent Roll'!$B$36*'Rent Roll'!$D$36*(1+'Rent Roll'!$F$36)^INT((AD$11-FB146)/12)/12),0)</f>
        <v/>
      </c>
      <c r="AE164" s="232">
        <f>IF(AND(AE$11&gt;=FB146,AE$11&lt;=FC146),IF((AE$11-FB146)&lt;'Rent Roll'!$K$36,0,'Rent Roll'!$B$36*'Rent Roll'!$D$36*(1+'Rent Roll'!$F$36)^INT((AE$11-FB146)/12)/12),0)</f>
        <v/>
      </c>
      <c r="AF164" s="232">
        <f>IF(AND(AF$11&gt;=FB146,AF$11&lt;=FC146),IF((AF$11-FB146)&lt;'Rent Roll'!$K$36,0,'Rent Roll'!$B$36*'Rent Roll'!$D$36*(1+'Rent Roll'!$F$36)^INT((AF$11-FB146)/12)/12),0)</f>
        <v/>
      </c>
      <c r="AG164" s="232">
        <f>IF(AND(AG$11&gt;=FB146,AG$11&lt;=FC146),IF((AG$11-FB146)&lt;'Rent Roll'!$K$36,0,'Rent Roll'!$B$36*'Rent Roll'!$D$36*(1+'Rent Roll'!$F$36)^INT((AG$11-FB146)/12)/12),0)</f>
        <v/>
      </c>
      <c r="AH164" s="232">
        <f>IF(AND(AH$11&gt;=FB146,AH$11&lt;=FC146),IF((AH$11-FB146)&lt;'Rent Roll'!$K$36,0,'Rent Roll'!$B$36*'Rent Roll'!$D$36*(1+'Rent Roll'!$F$36)^INT((AH$11-FB146)/12)/12),0)</f>
        <v/>
      </c>
      <c r="AI164" s="232">
        <f>IF(AND(AI$11&gt;=FB146,AI$11&lt;=FC146),IF((AI$11-FB146)&lt;'Rent Roll'!$K$36,0,'Rent Roll'!$B$36*'Rent Roll'!$D$36*(1+'Rent Roll'!$F$36)^INT((AI$11-FB146)/12)/12),0)</f>
        <v/>
      </c>
      <c r="AJ164" s="232">
        <f>IF(AND(AJ$11&gt;=FB146,AJ$11&lt;=FC146),IF((AJ$11-FB146)&lt;'Rent Roll'!$K$36,0,'Rent Roll'!$B$36*'Rent Roll'!$D$36*(1+'Rent Roll'!$F$36)^INT((AJ$11-FB146)/12)/12),0)</f>
        <v/>
      </c>
      <c r="AK164" s="232">
        <f>IF(AND(AK$11&gt;=FB146,AK$11&lt;=FC146),IF((AK$11-FB146)&lt;'Rent Roll'!$K$36,0,'Rent Roll'!$B$36*'Rent Roll'!$D$36*(1+'Rent Roll'!$F$36)^INT((AK$11-FB146)/12)/12),0)</f>
        <v/>
      </c>
      <c r="AL164" s="232">
        <f>IF(AND(AL$11&gt;=FB146,AL$11&lt;=FC146),IF((AL$11-FB146)&lt;'Rent Roll'!$K$36,0,'Rent Roll'!$B$36*'Rent Roll'!$D$36*(1+'Rent Roll'!$F$36)^INT((AL$11-FB146)/12)/12),0)</f>
        <v/>
      </c>
      <c r="AM164" s="232">
        <f>IF(AND(AM$11&gt;=FB146,AM$11&lt;=FC146),IF((AM$11-FB146)&lt;'Rent Roll'!$K$36,0,'Rent Roll'!$B$36*'Rent Roll'!$D$36*(1+'Rent Roll'!$F$36)^INT((AM$11-FB146)/12)/12),0)</f>
        <v/>
      </c>
      <c r="AN164" s="232">
        <f>IF(AND(AN$11&gt;=FB146,AN$11&lt;=FC146),IF((AN$11-FB146)&lt;'Rent Roll'!$K$36,0,'Rent Roll'!$B$36*'Rent Roll'!$D$36*(1+'Rent Roll'!$F$36)^INT((AN$11-FB146)/12)/12),0)</f>
        <v/>
      </c>
      <c r="AO164" s="232">
        <f>IF(AND(AO$11&gt;=FB146,AO$11&lt;=FC146),IF((AO$11-FB146)&lt;'Rent Roll'!$K$36,0,'Rent Roll'!$B$36*'Rent Roll'!$D$36*(1+'Rent Roll'!$F$36)^INT((AO$11-FB146)/12)/12),0)</f>
        <v/>
      </c>
      <c r="AP164" s="232">
        <f>IF(AND(AP$11&gt;=FB146,AP$11&lt;=FC146),IF((AP$11-FB146)&lt;'Rent Roll'!$K$36,0,'Rent Roll'!$B$36*'Rent Roll'!$D$36*(1+'Rent Roll'!$F$36)^INT((AP$11-FB146)/12)/12),0)</f>
        <v/>
      </c>
      <c r="AQ164" s="232">
        <f>IF(AND(AQ$11&gt;=FB146,AQ$11&lt;=FC146),IF((AQ$11-FB146)&lt;'Rent Roll'!$K$36,0,'Rent Roll'!$B$36*'Rent Roll'!$D$36*(1+'Rent Roll'!$F$36)^INT((AQ$11-FB146)/12)/12),0)</f>
        <v/>
      </c>
      <c r="AR164" s="232">
        <f>IF(AND(AR$11&gt;=FB146,AR$11&lt;=FC146),IF((AR$11-FB146)&lt;'Rent Roll'!$K$36,0,'Rent Roll'!$B$36*'Rent Roll'!$D$36*(1+'Rent Roll'!$F$36)^INT((AR$11-FB146)/12)/12),0)</f>
        <v/>
      </c>
      <c r="AS164" s="232">
        <f>IF(AND(AS$11&gt;=FB146,AS$11&lt;=FC146),IF((AS$11-FB146)&lt;'Rent Roll'!$K$36,0,'Rent Roll'!$B$36*'Rent Roll'!$D$36*(1+'Rent Roll'!$F$36)^INT((AS$11-FB146)/12)/12),0)</f>
        <v/>
      </c>
      <c r="AT164" s="232">
        <f>IF(AND(AT$11&gt;=FB146,AT$11&lt;=FC146),IF((AT$11-FB146)&lt;'Rent Roll'!$K$36,0,'Rent Roll'!$B$36*'Rent Roll'!$D$36*(1+'Rent Roll'!$F$36)^INT((AT$11-FB146)/12)/12),0)</f>
        <v/>
      </c>
      <c r="AU164" s="232">
        <f>IF(AND(AU$11&gt;=FB146,AU$11&lt;=FC146),IF((AU$11-FB146)&lt;'Rent Roll'!$K$36,0,'Rent Roll'!$B$36*'Rent Roll'!$D$36*(1+'Rent Roll'!$F$36)^INT((AU$11-FB146)/12)/12),0)</f>
        <v/>
      </c>
      <c r="AV164" s="232">
        <f>IF(AND(AV$11&gt;=FB146,AV$11&lt;=FC146),IF((AV$11-FB146)&lt;'Rent Roll'!$K$36,0,'Rent Roll'!$B$36*'Rent Roll'!$D$36*(1+'Rent Roll'!$F$36)^INT((AV$11-FB146)/12)/12),0)</f>
        <v/>
      </c>
      <c r="AW164" s="232">
        <f>IF(AND(AW$11&gt;=FB146,AW$11&lt;=FC146),IF((AW$11-FB146)&lt;'Rent Roll'!$K$36,0,'Rent Roll'!$B$36*'Rent Roll'!$D$36*(1+'Rent Roll'!$F$36)^INT((AW$11-FB146)/12)/12),0)</f>
        <v/>
      </c>
      <c r="AX164" s="232">
        <f>IF(AND(AX$11&gt;=FB146,AX$11&lt;=FC146),IF((AX$11-FB146)&lt;'Rent Roll'!$K$36,0,'Rent Roll'!$B$36*'Rent Roll'!$D$36*(1+'Rent Roll'!$F$36)^INT((AX$11-FB146)/12)/12),0)</f>
        <v/>
      </c>
      <c r="AY164" s="232">
        <f>IF(AND(AY$11&gt;=FB146,AY$11&lt;=FC146),IF((AY$11-FB146)&lt;'Rent Roll'!$K$36,0,'Rent Roll'!$B$36*'Rent Roll'!$D$36*(1+'Rent Roll'!$F$36)^INT((AY$11-FB146)/12)/12),0)</f>
        <v/>
      </c>
      <c r="AZ164" s="232">
        <f>IF(AND(AZ$11&gt;=FB146,AZ$11&lt;=FC146),IF((AZ$11-FB146)&lt;'Rent Roll'!$K$36,0,'Rent Roll'!$B$36*'Rent Roll'!$D$36*(1+'Rent Roll'!$F$36)^INT((AZ$11-FB146)/12)/12),0)</f>
        <v/>
      </c>
      <c r="BA164" s="232">
        <f>IF(AND(BA$11&gt;=FB146,BA$11&lt;=FC146),IF((BA$11-FB146)&lt;'Rent Roll'!$K$36,0,'Rent Roll'!$B$36*'Rent Roll'!$D$36*(1+'Rent Roll'!$F$36)^INT((BA$11-FB146)/12)/12),0)</f>
        <v/>
      </c>
      <c r="BB164" s="232">
        <f>IF(AND(BB$11&gt;=FB146,BB$11&lt;=FC146),IF((BB$11-FB146)&lt;'Rent Roll'!$K$36,0,'Rent Roll'!$B$36*'Rent Roll'!$D$36*(1+'Rent Roll'!$F$36)^INT((BB$11-FB146)/12)/12),0)</f>
        <v/>
      </c>
      <c r="BC164" s="232">
        <f>IF(AND(BC$11&gt;=FB146,BC$11&lt;=FC146),IF((BC$11-FB146)&lt;'Rent Roll'!$K$36,0,'Rent Roll'!$B$36*'Rent Roll'!$D$36*(1+'Rent Roll'!$F$36)^INT((BC$11-FB146)/12)/12),0)</f>
        <v/>
      </c>
      <c r="BD164" s="232">
        <f>IF(AND(BD$11&gt;=FB146,BD$11&lt;=FC146),IF((BD$11-FB146)&lt;'Rent Roll'!$K$36,0,'Rent Roll'!$B$36*'Rent Roll'!$D$36*(1+'Rent Roll'!$F$36)^INT((BD$11-FB146)/12)/12),0)</f>
        <v/>
      </c>
      <c r="BE164" s="232">
        <f>IF(AND(BE$11&gt;=FB146,BE$11&lt;=FC146),IF((BE$11-FB146)&lt;'Rent Roll'!$K$36,0,'Rent Roll'!$B$36*'Rent Roll'!$D$36*(1+'Rent Roll'!$F$36)^INT((BE$11-FB146)/12)/12),0)</f>
        <v/>
      </c>
      <c r="BF164" s="232">
        <f>IF(AND(BF$11&gt;=FB146,BF$11&lt;=FC146),IF((BF$11-FB146)&lt;'Rent Roll'!$K$36,0,'Rent Roll'!$B$36*'Rent Roll'!$D$36*(1+'Rent Roll'!$F$36)^INT((BF$11-FB146)/12)/12),0)</f>
        <v/>
      </c>
      <c r="BG164" s="232">
        <f>IF(AND(BG$11&gt;=FB146,BG$11&lt;=FC146),IF((BG$11-FB146)&lt;'Rent Roll'!$K$36,0,'Rent Roll'!$B$36*'Rent Roll'!$D$36*(1+'Rent Roll'!$F$36)^INT((BG$11-FB146)/12)/12),0)</f>
        <v/>
      </c>
      <c r="BH164" s="232">
        <f>IF(AND(BH$11&gt;=FB146,BH$11&lt;=FC146),IF((BH$11-FB146)&lt;'Rent Roll'!$K$36,0,'Rent Roll'!$B$36*'Rent Roll'!$D$36*(1+'Rent Roll'!$F$36)^INT((BH$11-FB146)/12)/12),0)</f>
        <v/>
      </c>
      <c r="BI164" s="232">
        <f>IF(AND(BI$11&gt;=FB146,BI$11&lt;=FC146),IF((BI$11-FB146)&lt;'Rent Roll'!$K$36,0,'Rent Roll'!$B$36*'Rent Roll'!$D$36*(1+'Rent Roll'!$F$36)^INT((BI$11-FB146)/12)/12),0)</f>
        <v/>
      </c>
      <c r="BJ164" s="232">
        <f>IF(AND(BJ$11&gt;=FB146,BJ$11&lt;=FC146),IF((BJ$11-FB146)&lt;'Rent Roll'!$K$36,0,'Rent Roll'!$B$36*'Rent Roll'!$D$36*(1+'Rent Roll'!$F$36)^INT((BJ$11-FB146)/12)/12),0)</f>
        <v/>
      </c>
      <c r="BK164" s="232">
        <f>IF(AND(BK$11&gt;=FB146,BK$11&lt;=FC146),IF((BK$11-FB146)&lt;'Rent Roll'!$K$36,0,'Rent Roll'!$B$36*'Rent Roll'!$D$36*(1+'Rent Roll'!$F$36)^INT((BK$11-FB146)/12)/12),0)</f>
        <v/>
      </c>
      <c r="BL164" s="232">
        <f>IF(AND(BL$11&gt;=FB146,BL$11&lt;=FC146),IF((BL$11-FB146)&lt;'Rent Roll'!$K$36,0,'Rent Roll'!$B$36*'Rent Roll'!$D$36*(1+'Rent Roll'!$F$36)^INT((BL$11-FB146)/12)/12),0)</f>
        <v/>
      </c>
      <c r="BM164" s="232">
        <f>IF(AND(BM$11&gt;=FC146,BM$11&lt;=FD146),IF((BM$11-FC146)&lt;'Rent Roll'!$K$36,0,'Rent Roll'!$B$36*'Rent Roll'!$D$36*(1+'Rent Roll'!$F$36)^INT((BM$11-FC146)/12)/12),0)</f>
        <v/>
      </c>
      <c r="BN164" s="232">
        <f>IF(AND(BN$11&gt;=FD146,BN$11&lt;=FE146),IF((BN$11-FD146)&lt;'Rent Roll'!$K$36,0,'Rent Roll'!$B$36*'Rent Roll'!$D$36*(1+'Rent Roll'!$F$36)^INT((BN$11-FD146)/12)/12),0)</f>
        <v/>
      </c>
      <c r="BO164" s="232">
        <f>IF(AND(BO$11&gt;=FE146,BO$11&lt;=FF146),IF((BO$11-FE146)&lt;'Rent Roll'!$K$36,0,'Rent Roll'!$B$36*'Rent Roll'!$D$36*(1+'Rent Roll'!$F$36)^INT((BO$11-FE146)/12)/12),0)</f>
        <v/>
      </c>
      <c r="BP164" s="232">
        <f>IF(AND(BP$11&gt;=FF146,BP$11&lt;=FG146),IF((BP$11-FF146)&lt;'Rent Roll'!$K$36,0,'Rent Roll'!$B$36*'Rent Roll'!$D$36*(1+'Rent Roll'!$F$36)^INT((BP$11-FF146)/12)/12),0)</f>
        <v/>
      </c>
      <c r="BQ164" s="232">
        <f>IF(AND(BQ$11&gt;=FG146,BQ$11&lt;=FH146),IF((BQ$11-FG146)&lt;'Rent Roll'!$K$36,0,'Rent Roll'!$B$36*'Rent Roll'!$D$36*(1+'Rent Roll'!$F$36)^INT((BQ$11-FG146)/12)/12),0)</f>
        <v/>
      </c>
      <c r="BR164" s="232">
        <f>IF(AND(BR$11&gt;=FH146,BR$11&lt;=FI146),IF((BR$11-FH146)&lt;'Rent Roll'!$K$36,0,'Rent Roll'!$B$36*'Rent Roll'!$D$36*(1+'Rent Roll'!$F$36)^INT((BR$11-FH146)/12)/12),0)</f>
        <v/>
      </c>
      <c r="BS164" s="232">
        <f>IF(AND(BS$11&gt;=FI146,BS$11&lt;=FJ146),IF((BS$11-FI146)&lt;'Rent Roll'!$K$36,0,'Rent Roll'!$B$36*'Rent Roll'!$D$36*(1+'Rent Roll'!$F$36)^INT((BS$11-FI146)/12)/12),0)</f>
        <v/>
      </c>
      <c r="BT164" s="232">
        <f>IF(AND(BT$11&gt;=FJ146,BT$11&lt;=FK146),IF((BT$11-FJ146)&lt;'Rent Roll'!$K$36,0,'Rent Roll'!$B$36*'Rent Roll'!$D$36*(1+'Rent Roll'!$F$36)^INT((BT$11-FJ146)/12)/12),0)</f>
        <v/>
      </c>
      <c r="BU164" s="232">
        <f>IF(AND(BU$11&gt;=FK146,BU$11&lt;=FL146),IF((BU$11-FK146)&lt;'Rent Roll'!$K$36,0,'Rent Roll'!$B$36*'Rent Roll'!$D$36*(1+'Rent Roll'!$F$36)^INT((BU$11-FK146)/12)/12),0)</f>
        <v/>
      </c>
      <c r="BV164" s="232">
        <f>IF(AND(BV$11&gt;=FL146,BV$11&lt;=FM146),IF((BV$11-FL146)&lt;'Rent Roll'!$K$36,0,'Rent Roll'!$B$36*'Rent Roll'!$D$36*(1+'Rent Roll'!$F$36)^INT((BV$11-FL146)/12)/12),0)</f>
        <v/>
      </c>
      <c r="BW164" s="232">
        <f>IF(AND(BW$11&gt;=FM146,BW$11&lt;=FN146),IF((BW$11-FM146)&lt;'Rent Roll'!$K$36,0,'Rent Roll'!$B$36*'Rent Roll'!$D$36*(1+'Rent Roll'!$F$36)^INT((BW$11-FM146)/12)/12),0)</f>
        <v/>
      </c>
      <c r="BX164" s="232">
        <f>IF(AND(BX$11&gt;=FN146,BX$11&lt;=FO146),IF((BX$11-FN146)&lt;'Rent Roll'!$K$36,0,'Rent Roll'!$B$36*'Rent Roll'!$D$36*(1+'Rent Roll'!$F$36)^INT((BX$11-FN146)/12)/12),0)</f>
        <v/>
      </c>
      <c r="BY164" s="232">
        <f>IF(AND(BY$11&gt;=FO146,BY$11&lt;=FP146),IF((BY$11-FO146)&lt;'Rent Roll'!$K$36,0,'Rent Roll'!$B$36*'Rent Roll'!$D$36*(1+'Rent Roll'!$F$36)^INT((BY$11-FO146)/12)/12),0)</f>
        <v/>
      </c>
      <c r="BZ164" s="232">
        <f>IF(AND(BZ$11&gt;=FP146,BZ$11&lt;=FQ146),IF((BZ$11-FP146)&lt;'Rent Roll'!$K$36,0,'Rent Roll'!$B$36*'Rent Roll'!$D$36*(1+'Rent Roll'!$F$36)^INT((BZ$11-FP146)/12)/12),0)</f>
        <v/>
      </c>
      <c r="CA164" s="232">
        <f>IF(AND(CA$11&gt;=FQ146,CA$11&lt;=FR146),IF((CA$11-FQ146)&lt;'Rent Roll'!$K$36,0,'Rent Roll'!$B$36*'Rent Roll'!$D$36*(1+'Rent Roll'!$F$36)^INT((CA$11-FQ146)/12)/12),0)</f>
        <v/>
      </c>
      <c r="CB164" s="232">
        <f>IF(AND(CB$11&gt;=FR146,CB$11&lt;=FS146),IF((CB$11-FR146)&lt;'Rent Roll'!$K$36,0,'Rent Roll'!$B$36*'Rent Roll'!$D$36*(1+'Rent Roll'!$F$36)^INT((CB$11-FR146)/12)/12),0)</f>
        <v/>
      </c>
      <c r="CC164" s="232">
        <f>IF(AND(CC$11&gt;=FS146,CC$11&lt;=FT146),IF((CC$11-FS146)&lt;'Rent Roll'!$K$36,0,'Rent Roll'!$B$36*'Rent Roll'!$D$36*(1+'Rent Roll'!$F$36)^INT((CC$11-FS146)/12)/12),0)</f>
        <v/>
      </c>
      <c r="CD164" s="232">
        <f>IF(AND(CD$11&gt;=FT146,CD$11&lt;=FU146),IF((CD$11-FT146)&lt;'Rent Roll'!$K$36,0,'Rent Roll'!$B$36*'Rent Roll'!$D$36*(1+'Rent Roll'!$F$36)^INT((CD$11-FT146)/12)/12),0)</f>
        <v/>
      </c>
      <c r="CE164" s="232">
        <f>IF(AND(CE$11&gt;=FU146,CE$11&lt;=FV146),IF((CE$11-FU146)&lt;'Rent Roll'!$K$36,0,'Rent Roll'!$B$36*'Rent Roll'!$D$36*(1+'Rent Roll'!$F$36)^INT((CE$11-FU146)/12)/12),0)</f>
        <v/>
      </c>
      <c r="CF164" s="232">
        <f>IF(AND(CF$11&gt;=FV146,CF$11&lt;=FW146),IF((CF$11-FV146)&lt;'Rent Roll'!$K$36,0,'Rent Roll'!$B$36*'Rent Roll'!$D$36*(1+'Rent Roll'!$F$36)^INT((CF$11-FV146)/12)/12),0)</f>
        <v/>
      </c>
      <c r="CG164" s="232">
        <f>IF(AND(CG$11&gt;=FW146,CG$11&lt;=FX146),IF((CG$11-FW146)&lt;'Rent Roll'!$K$36,0,'Rent Roll'!$B$36*'Rent Roll'!$D$36*(1+'Rent Roll'!$F$36)^INT((CG$11-FW146)/12)/12),0)</f>
        <v/>
      </c>
      <c r="CH164" s="232">
        <f>IF(AND(CH$11&gt;=FX146,CH$11&lt;=FY146),IF((CH$11-FX146)&lt;'Rent Roll'!$K$36,0,'Rent Roll'!$B$36*'Rent Roll'!$D$36*(1+'Rent Roll'!$F$36)^INT((CH$11-FX146)/12)/12),0)</f>
        <v/>
      </c>
      <c r="CI164" s="232">
        <f>IF(AND(CI$11&gt;=FY146,CI$11&lt;=FZ146),IF((CI$11-FY146)&lt;'Rent Roll'!$K$36,0,'Rent Roll'!$B$36*'Rent Roll'!$D$36*(1+'Rent Roll'!$F$36)^INT((CI$11-FY146)/12)/12),0)</f>
        <v/>
      </c>
      <c r="CJ164" s="232">
        <f>IF(AND(CJ$11&gt;=FZ146,CJ$11&lt;=GA146),IF((CJ$11-FZ146)&lt;'Rent Roll'!$K$36,0,'Rent Roll'!$B$36*'Rent Roll'!$D$36*(1+'Rent Roll'!$F$36)^INT((CJ$11-FZ146)/12)/12),0)</f>
        <v/>
      </c>
      <c r="CK164" s="232">
        <f>IF(AND(CK$11&gt;=GA146,CK$11&lt;=GB146),IF((CK$11-GA146)&lt;'Rent Roll'!$K$36,0,'Rent Roll'!$B$36*'Rent Roll'!$D$36*(1+'Rent Roll'!$F$36)^INT((CK$11-GA146)/12)/12),0)</f>
        <v/>
      </c>
      <c r="CL164" s="232">
        <f>IF(AND(CL$11&gt;=GB146,CL$11&lt;=GC146),IF((CL$11-GB146)&lt;'Rent Roll'!$K$36,0,'Rent Roll'!$B$36*'Rent Roll'!$D$36*(1+'Rent Roll'!$F$36)^INT((CL$11-GB146)/12)/12),0)</f>
        <v/>
      </c>
      <c r="CM164" s="232">
        <f>IF(AND(CM$11&gt;=GC146,CM$11&lt;=GD146),IF((CM$11-GC146)&lt;'Rent Roll'!$K$36,0,'Rent Roll'!$B$36*'Rent Roll'!$D$36*(1+'Rent Roll'!$F$36)^INT((CM$11-GC146)/12)/12),0)</f>
        <v/>
      </c>
      <c r="CN164" s="232">
        <f>IF(AND(CN$11&gt;=GD146,CN$11&lt;=GE146),IF((CN$11-GD146)&lt;'Rent Roll'!$K$36,0,'Rent Roll'!$B$36*'Rent Roll'!$D$36*(1+'Rent Roll'!$F$36)^INT((CN$11-GD146)/12)/12),0)</f>
        <v/>
      </c>
      <c r="CO164" s="232">
        <f>IF(AND(CO$11&gt;=GE146,CO$11&lt;=GF146),IF((CO$11-GE146)&lt;'Rent Roll'!$K$36,0,'Rent Roll'!$B$36*'Rent Roll'!$D$36*(1+'Rent Roll'!$F$36)^INT((CO$11-GE146)/12)/12),0)</f>
        <v/>
      </c>
      <c r="CP164" s="232">
        <f>IF(AND(CP$11&gt;=GF146,CP$11&lt;=GG146),IF((CP$11-GF146)&lt;'Rent Roll'!$K$36,0,'Rent Roll'!$B$36*'Rent Roll'!$D$36*(1+'Rent Roll'!$F$36)^INT((CP$11-GF146)/12)/12),0)</f>
        <v/>
      </c>
      <c r="CQ164" s="232">
        <f>IF(AND(CQ$11&gt;=GG146,CQ$11&lt;=GH146),IF((CQ$11-GG146)&lt;'Rent Roll'!$K$36,0,'Rent Roll'!$B$36*'Rent Roll'!$D$36*(1+'Rent Roll'!$F$36)^INT((CQ$11-GG146)/12)/12),0)</f>
        <v/>
      </c>
      <c r="CR164" s="232">
        <f>IF(AND(CR$11&gt;=GH146,CR$11&lt;=GI146),IF((CR$11-GH146)&lt;'Rent Roll'!$K$36,0,'Rent Roll'!$B$36*'Rent Roll'!$D$36*(1+'Rent Roll'!$F$36)^INT((CR$11-GH146)/12)/12),0)</f>
        <v/>
      </c>
      <c r="CS164" s="232">
        <f>IF(AND(CS$11&gt;=GI146,CS$11&lt;=GJ146),IF((CS$11-GI146)&lt;'Rent Roll'!$K$36,0,'Rent Roll'!$B$36*'Rent Roll'!$D$36*(1+'Rent Roll'!$F$36)^INT((CS$11-GI146)/12)/12),0)</f>
        <v/>
      </c>
      <c r="CT164" s="232">
        <f>IF(AND(CT$11&gt;=GJ146,CT$11&lt;=GK146),IF((CT$11-GJ146)&lt;'Rent Roll'!$K$36,0,'Rent Roll'!$B$36*'Rent Roll'!$D$36*(1+'Rent Roll'!$F$36)^INT((CT$11-GJ146)/12)/12),0)</f>
        <v/>
      </c>
      <c r="CU164" s="232">
        <f>IF(AND(CU$11&gt;=GK146,CU$11&lt;=GL146),IF((CU$11-GK146)&lt;'Rent Roll'!$K$36,0,'Rent Roll'!$B$36*'Rent Roll'!$D$36*(1+'Rent Roll'!$F$36)^INT((CU$11-GK146)/12)/12),0)</f>
        <v/>
      </c>
      <c r="CV164" s="232">
        <f>IF(AND(CV$11&gt;=GL146,CV$11&lt;=GM146),IF((CV$11-GL146)&lt;'Rent Roll'!$K$36,0,'Rent Roll'!$B$36*'Rent Roll'!$D$36*(1+'Rent Roll'!$F$36)^INT((CV$11-GL146)/12)/12),0)</f>
        <v/>
      </c>
      <c r="CW164" s="232">
        <f>IF(AND(CW$11&gt;=GM146,CW$11&lt;=GN146),IF((CW$11-GM146)&lt;'Rent Roll'!$K$36,0,'Rent Roll'!$B$36*'Rent Roll'!$D$36*(1+'Rent Roll'!$F$36)^INT((CW$11-GM146)/12)/12),0)</f>
        <v/>
      </c>
      <c r="CX164" s="232">
        <f>IF(AND(CX$11&gt;=GN146,CX$11&lt;=GO146),IF((CX$11-GN146)&lt;'Rent Roll'!$K$36,0,'Rent Roll'!$B$36*'Rent Roll'!$D$36*(1+'Rent Roll'!$F$36)^INT((CX$11-GN146)/12)/12),0)</f>
        <v/>
      </c>
      <c r="CY164" s="232">
        <f>IF(AND(CY$11&gt;=GO146,CY$11&lt;=GP146),IF((CY$11-GO146)&lt;'Rent Roll'!$K$36,0,'Rent Roll'!$B$36*'Rent Roll'!$D$36*(1+'Rent Roll'!$F$36)^INT((CY$11-GO146)/12)/12),0)</f>
        <v/>
      </c>
      <c r="CZ164" s="232">
        <f>IF(AND(CZ$11&gt;=GP146,CZ$11&lt;=GQ146),IF((CZ$11-GP146)&lt;'Rent Roll'!$K$36,0,'Rent Roll'!$B$36*'Rent Roll'!$D$36*(1+'Rent Roll'!$F$36)^INT((CZ$11-GP146)/12)/12),0)</f>
        <v/>
      </c>
      <c r="DA164" s="232">
        <f>IF(AND(DA$11&gt;=GQ146,DA$11&lt;=GR146),IF((DA$11-GQ146)&lt;'Rent Roll'!$K$36,0,'Rent Roll'!$B$36*'Rent Roll'!$D$36*(1+'Rent Roll'!$F$36)^INT((DA$11-GQ146)/12)/12),0)</f>
        <v/>
      </c>
      <c r="DB164" s="232">
        <f>IF(AND(DB$11&gt;=GR146,DB$11&lt;=GS146),IF((DB$11-GR146)&lt;'Rent Roll'!$K$36,0,'Rent Roll'!$B$36*'Rent Roll'!$D$36*(1+'Rent Roll'!$F$36)^INT((DB$11-GR146)/12)/12),0)</f>
        <v/>
      </c>
      <c r="DC164" s="232">
        <f>IF(AND(DC$11&gt;=GS146,DC$11&lt;=GT146),IF((DC$11-GS146)&lt;'Rent Roll'!$K$36,0,'Rent Roll'!$B$36*'Rent Roll'!$D$36*(1+'Rent Roll'!$F$36)^INT((DC$11-GS146)/12)/12),0)</f>
        <v/>
      </c>
      <c r="DD164" s="232">
        <f>IF(AND(DD$11&gt;=GT146,DD$11&lt;=GU146),IF((DD$11-GT146)&lt;'Rent Roll'!$K$36,0,'Rent Roll'!$B$36*'Rent Roll'!$D$36*(1+'Rent Roll'!$F$36)^INT((DD$11-GT146)/12)/12),0)</f>
        <v/>
      </c>
      <c r="DE164" s="232">
        <f>IF(AND(DE$11&gt;=GU146,DE$11&lt;=GV146),IF((DE$11-GU146)&lt;'Rent Roll'!$K$36,0,'Rent Roll'!$B$36*'Rent Roll'!$D$36*(1+'Rent Roll'!$F$36)^INT((DE$11-GU146)/12)/12),0)</f>
        <v/>
      </c>
      <c r="DF164" s="232">
        <f>IF(AND(DF$11&gt;=GV146,DF$11&lt;=GW146),IF((DF$11-GV146)&lt;'Rent Roll'!$K$36,0,'Rent Roll'!$B$36*'Rent Roll'!$D$36*(1+'Rent Roll'!$F$36)^INT((DF$11-GV146)/12)/12),0)</f>
        <v/>
      </c>
      <c r="DG164" s="232">
        <f>IF(AND(DG$11&gt;=GW146,DG$11&lt;=GX146),IF((DG$11-GW146)&lt;'Rent Roll'!$K$36,0,'Rent Roll'!$B$36*'Rent Roll'!$D$36*(1+'Rent Roll'!$F$36)^INT((DG$11-GW146)/12)/12),0)</f>
        <v/>
      </c>
      <c r="DH164" s="232">
        <f>IF(AND(DH$11&gt;=GX146,DH$11&lt;=GY146),IF((DH$11-GX146)&lt;'Rent Roll'!$K$36,0,'Rent Roll'!$B$36*'Rent Roll'!$D$36*(1+'Rent Roll'!$F$36)^INT((DH$11-GX146)/12)/12),0)</f>
        <v/>
      </c>
      <c r="DI164" s="232">
        <f>IF(AND(DI$11&gt;=GY146,DI$11&lt;=GZ146),IF((DI$11-GY146)&lt;'Rent Roll'!$K$36,0,'Rent Roll'!$B$36*'Rent Roll'!$D$36*(1+'Rent Roll'!$F$36)^INT((DI$11-GY146)/12)/12),0)</f>
        <v/>
      </c>
      <c r="DJ164" s="232">
        <f>IF(AND(DJ$11&gt;=GZ146,DJ$11&lt;=HA146),IF((DJ$11-GZ146)&lt;'Rent Roll'!$K$36,0,'Rent Roll'!$B$36*'Rent Roll'!$D$36*(1+'Rent Roll'!$F$36)^INT((DJ$11-GZ146)/12)/12),0)</f>
        <v/>
      </c>
      <c r="DK164" s="232">
        <f>IF(AND(DK$11&gt;=HA146,DK$11&lt;=HB146),IF((DK$11-HA146)&lt;'Rent Roll'!$K$36,0,'Rent Roll'!$B$36*'Rent Roll'!$D$36*(1+'Rent Roll'!$F$36)^INT((DK$11-HA146)/12)/12),0)</f>
        <v/>
      </c>
      <c r="DL164" s="232">
        <f>IF(AND(DL$11&gt;=HB146,DL$11&lt;=HC146),IF((DL$11-HB146)&lt;'Rent Roll'!$K$36,0,'Rent Roll'!$B$36*'Rent Roll'!$D$36*(1+'Rent Roll'!$F$36)^INT((DL$11-HB146)/12)/12),0)</f>
        <v/>
      </c>
      <c r="DM164" s="232">
        <f>IF(AND(DM$11&gt;=HC146,DM$11&lt;=HD146),IF((DM$11-HC146)&lt;'Rent Roll'!$K$36,0,'Rent Roll'!$B$36*'Rent Roll'!$D$36*(1+'Rent Roll'!$F$36)^INT((DM$11-HC146)/12)/12),0)</f>
        <v/>
      </c>
      <c r="DN164" s="232">
        <f>IF(AND(DN$11&gt;=HD146,DN$11&lt;=HE146),IF((DN$11-HD146)&lt;'Rent Roll'!$K$36,0,'Rent Roll'!$B$36*'Rent Roll'!$D$36*(1+'Rent Roll'!$F$36)^INT((DN$11-HD146)/12)/12),0)</f>
        <v/>
      </c>
      <c r="DO164" s="232">
        <f>IF(AND(DO$11&gt;=HE146,DO$11&lt;=HF146),IF((DO$11-HE146)&lt;'Rent Roll'!$K$36,0,'Rent Roll'!$B$36*'Rent Roll'!$D$36*(1+'Rent Roll'!$F$36)^INT((DO$11-HE146)/12)/12),0)</f>
        <v/>
      </c>
      <c r="DP164" s="232">
        <f>IF(AND(DP$11&gt;=HF146,DP$11&lt;=HG146),IF((DP$11-HF146)&lt;'Rent Roll'!$K$36,0,'Rent Roll'!$B$36*'Rent Roll'!$D$36*(1+'Rent Roll'!$F$36)^INT((DP$11-HF146)/12)/12),0)</f>
        <v/>
      </c>
      <c r="DQ164" s="232">
        <f>IF(AND(DQ$11&gt;=HG146,DQ$11&lt;=HH146),IF((DQ$11-HG146)&lt;'Rent Roll'!$K$36,0,'Rent Roll'!$B$36*'Rent Roll'!$D$36*(1+'Rent Roll'!$F$36)^INT((DQ$11-HG146)/12)/12),0)</f>
        <v/>
      </c>
      <c r="DR164" s="232">
        <f>IF(AND(DR$11&gt;=HH146,DR$11&lt;=HI146),IF((DR$11-HH146)&lt;'Rent Roll'!$K$36,0,'Rent Roll'!$B$36*'Rent Roll'!$D$36*(1+'Rent Roll'!$F$36)^INT((DR$11-HH146)/12)/12),0)</f>
        <v/>
      </c>
      <c r="DS164" s="232">
        <f>IF(AND(DS$11&gt;=HI146,DS$11&lt;=HJ146),IF((DS$11-HI146)&lt;'Rent Roll'!$K$36,0,'Rent Roll'!$B$36*'Rent Roll'!$D$36*(1+'Rent Roll'!$F$36)^INT((DS$11-HI146)/12)/12),0)</f>
        <v/>
      </c>
      <c r="DT164" s="232">
        <f>IF(AND(DT$11&gt;=HJ146,DT$11&lt;=HK146),IF((DT$11-HJ146)&lt;'Rent Roll'!$K$36,0,'Rent Roll'!$B$36*'Rent Roll'!$D$36*(1+'Rent Roll'!$F$36)^INT((DT$11-HJ146)/12)/12),0)</f>
        <v/>
      </c>
      <c r="DV164">
        <f>DV146&amp;" Rent"</f>
        <v/>
      </c>
    </row>
    <row r="165" ht="15" customHeight="1" s="148">
      <c r="D165" s="127">
        <f>IF(AND(D$11&gt;=FB146,D$11&lt;=FC146),'Rent Roll'!$B$36,0)</f>
        <v/>
      </c>
      <c r="E165" s="127">
        <f>IF(AND(E$11&gt;=FB146,E$11&lt;=FC146),'Rent Roll'!$B$36,0)</f>
        <v/>
      </c>
      <c r="F165" s="127">
        <f>IF(AND(F$11&gt;=FB146,F$11&lt;=FC146),'Rent Roll'!$B$36,0)</f>
        <v/>
      </c>
      <c r="G165" s="127">
        <f>IF(AND(G$11&gt;=FB146,G$11&lt;=FC146),'Rent Roll'!$B$36,0)</f>
        <v/>
      </c>
      <c r="H165" s="127">
        <f>IF(AND(H$11&gt;=FB146,H$11&lt;=FC146),'Rent Roll'!$B$36,0)</f>
        <v/>
      </c>
      <c r="I165" s="127">
        <f>IF(AND(I$11&gt;=FB146,I$11&lt;=FC146),'Rent Roll'!$B$36,0)</f>
        <v/>
      </c>
      <c r="J165" s="127">
        <f>IF(AND(J$11&gt;=FB146,J$11&lt;=FC146),'Rent Roll'!$B$36,0)</f>
        <v/>
      </c>
      <c r="K165" s="127">
        <f>IF(AND(K$11&gt;=FB146,K$11&lt;=FC146),'Rent Roll'!$B$36,0)</f>
        <v/>
      </c>
      <c r="L165" s="127">
        <f>IF(AND(L$11&gt;=FB146,L$11&lt;=FC146),'Rent Roll'!$B$36,0)</f>
        <v/>
      </c>
      <c r="M165" s="127">
        <f>IF(AND(M$11&gt;=FB146,M$11&lt;=FC146),'Rent Roll'!$B$36,0)</f>
        <v/>
      </c>
      <c r="N165" s="127">
        <f>IF(AND(N$11&gt;=FB146,N$11&lt;=FC146),'Rent Roll'!$B$36,0)</f>
        <v/>
      </c>
      <c r="O165" s="127">
        <f>IF(AND(O$11&gt;=FB146,O$11&lt;=FC146),'Rent Roll'!$B$36,0)</f>
        <v/>
      </c>
      <c r="P165" s="127">
        <f>IF(AND(P$11&gt;=FB146,P$11&lt;=FC146),'Rent Roll'!$B$36,0)</f>
        <v/>
      </c>
      <c r="Q165" s="127">
        <f>IF(AND(Q$11&gt;=FB146,Q$11&lt;=FC146),'Rent Roll'!$B$36,0)</f>
        <v/>
      </c>
      <c r="R165" s="127">
        <f>IF(AND(R$11&gt;=FB146,R$11&lt;=FC146),'Rent Roll'!$B$36,0)</f>
        <v/>
      </c>
      <c r="S165" s="127">
        <f>IF(AND(S$11&gt;=FB146,S$11&lt;=FC146),'Rent Roll'!$B$36,0)</f>
        <v/>
      </c>
      <c r="T165" s="127">
        <f>IF(AND(T$11&gt;=FB146,T$11&lt;=FC146),'Rent Roll'!$B$36,0)</f>
        <v/>
      </c>
      <c r="U165" s="127">
        <f>IF(AND(U$11&gt;=FB146,U$11&lt;=FC146),'Rent Roll'!$B$36,0)</f>
        <v/>
      </c>
      <c r="V165" s="127">
        <f>IF(AND(V$11&gt;=FB146,V$11&lt;=FC146),'Rent Roll'!$B$36,0)</f>
        <v/>
      </c>
      <c r="W165" s="127">
        <f>IF(AND(W$11&gt;=FB146,W$11&lt;=FC146),'Rent Roll'!$B$36,0)</f>
        <v/>
      </c>
      <c r="X165" s="127">
        <f>IF(AND(X$11&gt;=FB146,X$11&lt;=FC146),'Rent Roll'!$B$36,0)</f>
        <v/>
      </c>
      <c r="Y165" s="127">
        <f>IF(AND(Y$11&gt;=FB146,Y$11&lt;=FC146),'Rent Roll'!$B$36,0)</f>
        <v/>
      </c>
      <c r="Z165" s="127">
        <f>IF(AND(Z$11&gt;=FB146,Z$11&lt;=FC146),'Rent Roll'!$B$36,0)</f>
        <v/>
      </c>
      <c r="AA165" s="127">
        <f>IF(AND(AA$11&gt;=FB146,AA$11&lt;=FC146),'Rent Roll'!$B$36,0)</f>
        <v/>
      </c>
      <c r="AB165" s="127">
        <f>IF(AND(AB$11&gt;=FB146,AB$11&lt;=FC146),'Rent Roll'!$B$36,0)</f>
        <v/>
      </c>
      <c r="AC165" s="127">
        <f>IF(AND(AC$11&gt;=FB146,AC$11&lt;=FC146),'Rent Roll'!$B$36,0)</f>
        <v/>
      </c>
      <c r="AD165" s="127">
        <f>IF(AND(AD$11&gt;=FB146,AD$11&lt;=FC146),'Rent Roll'!$B$36,0)</f>
        <v/>
      </c>
      <c r="AE165" s="127">
        <f>IF(AND(AE$11&gt;=FB146,AE$11&lt;=FC146),'Rent Roll'!$B$36,0)</f>
        <v/>
      </c>
      <c r="AF165" s="127">
        <f>IF(AND(AF$11&gt;=FB146,AF$11&lt;=FC146),'Rent Roll'!$B$36,0)</f>
        <v/>
      </c>
      <c r="AG165" s="127">
        <f>IF(AND(AG$11&gt;=FB146,AG$11&lt;=FC146),'Rent Roll'!$B$36,0)</f>
        <v/>
      </c>
      <c r="AH165" s="127">
        <f>IF(AND(AH$11&gt;=FB146,AH$11&lt;=FC146),'Rent Roll'!$B$36,0)</f>
        <v/>
      </c>
      <c r="AI165" s="127">
        <f>IF(AND(AI$11&gt;=FB146,AI$11&lt;=FC146),'Rent Roll'!$B$36,0)</f>
        <v/>
      </c>
      <c r="AJ165" s="127">
        <f>IF(AND(AJ$11&gt;=FB146,AJ$11&lt;=FC146),'Rent Roll'!$B$36,0)</f>
        <v/>
      </c>
      <c r="AK165" s="127">
        <f>IF(AND(AK$11&gt;=FB146,AK$11&lt;=FC146),'Rent Roll'!$B$36,0)</f>
        <v/>
      </c>
      <c r="AL165" s="127">
        <f>IF(AND(AL$11&gt;=FB146,AL$11&lt;=FC146),'Rent Roll'!$B$36,0)</f>
        <v/>
      </c>
      <c r="AM165" s="127">
        <f>IF(AND(AM$11&gt;=FB146,AM$11&lt;=FC146),'Rent Roll'!$B$36,0)</f>
        <v/>
      </c>
      <c r="AN165" s="127">
        <f>IF(AND(AN$11&gt;=FB146,AN$11&lt;=FC146),'Rent Roll'!$B$36,0)</f>
        <v/>
      </c>
      <c r="AO165" s="127">
        <f>IF(AND(AO$11&gt;=FB146,AO$11&lt;=FC146),'Rent Roll'!$B$36,0)</f>
        <v/>
      </c>
      <c r="AP165" s="127">
        <f>IF(AND(AP$11&gt;=FB146,AP$11&lt;=FC146),'Rent Roll'!$B$36,0)</f>
        <v/>
      </c>
      <c r="AQ165" s="127">
        <f>IF(AND(AQ$11&gt;=FB146,AQ$11&lt;=FC146),'Rent Roll'!$B$36,0)</f>
        <v/>
      </c>
      <c r="AR165" s="127">
        <f>IF(AND(AR$11&gt;=FB146,AR$11&lt;=FC146),'Rent Roll'!$B$36,0)</f>
        <v/>
      </c>
      <c r="AS165" s="127">
        <f>IF(AND(AS$11&gt;=FB146,AS$11&lt;=FC146),'Rent Roll'!$B$36,0)</f>
        <v/>
      </c>
      <c r="AT165" s="127">
        <f>IF(AND(AT$11&gt;=FB146,AT$11&lt;=FC146),'Rent Roll'!$B$36,0)</f>
        <v/>
      </c>
      <c r="AU165" s="127">
        <f>IF(AND(AU$11&gt;=FB146,AU$11&lt;=FC146),'Rent Roll'!$B$36,0)</f>
        <v/>
      </c>
      <c r="AV165" s="127">
        <f>IF(AND(AV$11&gt;=FB146,AV$11&lt;=FC146),'Rent Roll'!$B$36,0)</f>
        <v/>
      </c>
      <c r="AW165" s="127">
        <f>IF(AND(AW$11&gt;=FB146,AW$11&lt;=FC146),'Rent Roll'!$B$36,0)</f>
        <v/>
      </c>
      <c r="AX165" s="127">
        <f>IF(AND(AX$11&gt;=FB146,AX$11&lt;=FC146),'Rent Roll'!$B$36,0)</f>
        <v/>
      </c>
      <c r="AY165" s="127">
        <f>IF(AND(AY$11&gt;=FB146,AY$11&lt;=FC146),'Rent Roll'!$B$36,0)</f>
        <v/>
      </c>
      <c r="AZ165" s="127">
        <f>IF(AND(AZ$11&gt;=FB146,AZ$11&lt;=FC146),'Rent Roll'!$B$36,0)</f>
        <v/>
      </c>
      <c r="BA165" s="127">
        <f>IF(AND(BA$11&gt;=FB146,BA$11&lt;=FC146),'Rent Roll'!$B$36,0)</f>
        <v/>
      </c>
      <c r="BB165" s="127">
        <f>IF(AND(BB$11&gt;=FB146,BB$11&lt;=FC146),'Rent Roll'!$B$36,0)</f>
        <v/>
      </c>
      <c r="BC165" s="127">
        <f>IF(AND(BC$11&gt;=FB146,BC$11&lt;=FC146),'Rent Roll'!$B$36,0)</f>
        <v/>
      </c>
      <c r="BD165" s="127">
        <f>IF(AND(BD$11&gt;=FB146,BD$11&lt;=FC146),'Rent Roll'!$B$36,0)</f>
        <v/>
      </c>
      <c r="BE165" s="127">
        <f>IF(AND(BE$11&gt;=FB146,BE$11&lt;=FC146),'Rent Roll'!$B$36,0)</f>
        <v/>
      </c>
      <c r="BF165" s="127">
        <f>IF(AND(BF$11&gt;=FB146,BF$11&lt;=FC146),'Rent Roll'!$B$36,0)</f>
        <v/>
      </c>
      <c r="BG165" s="127">
        <f>IF(AND(BG$11&gt;=FB146,BG$11&lt;=FC146),'Rent Roll'!$B$36,0)</f>
        <v/>
      </c>
      <c r="BH165" s="127">
        <f>IF(AND(BH$11&gt;=FB146,BH$11&lt;=FC146),'Rent Roll'!$B$36,0)</f>
        <v/>
      </c>
      <c r="BI165" s="127">
        <f>IF(AND(BI$11&gt;=FB146,BI$11&lt;=FC146),'Rent Roll'!$B$36,0)</f>
        <v/>
      </c>
      <c r="BJ165" s="127">
        <f>IF(AND(BJ$11&gt;=FB146,BJ$11&lt;=FC146),'Rent Roll'!$B$36,0)</f>
        <v/>
      </c>
      <c r="BK165" s="127">
        <f>IF(AND(BK$11&gt;=FB146,BK$11&lt;=FC146),'Rent Roll'!$B$36,0)</f>
        <v/>
      </c>
      <c r="BL165" s="127">
        <f>IF(AND(BL$11&gt;=FB146,BL$11&lt;=FC146),'Rent Roll'!$B$36,0)</f>
        <v/>
      </c>
      <c r="BM165" s="127">
        <f>IF(AND(BM$11&gt;=FC146,BM$11&lt;=FD146),'Rent Roll'!$B$36,0)</f>
        <v/>
      </c>
      <c r="BN165" s="127">
        <f>IF(AND(BN$11&gt;=FD146,BN$11&lt;=FE146),'Rent Roll'!$B$36,0)</f>
        <v/>
      </c>
      <c r="BO165" s="127">
        <f>IF(AND(BO$11&gt;=FE146,BO$11&lt;=FF146),'Rent Roll'!$B$36,0)</f>
        <v/>
      </c>
      <c r="BP165" s="127">
        <f>IF(AND(BP$11&gt;=FF146,BP$11&lt;=FG146),'Rent Roll'!$B$36,0)</f>
        <v/>
      </c>
      <c r="BQ165" s="127">
        <f>IF(AND(BQ$11&gt;=FG146,BQ$11&lt;=FH146),'Rent Roll'!$B$36,0)</f>
        <v/>
      </c>
      <c r="BR165" s="127">
        <f>IF(AND(BR$11&gt;=FH146,BR$11&lt;=FI146),'Rent Roll'!$B$36,0)</f>
        <v/>
      </c>
      <c r="BS165" s="127">
        <f>IF(AND(BS$11&gt;=FI146,BS$11&lt;=FJ146),'Rent Roll'!$B$36,0)</f>
        <v/>
      </c>
      <c r="BT165" s="127">
        <f>IF(AND(BT$11&gt;=FJ146,BT$11&lt;=FK146),'Rent Roll'!$B$36,0)</f>
        <v/>
      </c>
      <c r="BU165" s="127">
        <f>IF(AND(BU$11&gt;=FK146,BU$11&lt;=FL146),'Rent Roll'!$B$36,0)</f>
        <v/>
      </c>
      <c r="BV165" s="127">
        <f>IF(AND(BV$11&gt;=FL146,BV$11&lt;=FM146),'Rent Roll'!$B$36,0)</f>
        <v/>
      </c>
      <c r="BW165" s="127">
        <f>IF(AND(BW$11&gt;=FM146,BW$11&lt;=FN146),'Rent Roll'!$B$36,0)</f>
        <v/>
      </c>
      <c r="BX165" s="127">
        <f>IF(AND(BX$11&gt;=FN146,BX$11&lt;=FO146),'Rent Roll'!$B$36,0)</f>
        <v/>
      </c>
      <c r="BY165" s="127">
        <f>IF(AND(BY$11&gt;=FO146,BY$11&lt;=FP146),'Rent Roll'!$B$36,0)</f>
        <v/>
      </c>
      <c r="BZ165" s="127">
        <f>IF(AND(BZ$11&gt;=FP146,BZ$11&lt;=FQ146),'Rent Roll'!$B$36,0)</f>
        <v/>
      </c>
      <c r="CA165" s="127">
        <f>IF(AND(CA$11&gt;=FQ146,CA$11&lt;=FR146),'Rent Roll'!$B$36,0)</f>
        <v/>
      </c>
      <c r="CB165" s="127">
        <f>IF(AND(CB$11&gt;=FR146,CB$11&lt;=FS146),'Rent Roll'!$B$36,0)</f>
        <v/>
      </c>
      <c r="CC165" s="127">
        <f>IF(AND(CC$11&gt;=FS146,CC$11&lt;=FT146),'Rent Roll'!$B$36,0)</f>
        <v/>
      </c>
      <c r="CD165" s="127">
        <f>IF(AND(CD$11&gt;=FT146,CD$11&lt;=FU146),'Rent Roll'!$B$36,0)</f>
        <v/>
      </c>
      <c r="CE165" s="127">
        <f>IF(AND(CE$11&gt;=FU146,CE$11&lt;=FV146),'Rent Roll'!$B$36,0)</f>
        <v/>
      </c>
      <c r="CF165" s="127">
        <f>IF(AND(CF$11&gt;=FV146,CF$11&lt;=FW146),'Rent Roll'!$B$36,0)</f>
        <v/>
      </c>
      <c r="CG165" s="127">
        <f>IF(AND(CG$11&gt;=FW146,CG$11&lt;=FX146),'Rent Roll'!$B$36,0)</f>
        <v/>
      </c>
      <c r="CH165" s="127">
        <f>IF(AND(CH$11&gt;=FX146,CH$11&lt;=FY146),'Rent Roll'!$B$36,0)</f>
        <v/>
      </c>
      <c r="CI165" s="127">
        <f>IF(AND(CI$11&gt;=FY146,CI$11&lt;=FZ146),'Rent Roll'!$B$36,0)</f>
        <v/>
      </c>
      <c r="CJ165" s="127">
        <f>IF(AND(CJ$11&gt;=FZ146,CJ$11&lt;=GA146),'Rent Roll'!$B$36,0)</f>
        <v/>
      </c>
      <c r="CK165" s="127">
        <f>IF(AND(CK$11&gt;=GA146,CK$11&lt;=GB146),'Rent Roll'!$B$36,0)</f>
        <v/>
      </c>
      <c r="CL165" s="127">
        <f>IF(AND(CL$11&gt;=GB146,CL$11&lt;=GC146),'Rent Roll'!$B$36,0)</f>
        <v/>
      </c>
      <c r="CM165" s="127">
        <f>IF(AND(CM$11&gt;=GC146,CM$11&lt;=GD146),'Rent Roll'!$B$36,0)</f>
        <v/>
      </c>
      <c r="CN165" s="127">
        <f>IF(AND(CN$11&gt;=GD146,CN$11&lt;=GE146),'Rent Roll'!$B$36,0)</f>
        <v/>
      </c>
      <c r="CO165" s="127">
        <f>IF(AND(CO$11&gt;=GE146,CO$11&lt;=GF146),'Rent Roll'!$B$36,0)</f>
        <v/>
      </c>
      <c r="CP165" s="127">
        <f>IF(AND(CP$11&gt;=GF146,CP$11&lt;=GG146),'Rent Roll'!$B$36,0)</f>
        <v/>
      </c>
      <c r="CQ165" s="127">
        <f>IF(AND(CQ$11&gt;=GG146,CQ$11&lt;=GH146),'Rent Roll'!$B$36,0)</f>
        <v/>
      </c>
      <c r="CR165" s="127">
        <f>IF(AND(CR$11&gt;=GH146,CR$11&lt;=GI146),'Rent Roll'!$B$36,0)</f>
        <v/>
      </c>
      <c r="CS165" s="127">
        <f>IF(AND(CS$11&gt;=GI146,CS$11&lt;=GJ146),'Rent Roll'!$B$36,0)</f>
        <v/>
      </c>
      <c r="CT165" s="127">
        <f>IF(AND(CT$11&gt;=GJ146,CT$11&lt;=GK146),'Rent Roll'!$B$36,0)</f>
        <v/>
      </c>
      <c r="CU165" s="127">
        <f>IF(AND(CU$11&gt;=GK146,CU$11&lt;=GL146),'Rent Roll'!$B$36,0)</f>
        <v/>
      </c>
      <c r="CV165" s="127">
        <f>IF(AND(CV$11&gt;=GL146,CV$11&lt;=GM146),'Rent Roll'!$B$36,0)</f>
        <v/>
      </c>
      <c r="CW165" s="127">
        <f>IF(AND(CW$11&gt;=GM146,CW$11&lt;=GN146),'Rent Roll'!$B$36,0)</f>
        <v/>
      </c>
      <c r="CX165" s="127">
        <f>IF(AND(CX$11&gt;=GN146,CX$11&lt;=GO146),'Rent Roll'!$B$36,0)</f>
        <v/>
      </c>
      <c r="CY165" s="127">
        <f>IF(AND(CY$11&gt;=GO146,CY$11&lt;=GP146),'Rent Roll'!$B$36,0)</f>
        <v/>
      </c>
      <c r="CZ165" s="127">
        <f>IF(AND(CZ$11&gt;=GP146,CZ$11&lt;=GQ146),'Rent Roll'!$B$36,0)</f>
        <v/>
      </c>
      <c r="DA165" s="127">
        <f>IF(AND(DA$11&gt;=GQ146,DA$11&lt;=GR146),'Rent Roll'!$B$36,0)</f>
        <v/>
      </c>
      <c r="DB165" s="127">
        <f>IF(AND(DB$11&gt;=GR146,DB$11&lt;=GS146),'Rent Roll'!$B$36,0)</f>
        <v/>
      </c>
      <c r="DC165" s="127">
        <f>IF(AND(DC$11&gt;=GS146,DC$11&lt;=GT146),'Rent Roll'!$B$36,0)</f>
        <v/>
      </c>
      <c r="DD165" s="127">
        <f>IF(AND(DD$11&gt;=GT146,DD$11&lt;=GU146),'Rent Roll'!$B$36,0)</f>
        <v/>
      </c>
      <c r="DE165" s="127">
        <f>IF(AND(DE$11&gt;=GU146,DE$11&lt;=GV146),'Rent Roll'!$B$36,0)</f>
        <v/>
      </c>
      <c r="DF165" s="127">
        <f>IF(AND(DF$11&gt;=GV146,DF$11&lt;=GW146),'Rent Roll'!$B$36,0)</f>
        <v/>
      </c>
      <c r="DG165" s="127">
        <f>IF(AND(DG$11&gt;=GW146,DG$11&lt;=GX146),'Rent Roll'!$B$36,0)</f>
        <v/>
      </c>
      <c r="DH165" s="127">
        <f>IF(AND(DH$11&gt;=GX146,DH$11&lt;=GY146),'Rent Roll'!$B$36,0)</f>
        <v/>
      </c>
      <c r="DI165" s="127">
        <f>IF(AND(DI$11&gt;=GY146,DI$11&lt;=GZ146),'Rent Roll'!$B$36,0)</f>
        <v/>
      </c>
      <c r="DJ165" s="127">
        <f>IF(AND(DJ$11&gt;=GZ146,DJ$11&lt;=HA146),'Rent Roll'!$B$36,0)</f>
        <v/>
      </c>
      <c r="DK165" s="127">
        <f>IF(AND(DK$11&gt;=HA146,DK$11&lt;=HB146),'Rent Roll'!$B$36,0)</f>
        <v/>
      </c>
      <c r="DL165" s="127">
        <f>IF(AND(DL$11&gt;=HB146,DL$11&lt;=HC146),'Rent Roll'!$B$36,0)</f>
        <v/>
      </c>
      <c r="DM165" s="127">
        <f>IF(AND(DM$11&gt;=HC146,DM$11&lt;=HD146),'Rent Roll'!$B$36,0)</f>
        <v/>
      </c>
      <c r="DN165" s="127">
        <f>IF(AND(DN$11&gt;=HD146,DN$11&lt;=HE146),'Rent Roll'!$B$36,0)</f>
        <v/>
      </c>
      <c r="DO165" s="127">
        <f>IF(AND(DO$11&gt;=HE146,DO$11&lt;=HF146),'Rent Roll'!$B$36,0)</f>
        <v/>
      </c>
      <c r="DP165" s="127">
        <f>IF(AND(DP$11&gt;=HF146,DP$11&lt;=HG146),'Rent Roll'!$B$36,0)</f>
        <v/>
      </c>
      <c r="DQ165" s="127">
        <f>IF(AND(DQ$11&gt;=HG146,DQ$11&lt;=HH146),'Rent Roll'!$B$36,0)</f>
        <v/>
      </c>
      <c r="DR165" s="127">
        <f>IF(AND(DR$11&gt;=HH146,DR$11&lt;=HI146),'Rent Roll'!$B$36,0)</f>
        <v/>
      </c>
      <c r="DS165" s="127">
        <f>IF(AND(DS$11&gt;=HI146,DS$11&lt;=HJ146),'Rent Roll'!$B$36,0)</f>
        <v/>
      </c>
      <c r="DT165" s="127">
        <f>IF(AND(DT$11&gt;=HJ146,DT$11&lt;=HK146),'Rent Roll'!$B$36,0)</f>
        <v/>
      </c>
      <c r="DV165">
        <f>DV146&amp;" ActiveSF"</f>
        <v/>
      </c>
    </row>
    <row r="166" ht="15" customHeight="1" s="148">
      <c r="D166" s="232">
        <f>IF(AND(D$11&gt;=FB147,D$11&lt;=FC147),IF((D$11-FB147)&lt;'Rent Roll'!$K$37,0,'Rent Roll'!$B$37*'Rent Roll'!$D$37*(1+'Rent Roll'!$F$37)^INT((D$11-FB147)/12)/12),0)</f>
        <v/>
      </c>
      <c r="E166" s="232">
        <f>IF(AND(E$11&gt;=FB147,E$11&lt;=FC147),IF((E$11-FB147)&lt;'Rent Roll'!$K$37,0,'Rent Roll'!$B$37*'Rent Roll'!$D$37*(1+'Rent Roll'!$F$37)^INT((E$11-FB147)/12)/12),0)</f>
        <v/>
      </c>
      <c r="F166" s="232">
        <f>IF(AND(F$11&gt;=FB147,F$11&lt;=FC147),IF((F$11-FB147)&lt;'Rent Roll'!$K$37,0,'Rent Roll'!$B$37*'Rent Roll'!$D$37*(1+'Rent Roll'!$F$37)^INT((F$11-FB147)/12)/12),0)</f>
        <v/>
      </c>
      <c r="G166" s="232">
        <f>IF(AND(G$11&gt;=FB147,G$11&lt;=FC147),IF((G$11-FB147)&lt;'Rent Roll'!$K$37,0,'Rent Roll'!$B$37*'Rent Roll'!$D$37*(1+'Rent Roll'!$F$37)^INT((G$11-FB147)/12)/12),0)</f>
        <v/>
      </c>
      <c r="H166" s="232">
        <f>IF(AND(H$11&gt;=FB147,H$11&lt;=FC147),IF((H$11-FB147)&lt;'Rent Roll'!$K$37,0,'Rent Roll'!$B$37*'Rent Roll'!$D$37*(1+'Rent Roll'!$F$37)^INT((H$11-FB147)/12)/12),0)</f>
        <v/>
      </c>
      <c r="I166" s="232">
        <f>IF(AND(I$11&gt;=FB147,I$11&lt;=FC147),IF((I$11-FB147)&lt;'Rent Roll'!$K$37,0,'Rent Roll'!$B$37*'Rent Roll'!$D$37*(1+'Rent Roll'!$F$37)^INT((I$11-FB147)/12)/12),0)</f>
        <v/>
      </c>
      <c r="J166" s="232">
        <f>IF(AND(J$11&gt;=FB147,J$11&lt;=FC147),IF((J$11-FB147)&lt;'Rent Roll'!$K$37,0,'Rent Roll'!$B$37*'Rent Roll'!$D$37*(1+'Rent Roll'!$F$37)^INT((J$11-FB147)/12)/12),0)</f>
        <v/>
      </c>
      <c r="K166" s="232">
        <f>IF(AND(K$11&gt;=FB147,K$11&lt;=FC147),IF((K$11-FB147)&lt;'Rent Roll'!$K$37,0,'Rent Roll'!$B$37*'Rent Roll'!$D$37*(1+'Rent Roll'!$F$37)^INT((K$11-FB147)/12)/12),0)</f>
        <v/>
      </c>
      <c r="L166" s="232">
        <f>IF(AND(L$11&gt;=FB147,L$11&lt;=FC147),IF((L$11-FB147)&lt;'Rent Roll'!$K$37,0,'Rent Roll'!$B$37*'Rent Roll'!$D$37*(1+'Rent Roll'!$F$37)^INT((L$11-FB147)/12)/12),0)</f>
        <v/>
      </c>
      <c r="M166" s="232">
        <f>IF(AND(M$11&gt;=FB147,M$11&lt;=FC147),IF((M$11-FB147)&lt;'Rent Roll'!$K$37,0,'Rent Roll'!$B$37*'Rent Roll'!$D$37*(1+'Rent Roll'!$F$37)^INT((M$11-FB147)/12)/12),0)</f>
        <v/>
      </c>
      <c r="N166" s="232">
        <f>IF(AND(N$11&gt;=FB147,N$11&lt;=FC147),IF((N$11-FB147)&lt;'Rent Roll'!$K$37,0,'Rent Roll'!$B$37*'Rent Roll'!$D$37*(1+'Rent Roll'!$F$37)^INT((N$11-FB147)/12)/12),0)</f>
        <v/>
      </c>
      <c r="O166" s="232">
        <f>IF(AND(O$11&gt;=FB147,O$11&lt;=FC147),IF((O$11-FB147)&lt;'Rent Roll'!$K$37,0,'Rent Roll'!$B$37*'Rent Roll'!$D$37*(1+'Rent Roll'!$F$37)^INT((O$11-FB147)/12)/12),0)</f>
        <v/>
      </c>
      <c r="P166" s="232">
        <f>IF(AND(P$11&gt;=FB147,P$11&lt;=FC147),IF((P$11-FB147)&lt;'Rent Roll'!$K$37,0,'Rent Roll'!$B$37*'Rent Roll'!$D$37*(1+'Rent Roll'!$F$37)^INT((P$11-FB147)/12)/12),0)</f>
        <v/>
      </c>
      <c r="Q166" s="232">
        <f>IF(AND(Q$11&gt;=FB147,Q$11&lt;=FC147),IF((Q$11-FB147)&lt;'Rent Roll'!$K$37,0,'Rent Roll'!$B$37*'Rent Roll'!$D$37*(1+'Rent Roll'!$F$37)^INT((Q$11-FB147)/12)/12),0)</f>
        <v/>
      </c>
      <c r="R166" s="232">
        <f>IF(AND(R$11&gt;=FB147,R$11&lt;=FC147),IF((R$11-FB147)&lt;'Rent Roll'!$K$37,0,'Rent Roll'!$B$37*'Rent Roll'!$D$37*(1+'Rent Roll'!$F$37)^INT((R$11-FB147)/12)/12),0)</f>
        <v/>
      </c>
      <c r="S166" s="232">
        <f>IF(AND(S$11&gt;=FB147,S$11&lt;=FC147),IF((S$11-FB147)&lt;'Rent Roll'!$K$37,0,'Rent Roll'!$B$37*'Rent Roll'!$D$37*(1+'Rent Roll'!$F$37)^INT((S$11-FB147)/12)/12),0)</f>
        <v/>
      </c>
      <c r="T166" s="232">
        <f>IF(AND(T$11&gt;=FB147,T$11&lt;=FC147),IF((T$11-FB147)&lt;'Rent Roll'!$K$37,0,'Rent Roll'!$B$37*'Rent Roll'!$D$37*(1+'Rent Roll'!$F$37)^INT((T$11-FB147)/12)/12),0)</f>
        <v/>
      </c>
      <c r="U166" s="232">
        <f>IF(AND(U$11&gt;=FB147,U$11&lt;=FC147),IF((U$11-FB147)&lt;'Rent Roll'!$K$37,0,'Rent Roll'!$B$37*'Rent Roll'!$D$37*(1+'Rent Roll'!$F$37)^INT((U$11-FB147)/12)/12),0)</f>
        <v/>
      </c>
      <c r="V166" s="232">
        <f>IF(AND(V$11&gt;=FB147,V$11&lt;=FC147),IF((V$11-FB147)&lt;'Rent Roll'!$K$37,0,'Rent Roll'!$B$37*'Rent Roll'!$D$37*(1+'Rent Roll'!$F$37)^INT((V$11-FB147)/12)/12),0)</f>
        <v/>
      </c>
      <c r="W166" s="232">
        <f>IF(AND(W$11&gt;=FB147,W$11&lt;=FC147),IF((W$11-FB147)&lt;'Rent Roll'!$K$37,0,'Rent Roll'!$B$37*'Rent Roll'!$D$37*(1+'Rent Roll'!$F$37)^INT((W$11-FB147)/12)/12),0)</f>
        <v/>
      </c>
      <c r="X166" s="232">
        <f>IF(AND(X$11&gt;=FB147,X$11&lt;=FC147),IF((X$11-FB147)&lt;'Rent Roll'!$K$37,0,'Rent Roll'!$B$37*'Rent Roll'!$D$37*(1+'Rent Roll'!$F$37)^INT((X$11-FB147)/12)/12),0)</f>
        <v/>
      </c>
      <c r="Y166" s="232">
        <f>IF(AND(Y$11&gt;=FB147,Y$11&lt;=FC147),IF((Y$11-FB147)&lt;'Rent Roll'!$K$37,0,'Rent Roll'!$B$37*'Rent Roll'!$D$37*(1+'Rent Roll'!$F$37)^INT((Y$11-FB147)/12)/12),0)</f>
        <v/>
      </c>
      <c r="Z166" s="232">
        <f>IF(AND(Z$11&gt;=FB147,Z$11&lt;=FC147),IF((Z$11-FB147)&lt;'Rent Roll'!$K$37,0,'Rent Roll'!$B$37*'Rent Roll'!$D$37*(1+'Rent Roll'!$F$37)^INT((Z$11-FB147)/12)/12),0)</f>
        <v/>
      </c>
      <c r="AA166" s="232">
        <f>IF(AND(AA$11&gt;=FB147,AA$11&lt;=FC147),IF((AA$11-FB147)&lt;'Rent Roll'!$K$37,0,'Rent Roll'!$B$37*'Rent Roll'!$D$37*(1+'Rent Roll'!$F$37)^INT((AA$11-FB147)/12)/12),0)</f>
        <v/>
      </c>
      <c r="AB166" s="232">
        <f>IF(AND(AB$11&gt;=FB147,AB$11&lt;=FC147),IF((AB$11-FB147)&lt;'Rent Roll'!$K$37,0,'Rent Roll'!$B$37*'Rent Roll'!$D$37*(1+'Rent Roll'!$F$37)^INT((AB$11-FB147)/12)/12),0)</f>
        <v/>
      </c>
      <c r="AC166" s="232">
        <f>IF(AND(AC$11&gt;=FB147,AC$11&lt;=FC147),IF((AC$11-FB147)&lt;'Rent Roll'!$K$37,0,'Rent Roll'!$B$37*'Rent Roll'!$D$37*(1+'Rent Roll'!$F$37)^INT((AC$11-FB147)/12)/12),0)</f>
        <v/>
      </c>
      <c r="AD166" s="232">
        <f>IF(AND(AD$11&gt;=FB147,AD$11&lt;=FC147),IF((AD$11-FB147)&lt;'Rent Roll'!$K$37,0,'Rent Roll'!$B$37*'Rent Roll'!$D$37*(1+'Rent Roll'!$F$37)^INT((AD$11-FB147)/12)/12),0)</f>
        <v/>
      </c>
      <c r="AE166" s="232">
        <f>IF(AND(AE$11&gt;=FB147,AE$11&lt;=FC147),IF((AE$11-FB147)&lt;'Rent Roll'!$K$37,0,'Rent Roll'!$B$37*'Rent Roll'!$D$37*(1+'Rent Roll'!$F$37)^INT((AE$11-FB147)/12)/12),0)</f>
        <v/>
      </c>
      <c r="AF166" s="232">
        <f>IF(AND(AF$11&gt;=FB147,AF$11&lt;=FC147),IF((AF$11-FB147)&lt;'Rent Roll'!$K$37,0,'Rent Roll'!$B$37*'Rent Roll'!$D$37*(1+'Rent Roll'!$F$37)^INT((AF$11-FB147)/12)/12),0)</f>
        <v/>
      </c>
      <c r="AG166" s="232">
        <f>IF(AND(AG$11&gt;=FB147,AG$11&lt;=FC147),IF((AG$11-FB147)&lt;'Rent Roll'!$K$37,0,'Rent Roll'!$B$37*'Rent Roll'!$D$37*(1+'Rent Roll'!$F$37)^INT((AG$11-FB147)/12)/12),0)</f>
        <v/>
      </c>
      <c r="AH166" s="232">
        <f>IF(AND(AH$11&gt;=FB147,AH$11&lt;=FC147),IF((AH$11-FB147)&lt;'Rent Roll'!$K$37,0,'Rent Roll'!$B$37*'Rent Roll'!$D$37*(1+'Rent Roll'!$F$37)^INT((AH$11-FB147)/12)/12),0)</f>
        <v/>
      </c>
      <c r="AI166" s="232">
        <f>IF(AND(AI$11&gt;=FB147,AI$11&lt;=FC147),IF((AI$11-FB147)&lt;'Rent Roll'!$K$37,0,'Rent Roll'!$B$37*'Rent Roll'!$D$37*(1+'Rent Roll'!$F$37)^INT((AI$11-FB147)/12)/12),0)</f>
        <v/>
      </c>
      <c r="AJ166" s="232">
        <f>IF(AND(AJ$11&gt;=FB147,AJ$11&lt;=FC147),IF((AJ$11-FB147)&lt;'Rent Roll'!$K$37,0,'Rent Roll'!$B$37*'Rent Roll'!$D$37*(1+'Rent Roll'!$F$37)^INT((AJ$11-FB147)/12)/12),0)</f>
        <v/>
      </c>
      <c r="AK166" s="232">
        <f>IF(AND(AK$11&gt;=FB147,AK$11&lt;=FC147),IF((AK$11-FB147)&lt;'Rent Roll'!$K$37,0,'Rent Roll'!$B$37*'Rent Roll'!$D$37*(1+'Rent Roll'!$F$37)^INT((AK$11-FB147)/12)/12),0)</f>
        <v/>
      </c>
      <c r="AL166" s="232">
        <f>IF(AND(AL$11&gt;=FB147,AL$11&lt;=FC147),IF((AL$11-FB147)&lt;'Rent Roll'!$K$37,0,'Rent Roll'!$B$37*'Rent Roll'!$D$37*(1+'Rent Roll'!$F$37)^INT((AL$11-FB147)/12)/12),0)</f>
        <v/>
      </c>
      <c r="AM166" s="232">
        <f>IF(AND(AM$11&gt;=FB147,AM$11&lt;=FC147),IF((AM$11-FB147)&lt;'Rent Roll'!$K$37,0,'Rent Roll'!$B$37*'Rent Roll'!$D$37*(1+'Rent Roll'!$F$37)^INT((AM$11-FB147)/12)/12),0)</f>
        <v/>
      </c>
      <c r="AN166" s="232">
        <f>IF(AND(AN$11&gt;=FB147,AN$11&lt;=FC147),IF((AN$11-FB147)&lt;'Rent Roll'!$K$37,0,'Rent Roll'!$B$37*'Rent Roll'!$D$37*(1+'Rent Roll'!$F$37)^INT((AN$11-FB147)/12)/12),0)</f>
        <v/>
      </c>
      <c r="AO166" s="232">
        <f>IF(AND(AO$11&gt;=FB147,AO$11&lt;=FC147),IF((AO$11-FB147)&lt;'Rent Roll'!$K$37,0,'Rent Roll'!$B$37*'Rent Roll'!$D$37*(1+'Rent Roll'!$F$37)^INT((AO$11-FB147)/12)/12),0)</f>
        <v/>
      </c>
      <c r="AP166" s="232">
        <f>IF(AND(AP$11&gt;=FB147,AP$11&lt;=FC147),IF((AP$11-FB147)&lt;'Rent Roll'!$K$37,0,'Rent Roll'!$B$37*'Rent Roll'!$D$37*(1+'Rent Roll'!$F$37)^INT((AP$11-FB147)/12)/12),0)</f>
        <v/>
      </c>
      <c r="AQ166" s="232">
        <f>IF(AND(AQ$11&gt;=FB147,AQ$11&lt;=FC147),IF((AQ$11-FB147)&lt;'Rent Roll'!$K$37,0,'Rent Roll'!$B$37*'Rent Roll'!$D$37*(1+'Rent Roll'!$F$37)^INT((AQ$11-FB147)/12)/12),0)</f>
        <v/>
      </c>
      <c r="AR166" s="232">
        <f>IF(AND(AR$11&gt;=FB147,AR$11&lt;=FC147),IF((AR$11-FB147)&lt;'Rent Roll'!$K$37,0,'Rent Roll'!$B$37*'Rent Roll'!$D$37*(1+'Rent Roll'!$F$37)^INT((AR$11-FB147)/12)/12),0)</f>
        <v/>
      </c>
      <c r="AS166" s="232">
        <f>IF(AND(AS$11&gt;=FB147,AS$11&lt;=FC147),IF((AS$11-FB147)&lt;'Rent Roll'!$K$37,0,'Rent Roll'!$B$37*'Rent Roll'!$D$37*(1+'Rent Roll'!$F$37)^INT((AS$11-FB147)/12)/12),0)</f>
        <v/>
      </c>
      <c r="AT166" s="232">
        <f>IF(AND(AT$11&gt;=FB147,AT$11&lt;=FC147),IF((AT$11-FB147)&lt;'Rent Roll'!$K$37,0,'Rent Roll'!$B$37*'Rent Roll'!$D$37*(1+'Rent Roll'!$F$37)^INT((AT$11-FB147)/12)/12),0)</f>
        <v/>
      </c>
      <c r="AU166" s="232">
        <f>IF(AND(AU$11&gt;=FB147,AU$11&lt;=FC147),IF((AU$11-FB147)&lt;'Rent Roll'!$K$37,0,'Rent Roll'!$B$37*'Rent Roll'!$D$37*(1+'Rent Roll'!$F$37)^INT((AU$11-FB147)/12)/12),0)</f>
        <v/>
      </c>
      <c r="AV166" s="232">
        <f>IF(AND(AV$11&gt;=FB147,AV$11&lt;=FC147),IF((AV$11-FB147)&lt;'Rent Roll'!$K$37,0,'Rent Roll'!$B$37*'Rent Roll'!$D$37*(1+'Rent Roll'!$F$37)^INT((AV$11-FB147)/12)/12),0)</f>
        <v/>
      </c>
      <c r="AW166" s="232">
        <f>IF(AND(AW$11&gt;=FB147,AW$11&lt;=FC147),IF((AW$11-FB147)&lt;'Rent Roll'!$K$37,0,'Rent Roll'!$B$37*'Rent Roll'!$D$37*(1+'Rent Roll'!$F$37)^INT((AW$11-FB147)/12)/12),0)</f>
        <v/>
      </c>
      <c r="AX166" s="232">
        <f>IF(AND(AX$11&gt;=FB147,AX$11&lt;=FC147),IF((AX$11-FB147)&lt;'Rent Roll'!$K$37,0,'Rent Roll'!$B$37*'Rent Roll'!$D$37*(1+'Rent Roll'!$F$37)^INT((AX$11-FB147)/12)/12),0)</f>
        <v/>
      </c>
      <c r="AY166" s="232">
        <f>IF(AND(AY$11&gt;=FB147,AY$11&lt;=FC147),IF((AY$11-FB147)&lt;'Rent Roll'!$K$37,0,'Rent Roll'!$B$37*'Rent Roll'!$D$37*(1+'Rent Roll'!$F$37)^INT((AY$11-FB147)/12)/12),0)</f>
        <v/>
      </c>
      <c r="AZ166" s="232">
        <f>IF(AND(AZ$11&gt;=FB147,AZ$11&lt;=FC147),IF((AZ$11-FB147)&lt;'Rent Roll'!$K$37,0,'Rent Roll'!$B$37*'Rent Roll'!$D$37*(1+'Rent Roll'!$F$37)^INT((AZ$11-FB147)/12)/12),0)</f>
        <v/>
      </c>
      <c r="BA166" s="232">
        <f>IF(AND(BA$11&gt;=FB147,BA$11&lt;=FC147),IF((BA$11-FB147)&lt;'Rent Roll'!$K$37,0,'Rent Roll'!$B$37*'Rent Roll'!$D$37*(1+'Rent Roll'!$F$37)^INT((BA$11-FB147)/12)/12),0)</f>
        <v/>
      </c>
      <c r="BB166" s="232">
        <f>IF(AND(BB$11&gt;=FB147,BB$11&lt;=FC147),IF((BB$11-FB147)&lt;'Rent Roll'!$K$37,0,'Rent Roll'!$B$37*'Rent Roll'!$D$37*(1+'Rent Roll'!$F$37)^INT((BB$11-FB147)/12)/12),0)</f>
        <v/>
      </c>
      <c r="BC166" s="232">
        <f>IF(AND(BC$11&gt;=FB147,BC$11&lt;=FC147),IF((BC$11-FB147)&lt;'Rent Roll'!$K$37,0,'Rent Roll'!$B$37*'Rent Roll'!$D$37*(1+'Rent Roll'!$F$37)^INT((BC$11-FB147)/12)/12),0)</f>
        <v/>
      </c>
      <c r="BD166" s="232">
        <f>IF(AND(BD$11&gt;=FB147,BD$11&lt;=FC147),IF((BD$11-FB147)&lt;'Rent Roll'!$K$37,0,'Rent Roll'!$B$37*'Rent Roll'!$D$37*(1+'Rent Roll'!$F$37)^INT((BD$11-FB147)/12)/12),0)</f>
        <v/>
      </c>
      <c r="BE166" s="232">
        <f>IF(AND(BE$11&gt;=FB147,BE$11&lt;=FC147),IF((BE$11-FB147)&lt;'Rent Roll'!$K$37,0,'Rent Roll'!$B$37*'Rent Roll'!$D$37*(1+'Rent Roll'!$F$37)^INT((BE$11-FB147)/12)/12),0)</f>
        <v/>
      </c>
      <c r="BF166" s="232">
        <f>IF(AND(BF$11&gt;=FB147,BF$11&lt;=FC147),IF((BF$11-FB147)&lt;'Rent Roll'!$K$37,0,'Rent Roll'!$B$37*'Rent Roll'!$D$37*(1+'Rent Roll'!$F$37)^INT((BF$11-FB147)/12)/12),0)</f>
        <v/>
      </c>
      <c r="BG166" s="232">
        <f>IF(AND(BG$11&gt;=FB147,BG$11&lt;=FC147),IF((BG$11-FB147)&lt;'Rent Roll'!$K$37,0,'Rent Roll'!$B$37*'Rent Roll'!$D$37*(1+'Rent Roll'!$F$37)^INT((BG$11-FB147)/12)/12),0)</f>
        <v/>
      </c>
      <c r="BH166" s="232">
        <f>IF(AND(BH$11&gt;=FB147,BH$11&lt;=FC147),IF((BH$11-FB147)&lt;'Rent Roll'!$K$37,0,'Rent Roll'!$B$37*'Rent Roll'!$D$37*(1+'Rent Roll'!$F$37)^INT((BH$11-FB147)/12)/12),0)</f>
        <v/>
      </c>
      <c r="BI166" s="232">
        <f>IF(AND(BI$11&gt;=FB147,BI$11&lt;=FC147),IF((BI$11-FB147)&lt;'Rent Roll'!$K$37,0,'Rent Roll'!$B$37*'Rent Roll'!$D$37*(1+'Rent Roll'!$F$37)^INT((BI$11-FB147)/12)/12),0)</f>
        <v/>
      </c>
      <c r="BJ166" s="232">
        <f>IF(AND(BJ$11&gt;=FB147,BJ$11&lt;=FC147),IF((BJ$11-FB147)&lt;'Rent Roll'!$K$37,0,'Rent Roll'!$B$37*'Rent Roll'!$D$37*(1+'Rent Roll'!$F$37)^INT((BJ$11-FB147)/12)/12),0)</f>
        <v/>
      </c>
      <c r="BK166" s="232">
        <f>IF(AND(BK$11&gt;=FB147,BK$11&lt;=FC147),IF((BK$11-FB147)&lt;'Rent Roll'!$K$37,0,'Rent Roll'!$B$37*'Rent Roll'!$D$37*(1+'Rent Roll'!$F$37)^INT((BK$11-FB147)/12)/12),0)</f>
        <v/>
      </c>
      <c r="BL166" s="232">
        <f>IF(AND(BL$11&gt;=FB147,BL$11&lt;=FC147),IF((BL$11-FB147)&lt;'Rent Roll'!$K$37,0,'Rent Roll'!$B$37*'Rent Roll'!$D$37*(1+'Rent Roll'!$F$37)^INT((BL$11-FB147)/12)/12),0)</f>
        <v/>
      </c>
      <c r="BM166" s="232">
        <f>IF(AND(BM$11&gt;=FC147,BM$11&lt;=FD147),IF((BM$11-FC147)&lt;'Rent Roll'!$K$37,0,'Rent Roll'!$B$37*'Rent Roll'!$D$37*(1+'Rent Roll'!$F$37)^INT((BM$11-FC147)/12)/12),0)</f>
        <v/>
      </c>
      <c r="BN166" s="232">
        <f>IF(AND(BN$11&gt;=FD147,BN$11&lt;=FE147),IF((BN$11-FD147)&lt;'Rent Roll'!$K$37,0,'Rent Roll'!$B$37*'Rent Roll'!$D$37*(1+'Rent Roll'!$F$37)^INT((BN$11-FD147)/12)/12),0)</f>
        <v/>
      </c>
      <c r="BO166" s="232">
        <f>IF(AND(BO$11&gt;=FE147,BO$11&lt;=FF147),IF((BO$11-FE147)&lt;'Rent Roll'!$K$37,0,'Rent Roll'!$B$37*'Rent Roll'!$D$37*(1+'Rent Roll'!$F$37)^INT((BO$11-FE147)/12)/12),0)</f>
        <v/>
      </c>
      <c r="BP166" s="232">
        <f>IF(AND(BP$11&gt;=FF147,BP$11&lt;=FG147),IF((BP$11-FF147)&lt;'Rent Roll'!$K$37,0,'Rent Roll'!$B$37*'Rent Roll'!$D$37*(1+'Rent Roll'!$F$37)^INT((BP$11-FF147)/12)/12),0)</f>
        <v/>
      </c>
      <c r="BQ166" s="232">
        <f>IF(AND(BQ$11&gt;=FG147,BQ$11&lt;=FH147),IF((BQ$11-FG147)&lt;'Rent Roll'!$K$37,0,'Rent Roll'!$B$37*'Rent Roll'!$D$37*(1+'Rent Roll'!$F$37)^INT((BQ$11-FG147)/12)/12),0)</f>
        <v/>
      </c>
      <c r="BR166" s="232">
        <f>IF(AND(BR$11&gt;=FH147,BR$11&lt;=FI147),IF((BR$11-FH147)&lt;'Rent Roll'!$K$37,0,'Rent Roll'!$B$37*'Rent Roll'!$D$37*(1+'Rent Roll'!$F$37)^INT((BR$11-FH147)/12)/12),0)</f>
        <v/>
      </c>
      <c r="BS166" s="232">
        <f>IF(AND(BS$11&gt;=FI147,BS$11&lt;=FJ147),IF((BS$11-FI147)&lt;'Rent Roll'!$K$37,0,'Rent Roll'!$B$37*'Rent Roll'!$D$37*(1+'Rent Roll'!$F$37)^INT((BS$11-FI147)/12)/12),0)</f>
        <v/>
      </c>
      <c r="BT166" s="232">
        <f>IF(AND(BT$11&gt;=FJ147,BT$11&lt;=FK147),IF((BT$11-FJ147)&lt;'Rent Roll'!$K$37,0,'Rent Roll'!$B$37*'Rent Roll'!$D$37*(1+'Rent Roll'!$F$37)^INT((BT$11-FJ147)/12)/12),0)</f>
        <v/>
      </c>
      <c r="BU166" s="232">
        <f>IF(AND(BU$11&gt;=FK147,BU$11&lt;=FL147),IF((BU$11-FK147)&lt;'Rent Roll'!$K$37,0,'Rent Roll'!$B$37*'Rent Roll'!$D$37*(1+'Rent Roll'!$F$37)^INT((BU$11-FK147)/12)/12),0)</f>
        <v/>
      </c>
      <c r="BV166" s="232">
        <f>IF(AND(BV$11&gt;=FL147,BV$11&lt;=FM147),IF((BV$11-FL147)&lt;'Rent Roll'!$K$37,0,'Rent Roll'!$B$37*'Rent Roll'!$D$37*(1+'Rent Roll'!$F$37)^INT((BV$11-FL147)/12)/12),0)</f>
        <v/>
      </c>
      <c r="BW166" s="232">
        <f>IF(AND(BW$11&gt;=FM147,BW$11&lt;=FN147),IF((BW$11-FM147)&lt;'Rent Roll'!$K$37,0,'Rent Roll'!$B$37*'Rent Roll'!$D$37*(1+'Rent Roll'!$F$37)^INT((BW$11-FM147)/12)/12),0)</f>
        <v/>
      </c>
      <c r="BX166" s="232">
        <f>IF(AND(BX$11&gt;=FN147,BX$11&lt;=FO147),IF((BX$11-FN147)&lt;'Rent Roll'!$K$37,0,'Rent Roll'!$B$37*'Rent Roll'!$D$37*(1+'Rent Roll'!$F$37)^INT((BX$11-FN147)/12)/12),0)</f>
        <v/>
      </c>
      <c r="BY166" s="232">
        <f>IF(AND(BY$11&gt;=FO147,BY$11&lt;=FP147),IF((BY$11-FO147)&lt;'Rent Roll'!$K$37,0,'Rent Roll'!$B$37*'Rent Roll'!$D$37*(1+'Rent Roll'!$F$37)^INT((BY$11-FO147)/12)/12),0)</f>
        <v/>
      </c>
      <c r="BZ166" s="232">
        <f>IF(AND(BZ$11&gt;=FP147,BZ$11&lt;=FQ147),IF((BZ$11-FP147)&lt;'Rent Roll'!$K$37,0,'Rent Roll'!$B$37*'Rent Roll'!$D$37*(1+'Rent Roll'!$F$37)^INT((BZ$11-FP147)/12)/12),0)</f>
        <v/>
      </c>
      <c r="CA166" s="232">
        <f>IF(AND(CA$11&gt;=FQ147,CA$11&lt;=FR147),IF((CA$11-FQ147)&lt;'Rent Roll'!$K$37,0,'Rent Roll'!$B$37*'Rent Roll'!$D$37*(1+'Rent Roll'!$F$37)^INT((CA$11-FQ147)/12)/12),0)</f>
        <v/>
      </c>
      <c r="CB166" s="232">
        <f>IF(AND(CB$11&gt;=FR147,CB$11&lt;=FS147),IF((CB$11-FR147)&lt;'Rent Roll'!$K$37,0,'Rent Roll'!$B$37*'Rent Roll'!$D$37*(1+'Rent Roll'!$F$37)^INT((CB$11-FR147)/12)/12),0)</f>
        <v/>
      </c>
      <c r="CC166" s="232">
        <f>IF(AND(CC$11&gt;=FS147,CC$11&lt;=FT147),IF((CC$11-FS147)&lt;'Rent Roll'!$K$37,0,'Rent Roll'!$B$37*'Rent Roll'!$D$37*(1+'Rent Roll'!$F$37)^INT((CC$11-FS147)/12)/12),0)</f>
        <v/>
      </c>
      <c r="CD166" s="232">
        <f>IF(AND(CD$11&gt;=FT147,CD$11&lt;=FU147),IF((CD$11-FT147)&lt;'Rent Roll'!$K$37,0,'Rent Roll'!$B$37*'Rent Roll'!$D$37*(1+'Rent Roll'!$F$37)^INT((CD$11-FT147)/12)/12),0)</f>
        <v/>
      </c>
      <c r="CE166" s="232">
        <f>IF(AND(CE$11&gt;=FU147,CE$11&lt;=FV147),IF((CE$11-FU147)&lt;'Rent Roll'!$K$37,0,'Rent Roll'!$B$37*'Rent Roll'!$D$37*(1+'Rent Roll'!$F$37)^INT((CE$11-FU147)/12)/12),0)</f>
        <v/>
      </c>
      <c r="CF166" s="232">
        <f>IF(AND(CF$11&gt;=FV147,CF$11&lt;=FW147),IF((CF$11-FV147)&lt;'Rent Roll'!$K$37,0,'Rent Roll'!$B$37*'Rent Roll'!$D$37*(1+'Rent Roll'!$F$37)^INT((CF$11-FV147)/12)/12),0)</f>
        <v/>
      </c>
      <c r="CG166" s="232">
        <f>IF(AND(CG$11&gt;=FW147,CG$11&lt;=FX147),IF((CG$11-FW147)&lt;'Rent Roll'!$K$37,0,'Rent Roll'!$B$37*'Rent Roll'!$D$37*(1+'Rent Roll'!$F$37)^INT((CG$11-FW147)/12)/12),0)</f>
        <v/>
      </c>
      <c r="CH166" s="232">
        <f>IF(AND(CH$11&gt;=FX147,CH$11&lt;=FY147),IF((CH$11-FX147)&lt;'Rent Roll'!$K$37,0,'Rent Roll'!$B$37*'Rent Roll'!$D$37*(1+'Rent Roll'!$F$37)^INT((CH$11-FX147)/12)/12),0)</f>
        <v/>
      </c>
      <c r="CI166" s="232">
        <f>IF(AND(CI$11&gt;=FY147,CI$11&lt;=FZ147),IF((CI$11-FY147)&lt;'Rent Roll'!$K$37,0,'Rent Roll'!$B$37*'Rent Roll'!$D$37*(1+'Rent Roll'!$F$37)^INT((CI$11-FY147)/12)/12),0)</f>
        <v/>
      </c>
      <c r="CJ166" s="232">
        <f>IF(AND(CJ$11&gt;=FZ147,CJ$11&lt;=GA147),IF((CJ$11-FZ147)&lt;'Rent Roll'!$K$37,0,'Rent Roll'!$B$37*'Rent Roll'!$D$37*(1+'Rent Roll'!$F$37)^INT((CJ$11-FZ147)/12)/12),0)</f>
        <v/>
      </c>
      <c r="CK166" s="232">
        <f>IF(AND(CK$11&gt;=GA147,CK$11&lt;=GB147),IF((CK$11-GA147)&lt;'Rent Roll'!$K$37,0,'Rent Roll'!$B$37*'Rent Roll'!$D$37*(1+'Rent Roll'!$F$37)^INT((CK$11-GA147)/12)/12),0)</f>
        <v/>
      </c>
      <c r="CL166" s="232">
        <f>IF(AND(CL$11&gt;=GB147,CL$11&lt;=GC147),IF((CL$11-GB147)&lt;'Rent Roll'!$K$37,0,'Rent Roll'!$B$37*'Rent Roll'!$D$37*(1+'Rent Roll'!$F$37)^INT((CL$11-GB147)/12)/12),0)</f>
        <v/>
      </c>
      <c r="CM166" s="232">
        <f>IF(AND(CM$11&gt;=GC147,CM$11&lt;=GD147),IF((CM$11-GC147)&lt;'Rent Roll'!$K$37,0,'Rent Roll'!$B$37*'Rent Roll'!$D$37*(1+'Rent Roll'!$F$37)^INT((CM$11-GC147)/12)/12),0)</f>
        <v/>
      </c>
      <c r="CN166" s="232">
        <f>IF(AND(CN$11&gt;=GD147,CN$11&lt;=GE147),IF((CN$11-GD147)&lt;'Rent Roll'!$K$37,0,'Rent Roll'!$B$37*'Rent Roll'!$D$37*(1+'Rent Roll'!$F$37)^INT((CN$11-GD147)/12)/12),0)</f>
        <v/>
      </c>
      <c r="CO166" s="232">
        <f>IF(AND(CO$11&gt;=GE147,CO$11&lt;=GF147),IF((CO$11-GE147)&lt;'Rent Roll'!$K$37,0,'Rent Roll'!$B$37*'Rent Roll'!$D$37*(1+'Rent Roll'!$F$37)^INT((CO$11-GE147)/12)/12),0)</f>
        <v/>
      </c>
      <c r="CP166" s="232">
        <f>IF(AND(CP$11&gt;=GF147,CP$11&lt;=GG147),IF((CP$11-GF147)&lt;'Rent Roll'!$K$37,0,'Rent Roll'!$B$37*'Rent Roll'!$D$37*(1+'Rent Roll'!$F$37)^INT((CP$11-GF147)/12)/12),0)</f>
        <v/>
      </c>
      <c r="CQ166" s="232">
        <f>IF(AND(CQ$11&gt;=GG147,CQ$11&lt;=GH147),IF((CQ$11-GG147)&lt;'Rent Roll'!$K$37,0,'Rent Roll'!$B$37*'Rent Roll'!$D$37*(1+'Rent Roll'!$F$37)^INT((CQ$11-GG147)/12)/12),0)</f>
        <v/>
      </c>
      <c r="CR166" s="232">
        <f>IF(AND(CR$11&gt;=GH147,CR$11&lt;=GI147),IF((CR$11-GH147)&lt;'Rent Roll'!$K$37,0,'Rent Roll'!$B$37*'Rent Roll'!$D$37*(1+'Rent Roll'!$F$37)^INT((CR$11-GH147)/12)/12),0)</f>
        <v/>
      </c>
      <c r="CS166" s="232">
        <f>IF(AND(CS$11&gt;=GI147,CS$11&lt;=GJ147),IF((CS$11-GI147)&lt;'Rent Roll'!$K$37,0,'Rent Roll'!$B$37*'Rent Roll'!$D$37*(1+'Rent Roll'!$F$37)^INT((CS$11-GI147)/12)/12),0)</f>
        <v/>
      </c>
      <c r="CT166" s="232">
        <f>IF(AND(CT$11&gt;=GJ147,CT$11&lt;=GK147),IF((CT$11-GJ147)&lt;'Rent Roll'!$K$37,0,'Rent Roll'!$B$37*'Rent Roll'!$D$37*(1+'Rent Roll'!$F$37)^INT((CT$11-GJ147)/12)/12),0)</f>
        <v/>
      </c>
      <c r="CU166" s="232">
        <f>IF(AND(CU$11&gt;=GK147,CU$11&lt;=GL147),IF((CU$11-GK147)&lt;'Rent Roll'!$K$37,0,'Rent Roll'!$B$37*'Rent Roll'!$D$37*(1+'Rent Roll'!$F$37)^INT((CU$11-GK147)/12)/12),0)</f>
        <v/>
      </c>
      <c r="CV166" s="232">
        <f>IF(AND(CV$11&gt;=GL147,CV$11&lt;=GM147),IF((CV$11-GL147)&lt;'Rent Roll'!$K$37,0,'Rent Roll'!$B$37*'Rent Roll'!$D$37*(1+'Rent Roll'!$F$37)^INT((CV$11-GL147)/12)/12),0)</f>
        <v/>
      </c>
      <c r="CW166" s="232">
        <f>IF(AND(CW$11&gt;=GM147,CW$11&lt;=GN147),IF((CW$11-GM147)&lt;'Rent Roll'!$K$37,0,'Rent Roll'!$B$37*'Rent Roll'!$D$37*(1+'Rent Roll'!$F$37)^INT((CW$11-GM147)/12)/12),0)</f>
        <v/>
      </c>
      <c r="CX166" s="232">
        <f>IF(AND(CX$11&gt;=GN147,CX$11&lt;=GO147),IF((CX$11-GN147)&lt;'Rent Roll'!$K$37,0,'Rent Roll'!$B$37*'Rent Roll'!$D$37*(1+'Rent Roll'!$F$37)^INT((CX$11-GN147)/12)/12),0)</f>
        <v/>
      </c>
      <c r="CY166" s="232">
        <f>IF(AND(CY$11&gt;=GO147,CY$11&lt;=GP147),IF((CY$11-GO147)&lt;'Rent Roll'!$K$37,0,'Rent Roll'!$B$37*'Rent Roll'!$D$37*(1+'Rent Roll'!$F$37)^INT((CY$11-GO147)/12)/12),0)</f>
        <v/>
      </c>
      <c r="CZ166" s="232">
        <f>IF(AND(CZ$11&gt;=GP147,CZ$11&lt;=GQ147),IF((CZ$11-GP147)&lt;'Rent Roll'!$K$37,0,'Rent Roll'!$B$37*'Rent Roll'!$D$37*(1+'Rent Roll'!$F$37)^INT((CZ$11-GP147)/12)/12),0)</f>
        <v/>
      </c>
      <c r="DA166" s="232">
        <f>IF(AND(DA$11&gt;=GQ147,DA$11&lt;=GR147),IF((DA$11-GQ147)&lt;'Rent Roll'!$K$37,0,'Rent Roll'!$B$37*'Rent Roll'!$D$37*(1+'Rent Roll'!$F$37)^INT((DA$11-GQ147)/12)/12),0)</f>
        <v/>
      </c>
      <c r="DB166" s="232">
        <f>IF(AND(DB$11&gt;=GR147,DB$11&lt;=GS147),IF((DB$11-GR147)&lt;'Rent Roll'!$K$37,0,'Rent Roll'!$B$37*'Rent Roll'!$D$37*(1+'Rent Roll'!$F$37)^INT((DB$11-GR147)/12)/12),0)</f>
        <v/>
      </c>
      <c r="DC166" s="232">
        <f>IF(AND(DC$11&gt;=GS147,DC$11&lt;=GT147),IF((DC$11-GS147)&lt;'Rent Roll'!$K$37,0,'Rent Roll'!$B$37*'Rent Roll'!$D$37*(1+'Rent Roll'!$F$37)^INT((DC$11-GS147)/12)/12),0)</f>
        <v/>
      </c>
      <c r="DD166" s="232">
        <f>IF(AND(DD$11&gt;=GT147,DD$11&lt;=GU147),IF((DD$11-GT147)&lt;'Rent Roll'!$K$37,0,'Rent Roll'!$B$37*'Rent Roll'!$D$37*(1+'Rent Roll'!$F$37)^INT((DD$11-GT147)/12)/12),0)</f>
        <v/>
      </c>
      <c r="DE166" s="232">
        <f>IF(AND(DE$11&gt;=GU147,DE$11&lt;=GV147),IF((DE$11-GU147)&lt;'Rent Roll'!$K$37,0,'Rent Roll'!$B$37*'Rent Roll'!$D$37*(1+'Rent Roll'!$F$37)^INT((DE$11-GU147)/12)/12),0)</f>
        <v/>
      </c>
      <c r="DF166" s="232">
        <f>IF(AND(DF$11&gt;=GV147,DF$11&lt;=GW147),IF((DF$11-GV147)&lt;'Rent Roll'!$K$37,0,'Rent Roll'!$B$37*'Rent Roll'!$D$37*(1+'Rent Roll'!$F$37)^INT((DF$11-GV147)/12)/12),0)</f>
        <v/>
      </c>
      <c r="DG166" s="232">
        <f>IF(AND(DG$11&gt;=GW147,DG$11&lt;=GX147),IF((DG$11-GW147)&lt;'Rent Roll'!$K$37,0,'Rent Roll'!$B$37*'Rent Roll'!$D$37*(1+'Rent Roll'!$F$37)^INT((DG$11-GW147)/12)/12),0)</f>
        <v/>
      </c>
      <c r="DH166" s="232">
        <f>IF(AND(DH$11&gt;=GX147,DH$11&lt;=GY147),IF((DH$11-GX147)&lt;'Rent Roll'!$K$37,0,'Rent Roll'!$B$37*'Rent Roll'!$D$37*(1+'Rent Roll'!$F$37)^INT((DH$11-GX147)/12)/12),0)</f>
        <v/>
      </c>
      <c r="DI166" s="232">
        <f>IF(AND(DI$11&gt;=GY147,DI$11&lt;=GZ147),IF((DI$11-GY147)&lt;'Rent Roll'!$K$37,0,'Rent Roll'!$B$37*'Rent Roll'!$D$37*(1+'Rent Roll'!$F$37)^INT((DI$11-GY147)/12)/12),0)</f>
        <v/>
      </c>
      <c r="DJ166" s="232">
        <f>IF(AND(DJ$11&gt;=GZ147,DJ$11&lt;=HA147),IF((DJ$11-GZ147)&lt;'Rent Roll'!$K$37,0,'Rent Roll'!$B$37*'Rent Roll'!$D$37*(1+'Rent Roll'!$F$37)^INT((DJ$11-GZ147)/12)/12),0)</f>
        <v/>
      </c>
      <c r="DK166" s="232">
        <f>IF(AND(DK$11&gt;=HA147,DK$11&lt;=HB147),IF((DK$11-HA147)&lt;'Rent Roll'!$K$37,0,'Rent Roll'!$B$37*'Rent Roll'!$D$37*(1+'Rent Roll'!$F$37)^INT((DK$11-HA147)/12)/12),0)</f>
        <v/>
      </c>
      <c r="DL166" s="232">
        <f>IF(AND(DL$11&gt;=HB147,DL$11&lt;=HC147),IF((DL$11-HB147)&lt;'Rent Roll'!$K$37,0,'Rent Roll'!$B$37*'Rent Roll'!$D$37*(1+'Rent Roll'!$F$37)^INT((DL$11-HB147)/12)/12),0)</f>
        <v/>
      </c>
      <c r="DM166" s="232">
        <f>IF(AND(DM$11&gt;=HC147,DM$11&lt;=HD147),IF((DM$11-HC147)&lt;'Rent Roll'!$K$37,0,'Rent Roll'!$B$37*'Rent Roll'!$D$37*(1+'Rent Roll'!$F$37)^INT((DM$11-HC147)/12)/12),0)</f>
        <v/>
      </c>
      <c r="DN166" s="232">
        <f>IF(AND(DN$11&gt;=HD147,DN$11&lt;=HE147),IF((DN$11-HD147)&lt;'Rent Roll'!$K$37,0,'Rent Roll'!$B$37*'Rent Roll'!$D$37*(1+'Rent Roll'!$F$37)^INT((DN$11-HD147)/12)/12),0)</f>
        <v/>
      </c>
      <c r="DO166" s="232">
        <f>IF(AND(DO$11&gt;=HE147,DO$11&lt;=HF147),IF((DO$11-HE147)&lt;'Rent Roll'!$K$37,0,'Rent Roll'!$B$37*'Rent Roll'!$D$37*(1+'Rent Roll'!$F$37)^INT((DO$11-HE147)/12)/12),0)</f>
        <v/>
      </c>
      <c r="DP166" s="232">
        <f>IF(AND(DP$11&gt;=HF147,DP$11&lt;=HG147),IF((DP$11-HF147)&lt;'Rent Roll'!$K$37,0,'Rent Roll'!$B$37*'Rent Roll'!$D$37*(1+'Rent Roll'!$F$37)^INT((DP$11-HF147)/12)/12),0)</f>
        <v/>
      </c>
      <c r="DQ166" s="232">
        <f>IF(AND(DQ$11&gt;=HG147,DQ$11&lt;=HH147),IF((DQ$11-HG147)&lt;'Rent Roll'!$K$37,0,'Rent Roll'!$B$37*'Rent Roll'!$D$37*(1+'Rent Roll'!$F$37)^INT((DQ$11-HG147)/12)/12),0)</f>
        <v/>
      </c>
      <c r="DR166" s="232">
        <f>IF(AND(DR$11&gt;=HH147,DR$11&lt;=HI147),IF((DR$11-HH147)&lt;'Rent Roll'!$K$37,0,'Rent Roll'!$B$37*'Rent Roll'!$D$37*(1+'Rent Roll'!$F$37)^INT((DR$11-HH147)/12)/12),0)</f>
        <v/>
      </c>
      <c r="DS166" s="232">
        <f>IF(AND(DS$11&gt;=HI147,DS$11&lt;=HJ147),IF((DS$11-HI147)&lt;'Rent Roll'!$K$37,0,'Rent Roll'!$B$37*'Rent Roll'!$D$37*(1+'Rent Roll'!$F$37)^INT((DS$11-HI147)/12)/12),0)</f>
        <v/>
      </c>
      <c r="DT166" s="232">
        <f>IF(AND(DT$11&gt;=HJ147,DT$11&lt;=HK147),IF((DT$11-HJ147)&lt;'Rent Roll'!$K$37,0,'Rent Roll'!$B$37*'Rent Roll'!$D$37*(1+'Rent Roll'!$F$37)^INT((DT$11-HJ147)/12)/12),0)</f>
        <v/>
      </c>
      <c r="DV166">
        <f>DV147&amp;" Rent"</f>
        <v/>
      </c>
    </row>
    <row r="167" ht="15" customHeight="1" s="148">
      <c r="D167" s="127">
        <f>IF(AND(D$11&gt;=FB147,D$11&lt;=FC147),'Rent Roll'!$B$37,0)</f>
        <v/>
      </c>
      <c r="E167" s="127">
        <f>IF(AND(E$11&gt;=FB147,E$11&lt;=FC147),'Rent Roll'!$B$37,0)</f>
        <v/>
      </c>
      <c r="F167" s="127">
        <f>IF(AND(F$11&gt;=FB147,F$11&lt;=FC147),'Rent Roll'!$B$37,0)</f>
        <v/>
      </c>
      <c r="G167" s="127">
        <f>IF(AND(G$11&gt;=FB147,G$11&lt;=FC147),'Rent Roll'!$B$37,0)</f>
        <v/>
      </c>
      <c r="H167" s="127">
        <f>IF(AND(H$11&gt;=FB147,H$11&lt;=FC147),'Rent Roll'!$B$37,0)</f>
        <v/>
      </c>
      <c r="I167" s="127">
        <f>IF(AND(I$11&gt;=FB147,I$11&lt;=FC147),'Rent Roll'!$B$37,0)</f>
        <v/>
      </c>
      <c r="J167" s="127">
        <f>IF(AND(J$11&gt;=FB147,J$11&lt;=FC147),'Rent Roll'!$B$37,0)</f>
        <v/>
      </c>
      <c r="K167" s="127">
        <f>IF(AND(K$11&gt;=FB147,K$11&lt;=FC147),'Rent Roll'!$B$37,0)</f>
        <v/>
      </c>
      <c r="L167" s="127">
        <f>IF(AND(L$11&gt;=FB147,L$11&lt;=FC147),'Rent Roll'!$B$37,0)</f>
        <v/>
      </c>
      <c r="M167" s="127">
        <f>IF(AND(M$11&gt;=FB147,M$11&lt;=FC147),'Rent Roll'!$B$37,0)</f>
        <v/>
      </c>
      <c r="N167" s="127">
        <f>IF(AND(N$11&gt;=FB147,N$11&lt;=FC147),'Rent Roll'!$B$37,0)</f>
        <v/>
      </c>
      <c r="O167" s="127">
        <f>IF(AND(O$11&gt;=FB147,O$11&lt;=FC147),'Rent Roll'!$B$37,0)</f>
        <v/>
      </c>
      <c r="P167" s="127">
        <f>IF(AND(P$11&gt;=FB147,P$11&lt;=FC147),'Rent Roll'!$B$37,0)</f>
        <v/>
      </c>
      <c r="Q167" s="127">
        <f>IF(AND(Q$11&gt;=FB147,Q$11&lt;=FC147),'Rent Roll'!$B$37,0)</f>
        <v/>
      </c>
      <c r="R167" s="127">
        <f>IF(AND(R$11&gt;=FB147,R$11&lt;=FC147),'Rent Roll'!$B$37,0)</f>
        <v/>
      </c>
      <c r="S167" s="127">
        <f>IF(AND(S$11&gt;=FB147,S$11&lt;=FC147),'Rent Roll'!$B$37,0)</f>
        <v/>
      </c>
      <c r="T167" s="127">
        <f>IF(AND(T$11&gt;=FB147,T$11&lt;=FC147),'Rent Roll'!$B$37,0)</f>
        <v/>
      </c>
      <c r="U167" s="127">
        <f>IF(AND(U$11&gt;=FB147,U$11&lt;=FC147),'Rent Roll'!$B$37,0)</f>
        <v/>
      </c>
      <c r="V167" s="127">
        <f>IF(AND(V$11&gt;=FB147,V$11&lt;=FC147),'Rent Roll'!$B$37,0)</f>
        <v/>
      </c>
      <c r="W167" s="127">
        <f>IF(AND(W$11&gt;=FB147,W$11&lt;=FC147),'Rent Roll'!$B$37,0)</f>
        <v/>
      </c>
      <c r="X167" s="127">
        <f>IF(AND(X$11&gt;=FB147,X$11&lt;=FC147),'Rent Roll'!$B$37,0)</f>
        <v/>
      </c>
      <c r="Y167" s="127">
        <f>IF(AND(Y$11&gt;=FB147,Y$11&lt;=FC147),'Rent Roll'!$B$37,0)</f>
        <v/>
      </c>
      <c r="Z167" s="127">
        <f>IF(AND(Z$11&gt;=FB147,Z$11&lt;=FC147),'Rent Roll'!$B$37,0)</f>
        <v/>
      </c>
      <c r="AA167" s="127">
        <f>IF(AND(AA$11&gt;=FB147,AA$11&lt;=FC147),'Rent Roll'!$B$37,0)</f>
        <v/>
      </c>
      <c r="AB167" s="127">
        <f>IF(AND(AB$11&gt;=FB147,AB$11&lt;=FC147),'Rent Roll'!$B$37,0)</f>
        <v/>
      </c>
      <c r="AC167" s="127">
        <f>IF(AND(AC$11&gt;=FB147,AC$11&lt;=FC147),'Rent Roll'!$B$37,0)</f>
        <v/>
      </c>
      <c r="AD167" s="127">
        <f>IF(AND(AD$11&gt;=FB147,AD$11&lt;=FC147),'Rent Roll'!$B$37,0)</f>
        <v/>
      </c>
      <c r="AE167" s="127">
        <f>IF(AND(AE$11&gt;=FB147,AE$11&lt;=FC147),'Rent Roll'!$B$37,0)</f>
        <v/>
      </c>
      <c r="AF167" s="127">
        <f>IF(AND(AF$11&gt;=FB147,AF$11&lt;=FC147),'Rent Roll'!$B$37,0)</f>
        <v/>
      </c>
      <c r="AG167" s="127">
        <f>IF(AND(AG$11&gt;=FB147,AG$11&lt;=FC147),'Rent Roll'!$B$37,0)</f>
        <v/>
      </c>
      <c r="AH167" s="127">
        <f>IF(AND(AH$11&gt;=FB147,AH$11&lt;=FC147),'Rent Roll'!$B$37,0)</f>
        <v/>
      </c>
      <c r="AI167" s="127">
        <f>IF(AND(AI$11&gt;=FB147,AI$11&lt;=FC147),'Rent Roll'!$B$37,0)</f>
        <v/>
      </c>
      <c r="AJ167" s="127">
        <f>IF(AND(AJ$11&gt;=FB147,AJ$11&lt;=FC147),'Rent Roll'!$B$37,0)</f>
        <v/>
      </c>
      <c r="AK167" s="127">
        <f>IF(AND(AK$11&gt;=FB147,AK$11&lt;=FC147),'Rent Roll'!$B$37,0)</f>
        <v/>
      </c>
      <c r="AL167" s="127">
        <f>IF(AND(AL$11&gt;=FB147,AL$11&lt;=FC147),'Rent Roll'!$B$37,0)</f>
        <v/>
      </c>
      <c r="AM167" s="127">
        <f>IF(AND(AM$11&gt;=FB147,AM$11&lt;=FC147),'Rent Roll'!$B$37,0)</f>
        <v/>
      </c>
      <c r="AN167" s="127">
        <f>IF(AND(AN$11&gt;=FB147,AN$11&lt;=FC147),'Rent Roll'!$B$37,0)</f>
        <v/>
      </c>
      <c r="AO167" s="127">
        <f>IF(AND(AO$11&gt;=FB147,AO$11&lt;=FC147),'Rent Roll'!$B$37,0)</f>
        <v/>
      </c>
      <c r="AP167" s="127">
        <f>IF(AND(AP$11&gt;=FB147,AP$11&lt;=FC147),'Rent Roll'!$B$37,0)</f>
        <v/>
      </c>
      <c r="AQ167" s="127">
        <f>IF(AND(AQ$11&gt;=FB147,AQ$11&lt;=FC147),'Rent Roll'!$B$37,0)</f>
        <v/>
      </c>
      <c r="AR167" s="127">
        <f>IF(AND(AR$11&gt;=FB147,AR$11&lt;=FC147),'Rent Roll'!$B$37,0)</f>
        <v/>
      </c>
      <c r="AS167" s="127">
        <f>IF(AND(AS$11&gt;=FB147,AS$11&lt;=FC147),'Rent Roll'!$B$37,0)</f>
        <v/>
      </c>
      <c r="AT167" s="127">
        <f>IF(AND(AT$11&gt;=FB147,AT$11&lt;=FC147),'Rent Roll'!$B$37,0)</f>
        <v/>
      </c>
      <c r="AU167" s="127">
        <f>IF(AND(AU$11&gt;=FB147,AU$11&lt;=FC147),'Rent Roll'!$B$37,0)</f>
        <v/>
      </c>
      <c r="AV167" s="127">
        <f>IF(AND(AV$11&gt;=FB147,AV$11&lt;=FC147),'Rent Roll'!$B$37,0)</f>
        <v/>
      </c>
      <c r="AW167" s="127">
        <f>IF(AND(AW$11&gt;=FB147,AW$11&lt;=FC147),'Rent Roll'!$B$37,0)</f>
        <v/>
      </c>
      <c r="AX167" s="127">
        <f>IF(AND(AX$11&gt;=FB147,AX$11&lt;=FC147),'Rent Roll'!$B$37,0)</f>
        <v/>
      </c>
      <c r="AY167" s="127">
        <f>IF(AND(AY$11&gt;=FB147,AY$11&lt;=FC147),'Rent Roll'!$B$37,0)</f>
        <v/>
      </c>
      <c r="AZ167" s="127">
        <f>IF(AND(AZ$11&gt;=FB147,AZ$11&lt;=FC147),'Rent Roll'!$B$37,0)</f>
        <v/>
      </c>
      <c r="BA167" s="127">
        <f>IF(AND(BA$11&gt;=FB147,BA$11&lt;=FC147),'Rent Roll'!$B$37,0)</f>
        <v/>
      </c>
      <c r="BB167" s="127">
        <f>IF(AND(BB$11&gt;=FB147,BB$11&lt;=FC147),'Rent Roll'!$B$37,0)</f>
        <v/>
      </c>
      <c r="BC167" s="127">
        <f>IF(AND(BC$11&gt;=FB147,BC$11&lt;=FC147),'Rent Roll'!$B$37,0)</f>
        <v/>
      </c>
      <c r="BD167" s="127">
        <f>IF(AND(BD$11&gt;=FB147,BD$11&lt;=FC147),'Rent Roll'!$B$37,0)</f>
        <v/>
      </c>
      <c r="BE167" s="127">
        <f>IF(AND(BE$11&gt;=FB147,BE$11&lt;=FC147),'Rent Roll'!$B$37,0)</f>
        <v/>
      </c>
      <c r="BF167" s="127">
        <f>IF(AND(BF$11&gt;=FB147,BF$11&lt;=FC147),'Rent Roll'!$B$37,0)</f>
        <v/>
      </c>
      <c r="BG167" s="127">
        <f>IF(AND(BG$11&gt;=FB147,BG$11&lt;=FC147),'Rent Roll'!$B$37,0)</f>
        <v/>
      </c>
      <c r="BH167" s="127">
        <f>IF(AND(BH$11&gt;=FB147,BH$11&lt;=FC147),'Rent Roll'!$B$37,0)</f>
        <v/>
      </c>
      <c r="BI167" s="127">
        <f>IF(AND(BI$11&gt;=FB147,BI$11&lt;=FC147),'Rent Roll'!$B$37,0)</f>
        <v/>
      </c>
      <c r="BJ167" s="127">
        <f>IF(AND(BJ$11&gt;=FB147,BJ$11&lt;=FC147),'Rent Roll'!$B$37,0)</f>
        <v/>
      </c>
      <c r="BK167" s="127">
        <f>IF(AND(BK$11&gt;=FB147,BK$11&lt;=FC147),'Rent Roll'!$B$37,0)</f>
        <v/>
      </c>
      <c r="BL167" s="127">
        <f>IF(AND(BL$11&gt;=FB147,BL$11&lt;=FC147),'Rent Roll'!$B$37,0)</f>
        <v/>
      </c>
      <c r="BM167" s="127">
        <f>IF(AND(BM$11&gt;=FC147,BM$11&lt;=FD147),'Rent Roll'!$B$37,0)</f>
        <v/>
      </c>
      <c r="BN167" s="127">
        <f>IF(AND(BN$11&gt;=FD147,BN$11&lt;=FE147),'Rent Roll'!$B$37,0)</f>
        <v/>
      </c>
      <c r="BO167" s="127">
        <f>IF(AND(BO$11&gt;=FE147,BO$11&lt;=FF147),'Rent Roll'!$B$37,0)</f>
        <v/>
      </c>
      <c r="BP167" s="127">
        <f>IF(AND(BP$11&gt;=FF147,BP$11&lt;=FG147),'Rent Roll'!$B$37,0)</f>
        <v/>
      </c>
      <c r="BQ167" s="127">
        <f>IF(AND(BQ$11&gt;=FG147,BQ$11&lt;=FH147),'Rent Roll'!$B$37,0)</f>
        <v/>
      </c>
      <c r="BR167" s="127">
        <f>IF(AND(BR$11&gt;=FH147,BR$11&lt;=FI147),'Rent Roll'!$B$37,0)</f>
        <v/>
      </c>
      <c r="BS167" s="127">
        <f>IF(AND(BS$11&gt;=FI147,BS$11&lt;=FJ147),'Rent Roll'!$B$37,0)</f>
        <v/>
      </c>
      <c r="BT167" s="127">
        <f>IF(AND(BT$11&gt;=FJ147,BT$11&lt;=FK147),'Rent Roll'!$B$37,0)</f>
        <v/>
      </c>
      <c r="BU167" s="127">
        <f>IF(AND(BU$11&gt;=FK147,BU$11&lt;=FL147),'Rent Roll'!$B$37,0)</f>
        <v/>
      </c>
      <c r="BV167" s="127">
        <f>IF(AND(BV$11&gt;=FL147,BV$11&lt;=FM147),'Rent Roll'!$B$37,0)</f>
        <v/>
      </c>
      <c r="BW167" s="127">
        <f>IF(AND(BW$11&gt;=FM147,BW$11&lt;=FN147),'Rent Roll'!$B$37,0)</f>
        <v/>
      </c>
      <c r="BX167" s="127">
        <f>IF(AND(BX$11&gt;=FN147,BX$11&lt;=FO147),'Rent Roll'!$B$37,0)</f>
        <v/>
      </c>
      <c r="BY167" s="127">
        <f>IF(AND(BY$11&gt;=FO147,BY$11&lt;=FP147),'Rent Roll'!$B$37,0)</f>
        <v/>
      </c>
      <c r="BZ167" s="127">
        <f>IF(AND(BZ$11&gt;=FP147,BZ$11&lt;=FQ147),'Rent Roll'!$B$37,0)</f>
        <v/>
      </c>
      <c r="CA167" s="127">
        <f>IF(AND(CA$11&gt;=FQ147,CA$11&lt;=FR147),'Rent Roll'!$B$37,0)</f>
        <v/>
      </c>
      <c r="CB167" s="127">
        <f>IF(AND(CB$11&gt;=FR147,CB$11&lt;=FS147),'Rent Roll'!$B$37,0)</f>
        <v/>
      </c>
      <c r="CC167" s="127">
        <f>IF(AND(CC$11&gt;=FS147,CC$11&lt;=FT147),'Rent Roll'!$B$37,0)</f>
        <v/>
      </c>
      <c r="CD167" s="127">
        <f>IF(AND(CD$11&gt;=FT147,CD$11&lt;=FU147),'Rent Roll'!$B$37,0)</f>
        <v/>
      </c>
      <c r="CE167" s="127">
        <f>IF(AND(CE$11&gt;=FU147,CE$11&lt;=FV147),'Rent Roll'!$B$37,0)</f>
        <v/>
      </c>
      <c r="CF167" s="127">
        <f>IF(AND(CF$11&gt;=FV147,CF$11&lt;=FW147),'Rent Roll'!$B$37,0)</f>
        <v/>
      </c>
      <c r="CG167" s="127">
        <f>IF(AND(CG$11&gt;=FW147,CG$11&lt;=FX147),'Rent Roll'!$B$37,0)</f>
        <v/>
      </c>
      <c r="CH167" s="127">
        <f>IF(AND(CH$11&gt;=FX147,CH$11&lt;=FY147),'Rent Roll'!$B$37,0)</f>
        <v/>
      </c>
      <c r="CI167" s="127">
        <f>IF(AND(CI$11&gt;=FY147,CI$11&lt;=FZ147),'Rent Roll'!$B$37,0)</f>
        <v/>
      </c>
      <c r="CJ167" s="127">
        <f>IF(AND(CJ$11&gt;=FZ147,CJ$11&lt;=GA147),'Rent Roll'!$B$37,0)</f>
        <v/>
      </c>
      <c r="CK167" s="127">
        <f>IF(AND(CK$11&gt;=GA147,CK$11&lt;=GB147),'Rent Roll'!$B$37,0)</f>
        <v/>
      </c>
      <c r="CL167" s="127">
        <f>IF(AND(CL$11&gt;=GB147,CL$11&lt;=GC147),'Rent Roll'!$B$37,0)</f>
        <v/>
      </c>
      <c r="CM167" s="127">
        <f>IF(AND(CM$11&gt;=GC147,CM$11&lt;=GD147),'Rent Roll'!$B$37,0)</f>
        <v/>
      </c>
      <c r="CN167" s="127">
        <f>IF(AND(CN$11&gt;=GD147,CN$11&lt;=GE147),'Rent Roll'!$B$37,0)</f>
        <v/>
      </c>
      <c r="CO167" s="127">
        <f>IF(AND(CO$11&gt;=GE147,CO$11&lt;=GF147),'Rent Roll'!$B$37,0)</f>
        <v/>
      </c>
      <c r="CP167" s="127">
        <f>IF(AND(CP$11&gt;=GF147,CP$11&lt;=GG147),'Rent Roll'!$B$37,0)</f>
        <v/>
      </c>
      <c r="CQ167" s="127">
        <f>IF(AND(CQ$11&gt;=GG147,CQ$11&lt;=GH147),'Rent Roll'!$B$37,0)</f>
        <v/>
      </c>
      <c r="CR167" s="127">
        <f>IF(AND(CR$11&gt;=GH147,CR$11&lt;=GI147),'Rent Roll'!$B$37,0)</f>
        <v/>
      </c>
      <c r="CS167" s="127">
        <f>IF(AND(CS$11&gt;=GI147,CS$11&lt;=GJ147),'Rent Roll'!$B$37,0)</f>
        <v/>
      </c>
      <c r="CT167" s="127">
        <f>IF(AND(CT$11&gt;=GJ147,CT$11&lt;=GK147),'Rent Roll'!$B$37,0)</f>
        <v/>
      </c>
      <c r="CU167" s="127">
        <f>IF(AND(CU$11&gt;=GK147,CU$11&lt;=GL147),'Rent Roll'!$B$37,0)</f>
        <v/>
      </c>
      <c r="CV167" s="127">
        <f>IF(AND(CV$11&gt;=GL147,CV$11&lt;=GM147),'Rent Roll'!$B$37,0)</f>
        <v/>
      </c>
      <c r="CW167" s="127">
        <f>IF(AND(CW$11&gt;=GM147,CW$11&lt;=GN147),'Rent Roll'!$B$37,0)</f>
        <v/>
      </c>
      <c r="CX167" s="127">
        <f>IF(AND(CX$11&gt;=GN147,CX$11&lt;=GO147),'Rent Roll'!$B$37,0)</f>
        <v/>
      </c>
      <c r="CY167" s="127">
        <f>IF(AND(CY$11&gt;=GO147,CY$11&lt;=GP147),'Rent Roll'!$B$37,0)</f>
        <v/>
      </c>
      <c r="CZ167" s="127">
        <f>IF(AND(CZ$11&gt;=GP147,CZ$11&lt;=GQ147),'Rent Roll'!$B$37,0)</f>
        <v/>
      </c>
      <c r="DA167" s="127">
        <f>IF(AND(DA$11&gt;=GQ147,DA$11&lt;=GR147),'Rent Roll'!$B$37,0)</f>
        <v/>
      </c>
      <c r="DB167" s="127">
        <f>IF(AND(DB$11&gt;=GR147,DB$11&lt;=GS147),'Rent Roll'!$B$37,0)</f>
        <v/>
      </c>
      <c r="DC167" s="127">
        <f>IF(AND(DC$11&gt;=GS147,DC$11&lt;=GT147),'Rent Roll'!$B$37,0)</f>
        <v/>
      </c>
      <c r="DD167" s="127">
        <f>IF(AND(DD$11&gt;=GT147,DD$11&lt;=GU147),'Rent Roll'!$B$37,0)</f>
        <v/>
      </c>
      <c r="DE167" s="127">
        <f>IF(AND(DE$11&gt;=GU147,DE$11&lt;=GV147),'Rent Roll'!$B$37,0)</f>
        <v/>
      </c>
      <c r="DF167" s="127">
        <f>IF(AND(DF$11&gt;=GV147,DF$11&lt;=GW147),'Rent Roll'!$B$37,0)</f>
        <v/>
      </c>
      <c r="DG167" s="127">
        <f>IF(AND(DG$11&gt;=GW147,DG$11&lt;=GX147),'Rent Roll'!$B$37,0)</f>
        <v/>
      </c>
      <c r="DH167" s="127">
        <f>IF(AND(DH$11&gt;=GX147,DH$11&lt;=GY147),'Rent Roll'!$B$37,0)</f>
        <v/>
      </c>
      <c r="DI167" s="127">
        <f>IF(AND(DI$11&gt;=GY147,DI$11&lt;=GZ147),'Rent Roll'!$B$37,0)</f>
        <v/>
      </c>
      <c r="DJ167" s="127">
        <f>IF(AND(DJ$11&gt;=GZ147,DJ$11&lt;=HA147),'Rent Roll'!$B$37,0)</f>
        <v/>
      </c>
      <c r="DK167" s="127">
        <f>IF(AND(DK$11&gt;=HA147,DK$11&lt;=HB147),'Rent Roll'!$B$37,0)</f>
        <v/>
      </c>
      <c r="DL167" s="127">
        <f>IF(AND(DL$11&gt;=HB147,DL$11&lt;=HC147),'Rent Roll'!$B$37,0)</f>
        <v/>
      </c>
      <c r="DM167" s="127">
        <f>IF(AND(DM$11&gt;=HC147,DM$11&lt;=HD147),'Rent Roll'!$B$37,0)</f>
        <v/>
      </c>
      <c r="DN167" s="127">
        <f>IF(AND(DN$11&gt;=HD147,DN$11&lt;=HE147),'Rent Roll'!$B$37,0)</f>
        <v/>
      </c>
      <c r="DO167" s="127">
        <f>IF(AND(DO$11&gt;=HE147,DO$11&lt;=HF147),'Rent Roll'!$B$37,0)</f>
        <v/>
      </c>
      <c r="DP167" s="127">
        <f>IF(AND(DP$11&gt;=HF147,DP$11&lt;=HG147),'Rent Roll'!$B$37,0)</f>
        <v/>
      </c>
      <c r="DQ167" s="127">
        <f>IF(AND(DQ$11&gt;=HG147,DQ$11&lt;=HH147),'Rent Roll'!$B$37,0)</f>
        <v/>
      </c>
      <c r="DR167" s="127">
        <f>IF(AND(DR$11&gt;=HH147,DR$11&lt;=HI147),'Rent Roll'!$B$37,0)</f>
        <v/>
      </c>
      <c r="DS167" s="127">
        <f>IF(AND(DS$11&gt;=HI147,DS$11&lt;=HJ147),'Rent Roll'!$B$37,0)</f>
        <v/>
      </c>
      <c r="DT167" s="127">
        <f>IF(AND(DT$11&gt;=HJ147,DT$11&lt;=HK147),'Rent Roll'!$B$37,0)</f>
        <v/>
      </c>
      <c r="DV167">
        <f>DV147&amp;" ActiveSF"</f>
        <v/>
      </c>
    </row>
    <row r="168" ht="15" customHeight="1" s="148">
      <c r="D168" s="232">
        <f>IF(AND(D$11&gt;=FB148,D$11&lt;=FC148),IF((D$11-FB148)&lt;'Rent Roll'!$K$38,0,'Rent Roll'!$B$38*'Rent Roll'!$D$38*(1+'Rent Roll'!$F$38)^INT((D$11-FB148)/12)/12),0)</f>
        <v/>
      </c>
      <c r="E168" s="232">
        <f>IF(AND(E$11&gt;=FB148,E$11&lt;=FC148),IF((E$11-FB148)&lt;'Rent Roll'!$K$38,0,'Rent Roll'!$B$38*'Rent Roll'!$D$38*(1+'Rent Roll'!$F$38)^INT((E$11-FB148)/12)/12),0)</f>
        <v/>
      </c>
      <c r="F168" s="232">
        <f>IF(AND(F$11&gt;=FB148,F$11&lt;=FC148),IF((F$11-FB148)&lt;'Rent Roll'!$K$38,0,'Rent Roll'!$B$38*'Rent Roll'!$D$38*(1+'Rent Roll'!$F$38)^INT((F$11-FB148)/12)/12),0)</f>
        <v/>
      </c>
      <c r="G168" s="232">
        <f>IF(AND(G$11&gt;=FB148,G$11&lt;=FC148),IF((G$11-FB148)&lt;'Rent Roll'!$K$38,0,'Rent Roll'!$B$38*'Rent Roll'!$D$38*(1+'Rent Roll'!$F$38)^INT((G$11-FB148)/12)/12),0)</f>
        <v/>
      </c>
      <c r="H168" s="232">
        <f>IF(AND(H$11&gt;=FB148,H$11&lt;=FC148),IF((H$11-FB148)&lt;'Rent Roll'!$K$38,0,'Rent Roll'!$B$38*'Rent Roll'!$D$38*(1+'Rent Roll'!$F$38)^INT((H$11-FB148)/12)/12),0)</f>
        <v/>
      </c>
      <c r="I168" s="232">
        <f>IF(AND(I$11&gt;=FB148,I$11&lt;=FC148),IF((I$11-FB148)&lt;'Rent Roll'!$K$38,0,'Rent Roll'!$B$38*'Rent Roll'!$D$38*(1+'Rent Roll'!$F$38)^INT((I$11-FB148)/12)/12),0)</f>
        <v/>
      </c>
      <c r="J168" s="232">
        <f>IF(AND(J$11&gt;=FB148,J$11&lt;=FC148),IF((J$11-FB148)&lt;'Rent Roll'!$K$38,0,'Rent Roll'!$B$38*'Rent Roll'!$D$38*(1+'Rent Roll'!$F$38)^INT((J$11-FB148)/12)/12),0)</f>
        <v/>
      </c>
      <c r="K168" s="232">
        <f>IF(AND(K$11&gt;=FB148,K$11&lt;=FC148),IF((K$11-FB148)&lt;'Rent Roll'!$K$38,0,'Rent Roll'!$B$38*'Rent Roll'!$D$38*(1+'Rent Roll'!$F$38)^INT((K$11-FB148)/12)/12),0)</f>
        <v/>
      </c>
      <c r="L168" s="232">
        <f>IF(AND(L$11&gt;=FB148,L$11&lt;=FC148),IF((L$11-FB148)&lt;'Rent Roll'!$K$38,0,'Rent Roll'!$B$38*'Rent Roll'!$D$38*(1+'Rent Roll'!$F$38)^INT((L$11-FB148)/12)/12),0)</f>
        <v/>
      </c>
      <c r="M168" s="232">
        <f>IF(AND(M$11&gt;=FB148,M$11&lt;=FC148),IF((M$11-FB148)&lt;'Rent Roll'!$K$38,0,'Rent Roll'!$B$38*'Rent Roll'!$D$38*(1+'Rent Roll'!$F$38)^INT((M$11-FB148)/12)/12),0)</f>
        <v/>
      </c>
      <c r="N168" s="232">
        <f>IF(AND(N$11&gt;=FB148,N$11&lt;=FC148),IF((N$11-FB148)&lt;'Rent Roll'!$K$38,0,'Rent Roll'!$B$38*'Rent Roll'!$D$38*(1+'Rent Roll'!$F$38)^INT((N$11-FB148)/12)/12),0)</f>
        <v/>
      </c>
      <c r="O168" s="232">
        <f>IF(AND(O$11&gt;=FB148,O$11&lt;=FC148),IF((O$11-FB148)&lt;'Rent Roll'!$K$38,0,'Rent Roll'!$B$38*'Rent Roll'!$D$38*(1+'Rent Roll'!$F$38)^INT((O$11-FB148)/12)/12),0)</f>
        <v/>
      </c>
      <c r="P168" s="232">
        <f>IF(AND(P$11&gt;=FB148,P$11&lt;=FC148),IF((P$11-FB148)&lt;'Rent Roll'!$K$38,0,'Rent Roll'!$B$38*'Rent Roll'!$D$38*(1+'Rent Roll'!$F$38)^INT((P$11-FB148)/12)/12),0)</f>
        <v/>
      </c>
      <c r="Q168" s="232">
        <f>IF(AND(Q$11&gt;=FB148,Q$11&lt;=FC148),IF((Q$11-FB148)&lt;'Rent Roll'!$K$38,0,'Rent Roll'!$B$38*'Rent Roll'!$D$38*(1+'Rent Roll'!$F$38)^INT((Q$11-FB148)/12)/12),0)</f>
        <v/>
      </c>
      <c r="R168" s="232">
        <f>IF(AND(R$11&gt;=FB148,R$11&lt;=FC148),IF((R$11-FB148)&lt;'Rent Roll'!$K$38,0,'Rent Roll'!$B$38*'Rent Roll'!$D$38*(1+'Rent Roll'!$F$38)^INT((R$11-FB148)/12)/12),0)</f>
        <v/>
      </c>
      <c r="S168" s="232">
        <f>IF(AND(S$11&gt;=FB148,S$11&lt;=FC148),IF((S$11-FB148)&lt;'Rent Roll'!$K$38,0,'Rent Roll'!$B$38*'Rent Roll'!$D$38*(1+'Rent Roll'!$F$38)^INT((S$11-FB148)/12)/12),0)</f>
        <v/>
      </c>
      <c r="T168" s="232">
        <f>IF(AND(T$11&gt;=FB148,T$11&lt;=FC148),IF((T$11-FB148)&lt;'Rent Roll'!$K$38,0,'Rent Roll'!$B$38*'Rent Roll'!$D$38*(1+'Rent Roll'!$F$38)^INT((T$11-FB148)/12)/12),0)</f>
        <v/>
      </c>
      <c r="U168" s="232">
        <f>IF(AND(U$11&gt;=FB148,U$11&lt;=FC148),IF((U$11-FB148)&lt;'Rent Roll'!$K$38,0,'Rent Roll'!$B$38*'Rent Roll'!$D$38*(1+'Rent Roll'!$F$38)^INT((U$11-FB148)/12)/12),0)</f>
        <v/>
      </c>
      <c r="V168" s="232">
        <f>IF(AND(V$11&gt;=FB148,V$11&lt;=FC148),IF((V$11-FB148)&lt;'Rent Roll'!$K$38,0,'Rent Roll'!$B$38*'Rent Roll'!$D$38*(1+'Rent Roll'!$F$38)^INT((V$11-FB148)/12)/12),0)</f>
        <v/>
      </c>
      <c r="W168" s="232">
        <f>IF(AND(W$11&gt;=FB148,W$11&lt;=FC148),IF((W$11-FB148)&lt;'Rent Roll'!$K$38,0,'Rent Roll'!$B$38*'Rent Roll'!$D$38*(1+'Rent Roll'!$F$38)^INT((W$11-FB148)/12)/12),0)</f>
        <v/>
      </c>
      <c r="X168" s="232">
        <f>IF(AND(X$11&gt;=FB148,X$11&lt;=FC148),IF((X$11-FB148)&lt;'Rent Roll'!$K$38,0,'Rent Roll'!$B$38*'Rent Roll'!$D$38*(1+'Rent Roll'!$F$38)^INT((X$11-FB148)/12)/12),0)</f>
        <v/>
      </c>
      <c r="Y168" s="232">
        <f>IF(AND(Y$11&gt;=FB148,Y$11&lt;=FC148),IF((Y$11-FB148)&lt;'Rent Roll'!$K$38,0,'Rent Roll'!$B$38*'Rent Roll'!$D$38*(1+'Rent Roll'!$F$38)^INT((Y$11-FB148)/12)/12),0)</f>
        <v/>
      </c>
      <c r="Z168" s="232">
        <f>IF(AND(Z$11&gt;=FB148,Z$11&lt;=FC148),IF((Z$11-FB148)&lt;'Rent Roll'!$K$38,0,'Rent Roll'!$B$38*'Rent Roll'!$D$38*(1+'Rent Roll'!$F$38)^INT((Z$11-FB148)/12)/12),0)</f>
        <v/>
      </c>
      <c r="AA168" s="232">
        <f>IF(AND(AA$11&gt;=FB148,AA$11&lt;=FC148),IF((AA$11-FB148)&lt;'Rent Roll'!$K$38,0,'Rent Roll'!$B$38*'Rent Roll'!$D$38*(1+'Rent Roll'!$F$38)^INT((AA$11-FB148)/12)/12),0)</f>
        <v/>
      </c>
      <c r="AB168" s="232">
        <f>IF(AND(AB$11&gt;=FB148,AB$11&lt;=FC148),IF((AB$11-FB148)&lt;'Rent Roll'!$K$38,0,'Rent Roll'!$B$38*'Rent Roll'!$D$38*(1+'Rent Roll'!$F$38)^INT((AB$11-FB148)/12)/12),0)</f>
        <v/>
      </c>
      <c r="AC168" s="232">
        <f>IF(AND(AC$11&gt;=FB148,AC$11&lt;=FC148),IF((AC$11-FB148)&lt;'Rent Roll'!$K$38,0,'Rent Roll'!$B$38*'Rent Roll'!$D$38*(1+'Rent Roll'!$F$38)^INT((AC$11-FB148)/12)/12),0)</f>
        <v/>
      </c>
      <c r="AD168" s="232">
        <f>IF(AND(AD$11&gt;=FB148,AD$11&lt;=FC148),IF((AD$11-FB148)&lt;'Rent Roll'!$K$38,0,'Rent Roll'!$B$38*'Rent Roll'!$D$38*(1+'Rent Roll'!$F$38)^INT((AD$11-FB148)/12)/12),0)</f>
        <v/>
      </c>
      <c r="AE168" s="232">
        <f>IF(AND(AE$11&gt;=FB148,AE$11&lt;=FC148),IF((AE$11-FB148)&lt;'Rent Roll'!$K$38,0,'Rent Roll'!$B$38*'Rent Roll'!$D$38*(1+'Rent Roll'!$F$38)^INT((AE$11-FB148)/12)/12),0)</f>
        <v/>
      </c>
      <c r="AF168" s="232">
        <f>IF(AND(AF$11&gt;=FB148,AF$11&lt;=FC148),IF((AF$11-FB148)&lt;'Rent Roll'!$K$38,0,'Rent Roll'!$B$38*'Rent Roll'!$D$38*(1+'Rent Roll'!$F$38)^INT((AF$11-FB148)/12)/12),0)</f>
        <v/>
      </c>
      <c r="AG168" s="232">
        <f>IF(AND(AG$11&gt;=FB148,AG$11&lt;=FC148),IF((AG$11-FB148)&lt;'Rent Roll'!$K$38,0,'Rent Roll'!$B$38*'Rent Roll'!$D$38*(1+'Rent Roll'!$F$38)^INT((AG$11-FB148)/12)/12),0)</f>
        <v/>
      </c>
      <c r="AH168" s="232">
        <f>IF(AND(AH$11&gt;=FB148,AH$11&lt;=FC148),IF((AH$11-FB148)&lt;'Rent Roll'!$K$38,0,'Rent Roll'!$B$38*'Rent Roll'!$D$38*(1+'Rent Roll'!$F$38)^INT((AH$11-FB148)/12)/12),0)</f>
        <v/>
      </c>
      <c r="AI168" s="232">
        <f>IF(AND(AI$11&gt;=FB148,AI$11&lt;=FC148),IF((AI$11-FB148)&lt;'Rent Roll'!$K$38,0,'Rent Roll'!$B$38*'Rent Roll'!$D$38*(1+'Rent Roll'!$F$38)^INT((AI$11-FB148)/12)/12),0)</f>
        <v/>
      </c>
      <c r="AJ168" s="232">
        <f>IF(AND(AJ$11&gt;=FB148,AJ$11&lt;=FC148),IF((AJ$11-FB148)&lt;'Rent Roll'!$K$38,0,'Rent Roll'!$B$38*'Rent Roll'!$D$38*(1+'Rent Roll'!$F$38)^INT((AJ$11-FB148)/12)/12),0)</f>
        <v/>
      </c>
      <c r="AK168" s="232">
        <f>IF(AND(AK$11&gt;=FB148,AK$11&lt;=FC148),IF((AK$11-FB148)&lt;'Rent Roll'!$K$38,0,'Rent Roll'!$B$38*'Rent Roll'!$D$38*(1+'Rent Roll'!$F$38)^INT((AK$11-FB148)/12)/12),0)</f>
        <v/>
      </c>
      <c r="AL168" s="232">
        <f>IF(AND(AL$11&gt;=FB148,AL$11&lt;=FC148),IF((AL$11-FB148)&lt;'Rent Roll'!$K$38,0,'Rent Roll'!$B$38*'Rent Roll'!$D$38*(1+'Rent Roll'!$F$38)^INT((AL$11-FB148)/12)/12),0)</f>
        <v/>
      </c>
      <c r="AM168" s="232">
        <f>IF(AND(AM$11&gt;=FB148,AM$11&lt;=FC148),IF((AM$11-FB148)&lt;'Rent Roll'!$K$38,0,'Rent Roll'!$B$38*'Rent Roll'!$D$38*(1+'Rent Roll'!$F$38)^INT((AM$11-FB148)/12)/12),0)</f>
        <v/>
      </c>
      <c r="AN168" s="232">
        <f>IF(AND(AN$11&gt;=FB148,AN$11&lt;=FC148),IF((AN$11-FB148)&lt;'Rent Roll'!$K$38,0,'Rent Roll'!$B$38*'Rent Roll'!$D$38*(1+'Rent Roll'!$F$38)^INT((AN$11-FB148)/12)/12),0)</f>
        <v/>
      </c>
      <c r="AO168" s="232">
        <f>IF(AND(AO$11&gt;=FB148,AO$11&lt;=FC148),IF((AO$11-FB148)&lt;'Rent Roll'!$K$38,0,'Rent Roll'!$B$38*'Rent Roll'!$D$38*(1+'Rent Roll'!$F$38)^INT((AO$11-FB148)/12)/12),0)</f>
        <v/>
      </c>
      <c r="AP168" s="232">
        <f>IF(AND(AP$11&gt;=FB148,AP$11&lt;=FC148),IF((AP$11-FB148)&lt;'Rent Roll'!$K$38,0,'Rent Roll'!$B$38*'Rent Roll'!$D$38*(1+'Rent Roll'!$F$38)^INT((AP$11-FB148)/12)/12),0)</f>
        <v/>
      </c>
      <c r="AQ168" s="232">
        <f>IF(AND(AQ$11&gt;=FB148,AQ$11&lt;=FC148),IF((AQ$11-FB148)&lt;'Rent Roll'!$K$38,0,'Rent Roll'!$B$38*'Rent Roll'!$D$38*(1+'Rent Roll'!$F$38)^INT((AQ$11-FB148)/12)/12),0)</f>
        <v/>
      </c>
      <c r="AR168" s="232">
        <f>IF(AND(AR$11&gt;=FB148,AR$11&lt;=FC148),IF((AR$11-FB148)&lt;'Rent Roll'!$K$38,0,'Rent Roll'!$B$38*'Rent Roll'!$D$38*(1+'Rent Roll'!$F$38)^INT((AR$11-FB148)/12)/12),0)</f>
        <v/>
      </c>
      <c r="AS168" s="232">
        <f>IF(AND(AS$11&gt;=FB148,AS$11&lt;=FC148),IF((AS$11-FB148)&lt;'Rent Roll'!$K$38,0,'Rent Roll'!$B$38*'Rent Roll'!$D$38*(1+'Rent Roll'!$F$38)^INT((AS$11-FB148)/12)/12),0)</f>
        <v/>
      </c>
      <c r="AT168" s="232">
        <f>IF(AND(AT$11&gt;=FB148,AT$11&lt;=FC148),IF((AT$11-FB148)&lt;'Rent Roll'!$K$38,0,'Rent Roll'!$B$38*'Rent Roll'!$D$38*(1+'Rent Roll'!$F$38)^INT((AT$11-FB148)/12)/12),0)</f>
        <v/>
      </c>
      <c r="AU168" s="232">
        <f>IF(AND(AU$11&gt;=FB148,AU$11&lt;=FC148),IF((AU$11-FB148)&lt;'Rent Roll'!$K$38,0,'Rent Roll'!$B$38*'Rent Roll'!$D$38*(1+'Rent Roll'!$F$38)^INT((AU$11-FB148)/12)/12),0)</f>
        <v/>
      </c>
      <c r="AV168" s="232">
        <f>IF(AND(AV$11&gt;=FB148,AV$11&lt;=FC148),IF((AV$11-FB148)&lt;'Rent Roll'!$K$38,0,'Rent Roll'!$B$38*'Rent Roll'!$D$38*(1+'Rent Roll'!$F$38)^INT((AV$11-FB148)/12)/12),0)</f>
        <v/>
      </c>
      <c r="AW168" s="232">
        <f>IF(AND(AW$11&gt;=FB148,AW$11&lt;=FC148),IF((AW$11-FB148)&lt;'Rent Roll'!$K$38,0,'Rent Roll'!$B$38*'Rent Roll'!$D$38*(1+'Rent Roll'!$F$38)^INT((AW$11-FB148)/12)/12),0)</f>
        <v/>
      </c>
      <c r="AX168" s="232">
        <f>IF(AND(AX$11&gt;=FB148,AX$11&lt;=FC148),IF((AX$11-FB148)&lt;'Rent Roll'!$K$38,0,'Rent Roll'!$B$38*'Rent Roll'!$D$38*(1+'Rent Roll'!$F$38)^INT((AX$11-FB148)/12)/12),0)</f>
        <v/>
      </c>
      <c r="AY168" s="232">
        <f>IF(AND(AY$11&gt;=FB148,AY$11&lt;=FC148),IF((AY$11-FB148)&lt;'Rent Roll'!$K$38,0,'Rent Roll'!$B$38*'Rent Roll'!$D$38*(1+'Rent Roll'!$F$38)^INT((AY$11-FB148)/12)/12),0)</f>
        <v/>
      </c>
      <c r="AZ168" s="232">
        <f>IF(AND(AZ$11&gt;=FB148,AZ$11&lt;=FC148),IF((AZ$11-FB148)&lt;'Rent Roll'!$K$38,0,'Rent Roll'!$B$38*'Rent Roll'!$D$38*(1+'Rent Roll'!$F$38)^INT((AZ$11-FB148)/12)/12),0)</f>
        <v/>
      </c>
      <c r="BA168" s="232">
        <f>IF(AND(BA$11&gt;=FB148,BA$11&lt;=FC148),IF((BA$11-FB148)&lt;'Rent Roll'!$K$38,0,'Rent Roll'!$B$38*'Rent Roll'!$D$38*(1+'Rent Roll'!$F$38)^INT((BA$11-FB148)/12)/12),0)</f>
        <v/>
      </c>
      <c r="BB168" s="232">
        <f>IF(AND(BB$11&gt;=FB148,BB$11&lt;=FC148),IF((BB$11-FB148)&lt;'Rent Roll'!$K$38,0,'Rent Roll'!$B$38*'Rent Roll'!$D$38*(1+'Rent Roll'!$F$38)^INT((BB$11-FB148)/12)/12),0)</f>
        <v/>
      </c>
      <c r="BC168" s="232">
        <f>IF(AND(BC$11&gt;=FB148,BC$11&lt;=FC148),IF((BC$11-FB148)&lt;'Rent Roll'!$K$38,0,'Rent Roll'!$B$38*'Rent Roll'!$D$38*(1+'Rent Roll'!$F$38)^INT((BC$11-FB148)/12)/12),0)</f>
        <v/>
      </c>
      <c r="BD168" s="232">
        <f>IF(AND(BD$11&gt;=FB148,BD$11&lt;=FC148),IF((BD$11-FB148)&lt;'Rent Roll'!$K$38,0,'Rent Roll'!$B$38*'Rent Roll'!$D$38*(1+'Rent Roll'!$F$38)^INT((BD$11-FB148)/12)/12),0)</f>
        <v/>
      </c>
      <c r="BE168" s="232">
        <f>IF(AND(BE$11&gt;=FB148,BE$11&lt;=FC148),IF((BE$11-FB148)&lt;'Rent Roll'!$K$38,0,'Rent Roll'!$B$38*'Rent Roll'!$D$38*(1+'Rent Roll'!$F$38)^INT((BE$11-FB148)/12)/12),0)</f>
        <v/>
      </c>
      <c r="BF168" s="232">
        <f>IF(AND(BF$11&gt;=FB148,BF$11&lt;=FC148),IF((BF$11-FB148)&lt;'Rent Roll'!$K$38,0,'Rent Roll'!$B$38*'Rent Roll'!$D$38*(1+'Rent Roll'!$F$38)^INT((BF$11-FB148)/12)/12),0)</f>
        <v/>
      </c>
      <c r="BG168" s="232">
        <f>IF(AND(BG$11&gt;=FB148,BG$11&lt;=FC148),IF((BG$11-FB148)&lt;'Rent Roll'!$K$38,0,'Rent Roll'!$B$38*'Rent Roll'!$D$38*(1+'Rent Roll'!$F$38)^INT((BG$11-FB148)/12)/12),0)</f>
        <v/>
      </c>
      <c r="BH168" s="232">
        <f>IF(AND(BH$11&gt;=FB148,BH$11&lt;=FC148),IF((BH$11-FB148)&lt;'Rent Roll'!$K$38,0,'Rent Roll'!$B$38*'Rent Roll'!$D$38*(1+'Rent Roll'!$F$38)^INT((BH$11-FB148)/12)/12),0)</f>
        <v/>
      </c>
      <c r="BI168" s="232">
        <f>IF(AND(BI$11&gt;=FB148,BI$11&lt;=FC148),IF((BI$11-FB148)&lt;'Rent Roll'!$K$38,0,'Rent Roll'!$B$38*'Rent Roll'!$D$38*(1+'Rent Roll'!$F$38)^INT((BI$11-FB148)/12)/12),0)</f>
        <v/>
      </c>
      <c r="BJ168" s="232">
        <f>IF(AND(BJ$11&gt;=FB148,BJ$11&lt;=FC148),IF((BJ$11-FB148)&lt;'Rent Roll'!$K$38,0,'Rent Roll'!$B$38*'Rent Roll'!$D$38*(1+'Rent Roll'!$F$38)^INT((BJ$11-FB148)/12)/12),0)</f>
        <v/>
      </c>
      <c r="BK168" s="232">
        <f>IF(AND(BK$11&gt;=FB148,BK$11&lt;=FC148),IF((BK$11-FB148)&lt;'Rent Roll'!$K$38,0,'Rent Roll'!$B$38*'Rent Roll'!$D$38*(1+'Rent Roll'!$F$38)^INT((BK$11-FB148)/12)/12),0)</f>
        <v/>
      </c>
      <c r="BL168" s="232">
        <f>IF(AND(BL$11&gt;=FB148,BL$11&lt;=FC148),IF((BL$11-FB148)&lt;'Rent Roll'!$K$38,0,'Rent Roll'!$B$38*'Rent Roll'!$D$38*(1+'Rent Roll'!$F$38)^INT((BL$11-FB148)/12)/12),0)</f>
        <v/>
      </c>
      <c r="BM168" s="232">
        <f>IF(AND(BM$11&gt;=FC148,BM$11&lt;=FD148),IF((BM$11-FC148)&lt;'Rent Roll'!$K$38,0,'Rent Roll'!$B$38*'Rent Roll'!$D$38*(1+'Rent Roll'!$F$38)^INT((BM$11-FC148)/12)/12),0)</f>
        <v/>
      </c>
      <c r="BN168" s="232">
        <f>IF(AND(BN$11&gt;=FD148,BN$11&lt;=FE148),IF((BN$11-FD148)&lt;'Rent Roll'!$K$38,0,'Rent Roll'!$B$38*'Rent Roll'!$D$38*(1+'Rent Roll'!$F$38)^INT((BN$11-FD148)/12)/12),0)</f>
        <v/>
      </c>
      <c r="BO168" s="232">
        <f>IF(AND(BO$11&gt;=FE148,BO$11&lt;=FF148),IF((BO$11-FE148)&lt;'Rent Roll'!$K$38,0,'Rent Roll'!$B$38*'Rent Roll'!$D$38*(1+'Rent Roll'!$F$38)^INT((BO$11-FE148)/12)/12),0)</f>
        <v/>
      </c>
      <c r="BP168" s="232">
        <f>IF(AND(BP$11&gt;=FF148,BP$11&lt;=FG148),IF((BP$11-FF148)&lt;'Rent Roll'!$K$38,0,'Rent Roll'!$B$38*'Rent Roll'!$D$38*(1+'Rent Roll'!$F$38)^INT((BP$11-FF148)/12)/12),0)</f>
        <v/>
      </c>
      <c r="BQ168" s="232">
        <f>IF(AND(BQ$11&gt;=FG148,BQ$11&lt;=FH148),IF((BQ$11-FG148)&lt;'Rent Roll'!$K$38,0,'Rent Roll'!$B$38*'Rent Roll'!$D$38*(1+'Rent Roll'!$F$38)^INT((BQ$11-FG148)/12)/12),0)</f>
        <v/>
      </c>
      <c r="BR168" s="232">
        <f>IF(AND(BR$11&gt;=FH148,BR$11&lt;=FI148),IF((BR$11-FH148)&lt;'Rent Roll'!$K$38,0,'Rent Roll'!$B$38*'Rent Roll'!$D$38*(1+'Rent Roll'!$F$38)^INT((BR$11-FH148)/12)/12),0)</f>
        <v/>
      </c>
      <c r="BS168" s="232">
        <f>IF(AND(BS$11&gt;=FI148,BS$11&lt;=FJ148),IF((BS$11-FI148)&lt;'Rent Roll'!$K$38,0,'Rent Roll'!$B$38*'Rent Roll'!$D$38*(1+'Rent Roll'!$F$38)^INT((BS$11-FI148)/12)/12),0)</f>
        <v/>
      </c>
      <c r="BT168" s="232">
        <f>IF(AND(BT$11&gt;=FJ148,BT$11&lt;=FK148),IF((BT$11-FJ148)&lt;'Rent Roll'!$K$38,0,'Rent Roll'!$B$38*'Rent Roll'!$D$38*(1+'Rent Roll'!$F$38)^INT((BT$11-FJ148)/12)/12),0)</f>
        <v/>
      </c>
      <c r="BU168" s="232">
        <f>IF(AND(BU$11&gt;=FK148,BU$11&lt;=FL148),IF((BU$11-FK148)&lt;'Rent Roll'!$K$38,0,'Rent Roll'!$B$38*'Rent Roll'!$D$38*(1+'Rent Roll'!$F$38)^INT((BU$11-FK148)/12)/12),0)</f>
        <v/>
      </c>
      <c r="BV168" s="232">
        <f>IF(AND(BV$11&gt;=FL148,BV$11&lt;=FM148),IF((BV$11-FL148)&lt;'Rent Roll'!$K$38,0,'Rent Roll'!$B$38*'Rent Roll'!$D$38*(1+'Rent Roll'!$F$38)^INT((BV$11-FL148)/12)/12),0)</f>
        <v/>
      </c>
      <c r="BW168" s="232">
        <f>IF(AND(BW$11&gt;=FM148,BW$11&lt;=FN148),IF((BW$11-FM148)&lt;'Rent Roll'!$K$38,0,'Rent Roll'!$B$38*'Rent Roll'!$D$38*(1+'Rent Roll'!$F$38)^INT((BW$11-FM148)/12)/12),0)</f>
        <v/>
      </c>
      <c r="BX168" s="232">
        <f>IF(AND(BX$11&gt;=FN148,BX$11&lt;=FO148),IF((BX$11-FN148)&lt;'Rent Roll'!$K$38,0,'Rent Roll'!$B$38*'Rent Roll'!$D$38*(1+'Rent Roll'!$F$38)^INT((BX$11-FN148)/12)/12),0)</f>
        <v/>
      </c>
      <c r="BY168" s="232">
        <f>IF(AND(BY$11&gt;=FO148,BY$11&lt;=FP148),IF((BY$11-FO148)&lt;'Rent Roll'!$K$38,0,'Rent Roll'!$B$38*'Rent Roll'!$D$38*(1+'Rent Roll'!$F$38)^INT((BY$11-FO148)/12)/12),0)</f>
        <v/>
      </c>
      <c r="BZ168" s="232">
        <f>IF(AND(BZ$11&gt;=FP148,BZ$11&lt;=FQ148),IF((BZ$11-FP148)&lt;'Rent Roll'!$K$38,0,'Rent Roll'!$B$38*'Rent Roll'!$D$38*(1+'Rent Roll'!$F$38)^INT((BZ$11-FP148)/12)/12),0)</f>
        <v/>
      </c>
      <c r="CA168" s="232">
        <f>IF(AND(CA$11&gt;=FQ148,CA$11&lt;=FR148),IF((CA$11-FQ148)&lt;'Rent Roll'!$K$38,0,'Rent Roll'!$B$38*'Rent Roll'!$D$38*(1+'Rent Roll'!$F$38)^INT((CA$11-FQ148)/12)/12),0)</f>
        <v/>
      </c>
      <c r="CB168" s="232">
        <f>IF(AND(CB$11&gt;=FR148,CB$11&lt;=FS148),IF((CB$11-FR148)&lt;'Rent Roll'!$K$38,0,'Rent Roll'!$B$38*'Rent Roll'!$D$38*(1+'Rent Roll'!$F$38)^INT((CB$11-FR148)/12)/12),0)</f>
        <v/>
      </c>
      <c r="CC168" s="232">
        <f>IF(AND(CC$11&gt;=FS148,CC$11&lt;=FT148),IF((CC$11-FS148)&lt;'Rent Roll'!$K$38,0,'Rent Roll'!$B$38*'Rent Roll'!$D$38*(1+'Rent Roll'!$F$38)^INT((CC$11-FS148)/12)/12),0)</f>
        <v/>
      </c>
      <c r="CD168" s="232">
        <f>IF(AND(CD$11&gt;=FT148,CD$11&lt;=FU148),IF((CD$11-FT148)&lt;'Rent Roll'!$K$38,0,'Rent Roll'!$B$38*'Rent Roll'!$D$38*(1+'Rent Roll'!$F$38)^INT((CD$11-FT148)/12)/12),0)</f>
        <v/>
      </c>
      <c r="CE168" s="232">
        <f>IF(AND(CE$11&gt;=FU148,CE$11&lt;=FV148),IF((CE$11-FU148)&lt;'Rent Roll'!$K$38,0,'Rent Roll'!$B$38*'Rent Roll'!$D$38*(1+'Rent Roll'!$F$38)^INT((CE$11-FU148)/12)/12),0)</f>
        <v/>
      </c>
      <c r="CF168" s="232">
        <f>IF(AND(CF$11&gt;=FV148,CF$11&lt;=FW148),IF((CF$11-FV148)&lt;'Rent Roll'!$K$38,0,'Rent Roll'!$B$38*'Rent Roll'!$D$38*(1+'Rent Roll'!$F$38)^INT((CF$11-FV148)/12)/12),0)</f>
        <v/>
      </c>
      <c r="CG168" s="232">
        <f>IF(AND(CG$11&gt;=FW148,CG$11&lt;=FX148),IF((CG$11-FW148)&lt;'Rent Roll'!$K$38,0,'Rent Roll'!$B$38*'Rent Roll'!$D$38*(1+'Rent Roll'!$F$38)^INT((CG$11-FW148)/12)/12),0)</f>
        <v/>
      </c>
      <c r="CH168" s="232">
        <f>IF(AND(CH$11&gt;=FX148,CH$11&lt;=FY148),IF((CH$11-FX148)&lt;'Rent Roll'!$K$38,0,'Rent Roll'!$B$38*'Rent Roll'!$D$38*(1+'Rent Roll'!$F$38)^INT((CH$11-FX148)/12)/12),0)</f>
        <v/>
      </c>
      <c r="CI168" s="232">
        <f>IF(AND(CI$11&gt;=FY148,CI$11&lt;=FZ148),IF((CI$11-FY148)&lt;'Rent Roll'!$K$38,0,'Rent Roll'!$B$38*'Rent Roll'!$D$38*(1+'Rent Roll'!$F$38)^INT((CI$11-FY148)/12)/12),0)</f>
        <v/>
      </c>
      <c r="CJ168" s="232">
        <f>IF(AND(CJ$11&gt;=FZ148,CJ$11&lt;=GA148),IF((CJ$11-FZ148)&lt;'Rent Roll'!$K$38,0,'Rent Roll'!$B$38*'Rent Roll'!$D$38*(1+'Rent Roll'!$F$38)^INT((CJ$11-FZ148)/12)/12),0)</f>
        <v/>
      </c>
      <c r="CK168" s="232">
        <f>IF(AND(CK$11&gt;=GA148,CK$11&lt;=GB148),IF((CK$11-GA148)&lt;'Rent Roll'!$K$38,0,'Rent Roll'!$B$38*'Rent Roll'!$D$38*(1+'Rent Roll'!$F$38)^INT((CK$11-GA148)/12)/12),0)</f>
        <v/>
      </c>
      <c r="CL168" s="232">
        <f>IF(AND(CL$11&gt;=GB148,CL$11&lt;=GC148),IF((CL$11-GB148)&lt;'Rent Roll'!$K$38,0,'Rent Roll'!$B$38*'Rent Roll'!$D$38*(1+'Rent Roll'!$F$38)^INT((CL$11-GB148)/12)/12),0)</f>
        <v/>
      </c>
      <c r="CM168" s="232">
        <f>IF(AND(CM$11&gt;=GC148,CM$11&lt;=GD148),IF((CM$11-GC148)&lt;'Rent Roll'!$K$38,0,'Rent Roll'!$B$38*'Rent Roll'!$D$38*(1+'Rent Roll'!$F$38)^INT((CM$11-GC148)/12)/12),0)</f>
        <v/>
      </c>
      <c r="CN168" s="232">
        <f>IF(AND(CN$11&gt;=GD148,CN$11&lt;=GE148),IF((CN$11-GD148)&lt;'Rent Roll'!$K$38,0,'Rent Roll'!$B$38*'Rent Roll'!$D$38*(1+'Rent Roll'!$F$38)^INT((CN$11-GD148)/12)/12),0)</f>
        <v/>
      </c>
      <c r="CO168" s="232">
        <f>IF(AND(CO$11&gt;=GE148,CO$11&lt;=GF148),IF((CO$11-GE148)&lt;'Rent Roll'!$K$38,0,'Rent Roll'!$B$38*'Rent Roll'!$D$38*(1+'Rent Roll'!$F$38)^INT((CO$11-GE148)/12)/12),0)</f>
        <v/>
      </c>
      <c r="CP168" s="232">
        <f>IF(AND(CP$11&gt;=GF148,CP$11&lt;=GG148),IF((CP$11-GF148)&lt;'Rent Roll'!$K$38,0,'Rent Roll'!$B$38*'Rent Roll'!$D$38*(1+'Rent Roll'!$F$38)^INT((CP$11-GF148)/12)/12),0)</f>
        <v/>
      </c>
      <c r="CQ168" s="232">
        <f>IF(AND(CQ$11&gt;=GG148,CQ$11&lt;=GH148),IF((CQ$11-GG148)&lt;'Rent Roll'!$K$38,0,'Rent Roll'!$B$38*'Rent Roll'!$D$38*(1+'Rent Roll'!$F$38)^INT((CQ$11-GG148)/12)/12),0)</f>
        <v/>
      </c>
      <c r="CR168" s="232">
        <f>IF(AND(CR$11&gt;=GH148,CR$11&lt;=GI148),IF((CR$11-GH148)&lt;'Rent Roll'!$K$38,0,'Rent Roll'!$B$38*'Rent Roll'!$D$38*(1+'Rent Roll'!$F$38)^INT((CR$11-GH148)/12)/12),0)</f>
        <v/>
      </c>
      <c r="CS168" s="232">
        <f>IF(AND(CS$11&gt;=GI148,CS$11&lt;=GJ148),IF((CS$11-GI148)&lt;'Rent Roll'!$K$38,0,'Rent Roll'!$B$38*'Rent Roll'!$D$38*(1+'Rent Roll'!$F$38)^INT((CS$11-GI148)/12)/12),0)</f>
        <v/>
      </c>
      <c r="CT168" s="232">
        <f>IF(AND(CT$11&gt;=GJ148,CT$11&lt;=GK148),IF((CT$11-GJ148)&lt;'Rent Roll'!$K$38,0,'Rent Roll'!$B$38*'Rent Roll'!$D$38*(1+'Rent Roll'!$F$38)^INT((CT$11-GJ148)/12)/12),0)</f>
        <v/>
      </c>
      <c r="CU168" s="232">
        <f>IF(AND(CU$11&gt;=GK148,CU$11&lt;=GL148),IF((CU$11-GK148)&lt;'Rent Roll'!$K$38,0,'Rent Roll'!$B$38*'Rent Roll'!$D$38*(1+'Rent Roll'!$F$38)^INT((CU$11-GK148)/12)/12),0)</f>
        <v/>
      </c>
      <c r="CV168" s="232">
        <f>IF(AND(CV$11&gt;=GL148,CV$11&lt;=GM148),IF((CV$11-GL148)&lt;'Rent Roll'!$K$38,0,'Rent Roll'!$B$38*'Rent Roll'!$D$38*(1+'Rent Roll'!$F$38)^INT((CV$11-GL148)/12)/12),0)</f>
        <v/>
      </c>
      <c r="CW168" s="232">
        <f>IF(AND(CW$11&gt;=GM148,CW$11&lt;=GN148),IF((CW$11-GM148)&lt;'Rent Roll'!$K$38,0,'Rent Roll'!$B$38*'Rent Roll'!$D$38*(1+'Rent Roll'!$F$38)^INT((CW$11-GM148)/12)/12),0)</f>
        <v/>
      </c>
      <c r="CX168" s="232">
        <f>IF(AND(CX$11&gt;=GN148,CX$11&lt;=GO148),IF((CX$11-GN148)&lt;'Rent Roll'!$K$38,0,'Rent Roll'!$B$38*'Rent Roll'!$D$38*(1+'Rent Roll'!$F$38)^INT((CX$11-GN148)/12)/12),0)</f>
        <v/>
      </c>
      <c r="CY168" s="232">
        <f>IF(AND(CY$11&gt;=GO148,CY$11&lt;=GP148),IF((CY$11-GO148)&lt;'Rent Roll'!$K$38,0,'Rent Roll'!$B$38*'Rent Roll'!$D$38*(1+'Rent Roll'!$F$38)^INT((CY$11-GO148)/12)/12),0)</f>
        <v/>
      </c>
      <c r="CZ168" s="232">
        <f>IF(AND(CZ$11&gt;=GP148,CZ$11&lt;=GQ148),IF((CZ$11-GP148)&lt;'Rent Roll'!$K$38,0,'Rent Roll'!$B$38*'Rent Roll'!$D$38*(1+'Rent Roll'!$F$38)^INT((CZ$11-GP148)/12)/12),0)</f>
        <v/>
      </c>
      <c r="DA168" s="232">
        <f>IF(AND(DA$11&gt;=GQ148,DA$11&lt;=GR148),IF((DA$11-GQ148)&lt;'Rent Roll'!$K$38,0,'Rent Roll'!$B$38*'Rent Roll'!$D$38*(1+'Rent Roll'!$F$38)^INT((DA$11-GQ148)/12)/12),0)</f>
        <v/>
      </c>
      <c r="DB168" s="232">
        <f>IF(AND(DB$11&gt;=GR148,DB$11&lt;=GS148),IF((DB$11-GR148)&lt;'Rent Roll'!$K$38,0,'Rent Roll'!$B$38*'Rent Roll'!$D$38*(1+'Rent Roll'!$F$38)^INT((DB$11-GR148)/12)/12),0)</f>
        <v/>
      </c>
      <c r="DC168" s="232">
        <f>IF(AND(DC$11&gt;=GS148,DC$11&lt;=GT148),IF((DC$11-GS148)&lt;'Rent Roll'!$K$38,0,'Rent Roll'!$B$38*'Rent Roll'!$D$38*(1+'Rent Roll'!$F$38)^INT((DC$11-GS148)/12)/12),0)</f>
        <v/>
      </c>
      <c r="DD168" s="232">
        <f>IF(AND(DD$11&gt;=GT148,DD$11&lt;=GU148),IF((DD$11-GT148)&lt;'Rent Roll'!$K$38,0,'Rent Roll'!$B$38*'Rent Roll'!$D$38*(1+'Rent Roll'!$F$38)^INT((DD$11-GT148)/12)/12),0)</f>
        <v/>
      </c>
      <c r="DE168" s="232">
        <f>IF(AND(DE$11&gt;=GU148,DE$11&lt;=GV148),IF((DE$11-GU148)&lt;'Rent Roll'!$K$38,0,'Rent Roll'!$B$38*'Rent Roll'!$D$38*(1+'Rent Roll'!$F$38)^INT((DE$11-GU148)/12)/12),0)</f>
        <v/>
      </c>
      <c r="DF168" s="232">
        <f>IF(AND(DF$11&gt;=GV148,DF$11&lt;=GW148),IF((DF$11-GV148)&lt;'Rent Roll'!$K$38,0,'Rent Roll'!$B$38*'Rent Roll'!$D$38*(1+'Rent Roll'!$F$38)^INT((DF$11-GV148)/12)/12),0)</f>
        <v/>
      </c>
      <c r="DG168" s="232">
        <f>IF(AND(DG$11&gt;=GW148,DG$11&lt;=GX148),IF((DG$11-GW148)&lt;'Rent Roll'!$K$38,0,'Rent Roll'!$B$38*'Rent Roll'!$D$38*(1+'Rent Roll'!$F$38)^INT((DG$11-GW148)/12)/12),0)</f>
        <v/>
      </c>
      <c r="DH168" s="232">
        <f>IF(AND(DH$11&gt;=GX148,DH$11&lt;=GY148),IF((DH$11-GX148)&lt;'Rent Roll'!$K$38,0,'Rent Roll'!$B$38*'Rent Roll'!$D$38*(1+'Rent Roll'!$F$38)^INT((DH$11-GX148)/12)/12),0)</f>
        <v/>
      </c>
      <c r="DI168" s="232">
        <f>IF(AND(DI$11&gt;=GY148,DI$11&lt;=GZ148),IF((DI$11-GY148)&lt;'Rent Roll'!$K$38,0,'Rent Roll'!$B$38*'Rent Roll'!$D$38*(1+'Rent Roll'!$F$38)^INT((DI$11-GY148)/12)/12),0)</f>
        <v/>
      </c>
      <c r="DJ168" s="232">
        <f>IF(AND(DJ$11&gt;=GZ148,DJ$11&lt;=HA148),IF((DJ$11-GZ148)&lt;'Rent Roll'!$K$38,0,'Rent Roll'!$B$38*'Rent Roll'!$D$38*(1+'Rent Roll'!$F$38)^INT((DJ$11-GZ148)/12)/12),0)</f>
        <v/>
      </c>
      <c r="DK168" s="232">
        <f>IF(AND(DK$11&gt;=HA148,DK$11&lt;=HB148),IF((DK$11-HA148)&lt;'Rent Roll'!$K$38,0,'Rent Roll'!$B$38*'Rent Roll'!$D$38*(1+'Rent Roll'!$F$38)^INT((DK$11-HA148)/12)/12),0)</f>
        <v/>
      </c>
      <c r="DL168" s="232">
        <f>IF(AND(DL$11&gt;=HB148,DL$11&lt;=HC148),IF((DL$11-HB148)&lt;'Rent Roll'!$K$38,0,'Rent Roll'!$B$38*'Rent Roll'!$D$38*(1+'Rent Roll'!$F$38)^INT((DL$11-HB148)/12)/12),0)</f>
        <v/>
      </c>
      <c r="DM168" s="232">
        <f>IF(AND(DM$11&gt;=HC148,DM$11&lt;=HD148),IF((DM$11-HC148)&lt;'Rent Roll'!$K$38,0,'Rent Roll'!$B$38*'Rent Roll'!$D$38*(1+'Rent Roll'!$F$38)^INT((DM$11-HC148)/12)/12),0)</f>
        <v/>
      </c>
      <c r="DN168" s="232">
        <f>IF(AND(DN$11&gt;=HD148,DN$11&lt;=HE148),IF((DN$11-HD148)&lt;'Rent Roll'!$K$38,0,'Rent Roll'!$B$38*'Rent Roll'!$D$38*(1+'Rent Roll'!$F$38)^INT((DN$11-HD148)/12)/12),0)</f>
        <v/>
      </c>
      <c r="DO168" s="232">
        <f>IF(AND(DO$11&gt;=HE148,DO$11&lt;=HF148),IF((DO$11-HE148)&lt;'Rent Roll'!$K$38,0,'Rent Roll'!$B$38*'Rent Roll'!$D$38*(1+'Rent Roll'!$F$38)^INT((DO$11-HE148)/12)/12),0)</f>
        <v/>
      </c>
      <c r="DP168" s="232">
        <f>IF(AND(DP$11&gt;=HF148,DP$11&lt;=HG148),IF((DP$11-HF148)&lt;'Rent Roll'!$K$38,0,'Rent Roll'!$B$38*'Rent Roll'!$D$38*(1+'Rent Roll'!$F$38)^INT((DP$11-HF148)/12)/12),0)</f>
        <v/>
      </c>
      <c r="DQ168" s="232">
        <f>IF(AND(DQ$11&gt;=HG148,DQ$11&lt;=HH148),IF((DQ$11-HG148)&lt;'Rent Roll'!$K$38,0,'Rent Roll'!$B$38*'Rent Roll'!$D$38*(1+'Rent Roll'!$F$38)^INT((DQ$11-HG148)/12)/12),0)</f>
        <v/>
      </c>
      <c r="DR168" s="232">
        <f>IF(AND(DR$11&gt;=HH148,DR$11&lt;=HI148),IF((DR$11-HH148)&lt;'Rent Roll'!$K$38,0,'Rent Roll'!$B$38*'Rent Roll'!$D$38*(1+'Rent Roll'!$F$38)^INT((DR$11-HH148)/12)/12),0)</f>
        <v/>
      </c>
      <c r="DS168" s="232">
        <f>IF(AND(DS$11&gt;=HI148,DS$11&lt;=HJ148),IF((DS$11-HI148)&lt;'Rent Roll'!$K$38,0,'Rent Roll'!$B$38*'Rent Roll'!$D$38*(1+'Rent Roll'!$F$38)^INT((DS$11-HI148)/12)/12),0)</f>
        <v/>
      </c>
      <c r="DT168" s="232">
        <f>IF(AND(DT$11&gt;=HJ148,DT$11&lt;=HK148),IF((DT$11-HJ148)&lt;'Rent Roll'!$K$38,0,'Rent Roll'!$B$38*'Rent Roll'!$D$38*(1+'Rent Roll'!$F$38)^INT((DT$11-HJ148)/12)/12),0)</f>
        <v/>
      </c>
      <c r="DV168">
        <f>DV148&amp;" Rent"</f>
        <v/>
      </c>
    </row>
    <row r="169" ht="15" customHeight="1" s="148">
      <c r="D169" s="127">
        <f>IF(AND(D$11&gt;=FB148,D$11&lt;=FC148),'Rent Roll'!$B$38,0)</f>
        <v/>
      </c>
      <c r="E169" s="127">
        <f>IF(AND(E$11&gt;=FB148,E$11&lt;=FC148),'Rent Roll'!$B$38,0)</f>
        <v/>
      </c>
      <c r="F169" s="127">
        <f>IF(AND(F$11&gt;=FB148,F$11&lt;=FC148),'Rent Roll'!$B$38,0)</f>
        <v/>
      </c>
      <c r="G169" s="127">
        <f>IF(AND(G$11&gt;=FB148,G$11&lt;=FC148),'Rent Roll'!$B$38,0)</f>
        <v/>
      </c>
      <c r="H169" s="127">
        <f>IF(AND(H$11&gt;=FB148,H$11&lt;=FC148),'Rent Roll'!$B$38,0)</f>
        <v/>
      </c>
      <c r="I169" s="127">
        <f>IF(AND(I$11&gt;=FB148,I$11&lt;=FC148),'Rent Roll'!$B$38,0)</f>
        <v/>
      </c>
      <c r="J169" s="127">
        <f>IF(AND(J$11&gt;=FB148,J$11&lt;=FC148),'Rent Roll'!$B$38,0)</f>
        <v/>
      </c>
      <c r="K169" s="127">
        <f>IF(AND(K$11&gt;=FB148,K$11&lt;=FC148),'Rent Roll'!$B$38,0)</f>
        <v/>
      </c>
      <c r="L169" s="127">
        <f>IF(AND(L$11&gt;=FB148,L$11&lt;=FC148),'Rent Roll'!$B$38,0)</f>
        <v/>
      </c>
      <c r="M169" s="127">
        <f>IF(AND(M$11&gt;=FB148,M$11&lt;=FC148),'Rent Roll'!$B$38,0)</f>
        <v/>
      </c>
      <c r="N169" s="127">
        <f>IF(AND(N$11&gt;=FB148,N$11&lt;=FC148),'Rent Roll'!$B$38,0)</f>
        <v/>
      </c>
      <c r="O169" s="127">
        <f>IF(AND(O$11&gt;=FB148,O$11&lt;=FC148),'Rent Roll'!$B$38,0)</f>
        <v/>
      </c>
      <c r="P169" s="127">
        <f>IF(AND(P$11&gt;=FB148,P$11&lt;=FC148),'Rent Roll'!$B$38,0)</f>
        <v/>
      </c>
      <c r="Q169" s="127">
        <f>IF(AND(Q$11&gt;=FB148,Q$11&lt;=FC148),'Rent Roll'!$B$38,0)</f>
        <v/>
      </c>
      <c r="R169" s="127">
        <f>IF(AND(R$11&gt;=FB148,R$11&lt;=FC148),'Rent Roll'!$B$38,0)</f>
        <v/>
      </c>
      <c r="S169" s="127">
        <f>IF(AND(S$11&gt;=FB148,S$11&lt;=FC148),'Rent Roll'!$B$38,0)</f>
        <v/>
      </c>
      <c r="T169" s="127">
        <f>IF(AND(T$11&gt;=FB148,T$11&lt;=FC148),'Rent Roll'!$B$38,0)</f>
        <v/>
      </c>
      <c r="U169" s="127">
        <f>IF(AND(U$11&gt;=FB148,U$11&lt;=FC148),'Rent Roll'!$B$38,0)</f>
        <v/>
      </c>
      <c r="V169" s="127">
        <f>IF(AND(V$11&gt;=FB148,V$11&lt;=FC148),'Rent Roll'!$B$38,0)</f>
        <v/>
      </c>
      <c r="W169" s="127">
        <f>IF(AND(W$11&gt;=FB148,W$11&lt;=FC148),'Rent Roll'!$B$38,0)</f>
        <v/>
      </c>
      <c r="X169" s="127">
        <f>IF(AND(X$11&gt;=FB148,X$11&lt;=FC148),'Rent Roll'!$B$38,0)</f>
        <v/>
      </c>
      <c r="Y169" s="127">
        <f>IF(AND(Y$11&gt;=FB148,Y$11&lt;=FC148),'Rent Roll'!$B$38,0)</f>
        <v/>
      </c>
      <c r="Z169" s="127">
        <f>IF(AND(Z$11&gt;=FB148,Z$11&lt;=FC148),'Rent Roll'!$B$38,0)</f>
        <v/>
      </c>
      <c r="AA169" s="127">
        <f>IF(AND(AA$11&gt;=FB148,AA$11&lt;=FC148),'Rent Roll'!$B$38,0)</f>
        <v/>
      </c>
      <c r="AB169" s="127">
        <f>IF(AND(AB$11&gt;=FB148,AB$11&lt;=FC148),'Rent Roll'!$B$38,0)</f>
        <v/>
      </c>
      <c r="AC169" s="127">
        <f>IF(AND(AC$11&gt;=FB148,AC$11&lt;=FC148),'Rent Roll'!$B$38,0)</f>
        <v/>
      </c>
      <c r="AD169" s="127">
        <f>IF(AND(AD$11&gt;=FB148,AD$11&lt;=FC148),'Rent Roll'!$B$38,0)</f>
        <v/>
      </c>
      <c r="AE169" s="127">
        <f>IF(AND(AE$11&gt;=FB148,AE$11&lt;=FC148),'Rent Roll'!$B$38,0)</f>
        <v/>
      </c>
      <c r="AF169" s="127">
        <f>IF(AND(AF$11&gt;=FB148,AF$11&lt;=FC148),'Rent Roll'!$B$38,0)</f>
        <v/>
      </c>
      <c r="AG169" s="127">
        <f>IF(AND(AG$11&gt;=FB148,AG$11&lt;=FC148),'Rent Roll'!$B$38,0)</f>
        <v/>
      </c>
      <c r="AH169" s="127">
        <f>IF(AND(AH$11&gt;=FB148,AH$11&lt;=FC148),'Rent Roll'!$B$38,0)</f>
        <v/>
      </c>
      <c r="AI169" s="127">
        <f>IF(AND(AI$11&gt;=FB148,AI$11&lt;=FC148),'Rent Roll'!$B$38,0)</f>
        <v/>
      </c>
      <c r="AJ169" s="127">
        <f>IF(AND(AJ$11&gt;=FB148,AJ$11&lt;=FC148),'Rent Roll'!$B$38,0)</f>
        <v/>
      </c>
      <c r="AK169" s="127">
        <f>IF(AND(AK$11&gt;=FB148,AK$11&lt;=FC148),'Rent Roll'!$B$38,0)</f>
        <v/>
      </c>
      <c r="AL169" s="127">
        <f>IF(AND(AL$11&gt;=FB148,AL$11&lt;=FC148),'Rent Roll'!$B$38,0)</f>
        <v/>
      </c>
      <c r="AM169" s="127">
        <f>IF(AND(AM$11&gt;=FB148,AM$11&lt;=FC148),'Rent Roll'!$B$38,0)</f>
        <v/>
      </c>
      <c r="AN169" s="127">
        <f>IF(AND(AN$11&gt;=FB148,AN$11&lt;=FC148),'Rent Roll'!$B$38,0)</f>
        <v/>
      </c>
      <c r="AO169" s="127">
        <f>IF(AND(AO$11&gt;=FB148,AO$11&lt;=FC148),'Rent Roll'!$B$38,0)</f>
        <v/>
      </c>
      <c r="AP169" s="127">
        <f>IF(AND(AP$11&gt;=FB148,AP$11&lt;=FC148),'Rent Roll'!$B$38,0)</f>
        <v/>
      </c>
      <c r="AQ169" s="127">
        <f>IF(AND(AQ$11&gt;=FB148,AQ$11&lt;=FC148),'Rent Roll'!$B$38,0)</f>
        <v/>
      </c>
      <c r="AR169" s="127">
        <f>IF(AND(AR$11&gt;=FB148,AR$11&lt;=FC148),'Rent Roll'!$B$38,0)</f>
        <v/>
      </c>
      <c r="AS169" s="127">
        <f>IF(AND(AS$11&gt;=FB148,AS$11&lt;=FC148),'Rent Roll'!$B$38,0)</f>
        <v/>
      </c>
      <c r="AT169" s="127">
        <f>IF(AND(AT$11&gt;=FB148,AT$11&lt;=FC148),'Rent Roll'!$B$38,0)</f>
        <v/>
      </c>
      <c r="AU169" s="127">
        <f>IF(AND(AU$11&gt;=FB148,AU$11&lt;=FC148),'Rent Roll'!$B$38,0)</f>
        <v/>
      </c>
      <c r="AV169" s="127">
        <f>IF(AND(AV$11&gt;=FB148,AV$11&lt;=FC148),'Rent Roll'!$B$38,0)</f>
        <v/>
      </c>
      <c r="AW169" s="127">
        <f>IF(AND(AW$11&gt;=FB148,AW$11&lt;=FC148),'Rent Roll'!$B$38,0)</f>
        <v/>
      </c>
      <c r="AX169" s="127">
        <f>IF(AND(AX$11&gt;=FB148,AX$11&lt;=FC148),'Rent Roll'!$B$38,0)</f>
        <v/>
      </c>
      <c r="AY169" s="127">
        <f>IF(AND(AY$11&gt;=FB148,AY$11&lt;=FC148),'Rent Roll'!$B$38,0)</f>
        <v/>
      </c>
      <c r="AZ169" s="127">
        <f>IF(AND(AZ$11&gt;=FB148,AZ$11&lt;=FC148),'Rent Roll'!$B$38,0)</f>
        <v/>
      </c>
      <c r="BA169" s="127">
        <f>IF(AND(BA$11&gt;=FB148,BA$11&lt;=FC148),'Rent Roll'!$B$38,0)</f>
        <v/>
      </c>
      <c r="BB169" s="127">
        <f>IF(AND(BB$11&gt;=FB148,BB$11&lt;=FC148),'Rent Roll'!$B$38,0)</f>
        <v/>
      </c>
      <c r="BC169" s="127">
        <f>IF(AND(BC$11&gt;=FB148,BC$11&lt;=FC148),'Rent Roll'!$B$38,0)</f>
        <v/>
      </c>
      <c r="BD169" s="127">
        <f>IF(AND(BD$11&gt;=FB148,BD$11&lt;=FC148),'Rent Roll'!$B$38,0)</f>
        <v/>
      </c>
      <c r="BE169" s="127">
        <f>IF(AND(BE$11&gt;=FB148,BE$11&lt;=FC148),'Rent Roll'!$B$38,0)</f>
        <v/>
      </c>
      <c r="BF169" s="127">
        <f>IF(AND(BF$11&gt;=FB148,BF$11&lt;=FC148),'Rent Roll'!$B$38,0)</f>
        <v/>
      </c>
      <c r="BG169" s="127">
        <f>IF(AND(BG$11&gt;=FB148,BG$11&lt;=FC148),'Rent Roll'!$B$38,0)</f>
        <v/>
      </c>
      <c r="BH169" s="127">
        <f>IF(AND(BH$11&gt;=FB148,BH$11&lt;=FC148),'Rent Roll'!$B$38,0)</f>
        <v/>
      </c>
      <c r="BI169" s="127">
        <f>IF(AND(BI$11&gt;=FB148,BI$11&lt;=FC148),'Rent Roll'!$B$38,0)</f>
        <v/>
      </c>
      <c r="BJ169" s="127">
        <f>IF(AND(BJ$11&gt;=FB148,BJ$11&lt;=FC148),'Rent Roll'!$B$38,0)</f>
        <v/>
      </c>
      <c r="BK169" s="127">
        <f>IF(AND(BK$11&gt;=FB148,BK$11&lt;=FC148),'Rent Roll'!$B$38,0)</f>
        <v/>
      </c>
      <c r="BL169" s="127">
        <f>IF(AND(BL$11&gt;=FB148,BL$11&lt;=FC148),'Rent Roll'!$B$38,0)</f>
        <v/>
      </c>
      <c r="BM169" s="127">
        <f>IF(AND(BM$11&gt;=FC148,BM$11&lt;=FD148),'Rent Roll'!$B$38,0)</f>
        <v/>
      </c>
      <c r="BN169" s="127">
        <f>IF(AND(BN$11&gt;=FD148,BN$11&lt;=FE148),'Rent Roll'!$B$38,0)</f>
        <v/>
      </c>
      <c r="BO169" s="127">
        <f>IF(AND(BO$11&gt;=FE148,BO$11&lt;=FF148),'Rent Roll'!$B$38,0)</f>
        <v/>
      </c>
      <c r="BP169" s="127">
        <f>IF(AND(BP$11&gt;=FF148,BP$11&lt;=FG148),'Rent Roll'!$B$38,0)</f>
        <v/>
      </c>
      <c r="BQ169" s="127">
        <f>IF(AND(BQ$11&gt;=FG148,BQ$11&lt;=FH148),'Rent Roll'!$B$38,0)</f>
        <v/>
      </c>
      <c r="BR169" s="127">
        <f>IF(AND(BR$11&gt;=FH148,BR$11&lt;=FI148),'Rent Roll'!$B$38,0)</f>
        <v/>
      </c>
      <c r="BS169" s="127">
        <f>IF(AND(BS$11&gt;=FI148,BS$11&lt;=FJ148),'Rent Roll'!$B$38,0)</f>
        <v/>
      </c>
      <c r="BT169" s="127">
        <f>IF(AND(BT$11&gt;=FJ148,BT$11&lt;=FK148),'Rent Roll'!$B$38,0)</f>
        <v/>
      </c>
      <c r="BU169" s="127">
        <f>IF(AND(BU$11&gt;=FK148,BU$11&lt;=FL148),'Rent Roll'!$B$38,0)</f>
        <v/>
      </c>
      <c r="BV169" s="127">
        <f>IF(AND(BV$11&gt;=FL148,BV$11&lt;=FM148),'Rent Roll'!$B$38,0)</f>
        <v/>
      </c>
      <c r="BW169" s="127">
        <f>IF(AND(BW$11&gt;=FM148,BW$11&lt;=FN148),'Rent Roll'!$B$38,0)</f>
        <v/>
      </c>
      <c r="BX169" s="127">
        <f>IF(AND(BX$11&gt;=FN148,BX$11&lt;=FO148),'Rent Roll'!$B$38,0)</f>
        <v/>
      </c>
      <c r="BY169" s="127">
        <f>IF(AND(BY$11&gt;=FO148,BY$11&lt;=FP148),'Rent Roll'!$B$38,0)</f>
        <v/>
      </c>
      <c r="BZ169" s="127">
        <f>IF(AND(BZ$11&gt;=FP148,BZ$11&lt;=FQ148),'Rent Roll'!$B$38,0)</f>
        <v/>
      </c>
      <c r="CA169" s="127">
        <f>IF(AND(CA$11&gt;=FQ148,CA$11&lt;=FR148),'Rent Roll'!$B$38,0)</f>
        <v/>
      </c>
      <c r="CB169" s="127">
        <f>IF(AND(CB$11&gt;=FR148,CB$11&lt;=FS148),'Rent Roll'!$B$38,0)</f>
        <v/>
      </c>
      <c r="CC169" s="127">
        <f>IF(AND(CC$11&gt;=FS148,CC$11&lt;=FT148),'Rent Roll'!$B$38,0)</f>
        <v/>
      </c>
      <c r="CD169" s="127">
        <f>IF(AND(CD$11&gt;=FT148,CD$11&lt;=FU148),'Rent Roll'!$B$38,0)</f>
        <v/>
      </c>
      <c r="CE169" s="127">
        <f>IF(AND(CE$11&gt;=FU148,CE$11&lt;=FV148),'Rent Roll'!$B$38,0)</f>
        <v/>
      </c>
      <c r="CF169" s="127">
        <f>IF(AND(CF$11&gt;=FV148,CF$11&lt;=FW148),'Rent Roll'!$B$38,0)</f>
        <v/>
      </c>
      <c r="CG169" s="127">
        <f>IF(AND(CG$11&gt;=FW148,CG$11&lt;=FX148),'Rent Roll'!$B$38,0)</f>
        <v/>
      </c>
      <c r="CH169" s="127">
        <f>IF(AND(CH$11&gt;=FX148,CH$11&lt;=FY148),'Rent Roll'!$B$38,0)</f>
        <v/>
      </c>
      <c r="CI169" s="127">
        <f>IF(AND(CI$11&gt;=FY148,CI$11&lt;=FZ148),'Rent Roll'!$B$38,0)</f>
        <v/>
      </c>
      <c r="CJ169" s="127">
        <f>IF(AND(CJ$11&gt;=FZ148,CJ$11&lt;=GA148),'Rent Roll'!$B$38,0)</f>
        <v/>
      </c>
      <c r="CK169" s="127">
        <f>IF(AND(CK$11&gt;=GA148,CK$11&lt;=GB148),'Rent Roll'!$B$38,0)</f>
        <v/>
      </c>
      <c r="CL169" s="127">
        <f>IF(AND(CL$11&gt;=GB148,CL$11&lt;=GC148),'Rent Roll'!$B$38,0)</f>
        <v/>
      </c>
      <c r="CM169" s="127">
        <f>IF(AND(CM$11&gt;=GC148,CM$11&lt;=GD148),'Rent Roll'!$B$38,0)</f>
        <v/>
      </c>
      <c r="CN169" s="127">
        <f>IF(AND(CN$11&gt;=GD148,CN$11&lt;=GE148),'Rent Roll'!$B$38,0)</f>
        <v/>
      </c>
      <c r="CO169" s="127">
        <f>IF(AND(CO$11&gt;=GE148,CO$11&lt;=GF148),'Rent Roll'!$B$38,0)</f>
        <v/>
      </c>
      <c r="CP169" s="127">
        <f>IF(AND(CP$11&gt;=GF148,CP$11&lt;=GG148),'Rent Roll'!$B$38,0)</f>
        <v/>
      </c>
      <c r="CQ169" s="127">
        <f>IF(AND(CQ$11&gt;=GG148,CQ$11&lt;=GH148),'Rent Roll'!$B$38,0)</f>
        <v/>
      </c>
      <c r="CR169" s="127">
        <f>IF(AND(CR$11&gt;=GH148,CR$11&lt;=GI148),'Rent Roll'!$B$38,0)</f>
        <v/>
      </c>
      <c r="CS169" s="127">
        <f>IF(AND(CS$11&gt;=GI148,CS$11&lt;=GJ148),'Rent Roll'!$B$38,0)</f>
        <v/>
      </c>
      <c r="CT169" s="127">
        <f>IF(AND(CT$11&gt;=GJ148,CT$11&lt;=GK148),'Rent Roll'!$B$38,0)</f>
        <v/>
      </c>
      <c r="CU169" s="127">
        <f>IF(AND(CU$11&gt;=GK148,CU$11&lt;=GL148),'Rent Roll'!$B$38,0)</f>
        <v/>
      </c>
      <c r="CV169" s="127">
        <f>IF(AND(CV$11&gt;=GL148,CV$11&lt;=GM148),'Rent Roll'!$B$38,0)</f>
        <v/>
      </c>
      <c r="CW169" s="127">
        <f>IF(AND(CW$11&gt;=GM148,CW$11&lt;=GN148),'Rent Roll'!$B$38,0)</f>
        <v/>
      </c>
      <c r="CX169" s="127">
        <f>IF(AND(CX$11&gt;=GN148,CX$11&lt;=GO148),'Rent Roll'!$B$38,0)</f>
        <v/>
      </c>
      <c r="CY169" s="127">
        <f>IF(AND(CY$11&gt;=GO148,CY$11&lt;=GP148),'Rent Roll'!$B$38,0)</f>
        <v/>
      </c>
      <c r="CZ169" s="127">
        <f>IF(AND(CZ$11&gt;=GP148,CZ$11&lt;=GQ148),'Rent Roll'!$B$38,0)</f>
        <v/>
      </c>
      <c r="DA169" s="127">
        <f>IF(AND(DA$11&gt;=GQ148,DA$11&lt;=GR148),'Rent Roll'!$B$38,0)</f>
        <v/>
      </c>
      <c r="DB169" s="127">
        <f>IF(AND(DB$11&gt;=GR148,DB$11&lt;=GS148),'Rent Roll'!$B$38,0)</f>
        <v/>
      </c>
      <c r="DC169" s="127">
        <f>IF(AND(DC$11&gt;=GS148,DC$11&lt;=GT148),'Rent Roll'!$B$38,0)</f>
        <v/>
      </c>
      <c r="DD169" s="127">
        <f>IF(AND(DD$11&gt;=GT148,DD$11&lt;=GU148),'Rent Roll'!$B$38,0)</f>
        <v/>
      </c>
      <c r="DE169" s="127">
        <f>IF(AND(DE$11&gt;=GU148,DE$11&lt;=GV148),'Rent Roll'!$B$38,0)</f>
        <v/>
      </c>
      <c r="DF169" s="127">
        <f>IF(AND(DF$11&gt;=GV148,DF$11&lt;=GW148),'Rent Roll'!$B$38,0)</f>
        <v/>
      </c>
      <c r="DG169" s="127">
        <f>IF(AND(DG$11&gt;=GW148,DG$11&lt;=GX148),'Rent Roll'!$B$38,0)</f>
        <v/>
      </c>
      <c r="DH169" s="127">
        <f>IF(AND(DH$11&gt;=GX148,DH$11&lt;=GY148),'Rent Roll'!$B$38,0)</f>
        <v/>
      </c>
      <c r="DI169" s="127">
        <f>IF(AND(DI$11&gt;=GY148,DI$11&lt;=GZ148),'Rent Roll'!$B$38,0)</f>
        <v/>
      </c>
      <c r="DJ169" s="127">
        <f>IF(AND(DJ$11&gt;=GZ148,DJ$11&lt;=HA148),'Rent Roll'!$B$38,0)</f>
        <v/>
      </c>
      <c r="DK169" s="127">
        <f>IF(AND(DK$11&gt;=HA148,DK$11&lt;=HB148),'Rent Roll'!$B$38,0)</f>
        <v/>
      </c>
      <c r="DL169" s="127">
        <f>IF(AND(DL$11&gt;=HB148,DL$11&lt;=HC148),'Rent Roll'!$B$38,0)</f>
        <v/>
      </c>
      <c r="DM169" s="127">
        <f>IF(AND(DM$11&gt;=HC148,DM$11&lt;=HD148),'Rent Roll'!$B$38,0)</f>
        <v/>
      </c>
      <c r="DN169" s="127">
        <f>IF(AND(DN$11&gt;=HD148,DN$11&lt;=HE148),'Rent Roll'!$B$38,0)</f>
        <v/>
      </c>
      <c r="DO169" s="127">
        <f>IF(AND(DO$11&gt;=HE148,DO$11&lt;=HF148),'Rent Roll'!$B$38,0)</f>
        <v/>
      </c>
      <c r="DP169" s="127">
        <f>IF(AND(DP$11&gt;=HF148,DP$11&lt;=HG148),'Rent Roll'!$B$38,0)</f>
        <v/>
      </c>
      <c r="DQ169" s="127">
        <f>IF(AND(DQ$11&gt;=HG148,DQ$11&lt;=HH148),'Rent Roll'!$B$38,0)</f>
        <v/>
      </c>
      <c r="DR169" s="127">
        <f>IF(AND(DR$11&gt;=HH148,DR$11&lt;=HI148),'Rent Roll'!$B$38,0)</f>
        <v/>
      </c>
      <c r="DS169" s="127">
        <f>IF(AND(DS$11&gt;=HI148,DS$11&lt;=HJ148),'Rent Roll'!$B$38,0)</f>
        <v/>
      </c>
      <c r="DT169" s="127">
        <f>IF(AND(DT$11&gt;=HJ148,DT$11&lt;=HK148),'Rent Roll'!$B$38,0)</f>
        <v/>
      </c>
      <c r="DV169">
        <f>DV148&amp;" ActiveSF"</f>
        <v/>
      </c>
    </row>
    <row r="170" ht="15" customHeight="1" s="148">
      <c r="D170" s="232">
        <f>IF(AND(D$11&gt;=FB149,D$11&lt;=FC149),IF((D$11-FB149)&lt;'Rent Roll'!$K$39,0,'Rent Roll'!$B$39*'Rent Roll'!$D$39*(1+'Rent Roll'!$F$39)^INT((D$11-FB149)/12)/12),0)</f>
        <v/>
      </c>
      <c r="E170" s="232">
        <f>IF(AND(E$11&gt;=FB149,E$11&lt;=FC149),IF((E$11-FB149)&lt;'Rent Roll'!$K$39,0,'Rent Roll'!$B$39*'Rent Roll'!$D$39*(1+'Rent Roll'!$F$39)^INT((E$11-FB149)/12)/12),0)</f>
        <v/>
      </c>
      <c r="F170" s="232">
        <f>IF(AND(F$11&gt;=FB149,F$11&lt;=FC149),IF((F$11-FB149)&lt;'Rent Roll'!$K$39,0,'Rent Roll'!$B$39*'Rent Roll'!$D$39*(1+'Rent Roll'!$F$39)^INT((F$11-FB149)/12)/12),0)</f>
        <v/>
      </c>
      <c r="G170" s="232">
        <f>IF(AND(G$11&gt;=FB149,G$11&lt;=FC149),IF((G$11-FB149)&lt;'Rent Roll'!$K$39,0,'Rent Roll'!$B$39*'Rent Roll'!$D$39*(1+'Rent Roll'!$F$39)^INT((G$11-FB149)/12)/12),0)</f>
        <v/>
      </c>
      <c r="H170" s="232">
        <f>IF(AND(H$11&gt;=FB149,H$11&lt;=FC149),IF((H$11-FB149)&lt;'Rent Roll'!$K$39,0,'Rent Roll'!$B$39*'Rent Roll'!$D$39*(1+'Rent Roll'!$F$39)^INT((H$11-FB149)/12)/12),0)</f>
        <v/>
      </c>
      <c r="I170" s="232">
        <f>IF(AND(I$11&gt;=FB149,I$11&lt;=FC149),IF((I$11-FB149)&lt;'Rent Roll'!$K$39,0,'Rent Roll'!$B$39*'Rent Roll'!$D$39*(1+'Rent Roll'!$F$39)^INT((I$11-FB149)/12)/12),0)</f>
        <v/>
      </c>
      <c r="J170" s="232">
        <f>IF(AND(J$11&gt;=FB149,J$11&lt;=FC149),IF((J$11-FB149)&lt;'Rent Roll'!$K$39,0,'Rent Roll'!$B$39*'Rent Roll'!$D$39*(1+'Rent Roll'!$F$39)^INT((J$11-FB149)/12)/12),0)</f>
        <v/>
      </c>
      <c r="K170" s="232">
        <f>IF(AND(K$11&gt;=FB149,K$11&lt;=FC149),IF((K$11-FB149)&lt;'Rent Roll'!$K$39,0,'Rent Roll'!$B$39*'Rent Roll'!$D$39*(1+'Rent Roll'!$F$39)^INT((K$11-FB149)/12)/12),0)</f>
        <v/>
      </c>
      <c r="L170" s="232">
        <f>IF(AND(L$11&gt;=FB149,L$11&lt;=FC149),IF((L$11-FB149)&lt;'Rent Roll'!$K$39,0,'Rent Roll'!$B$39*'Rent Roll'!$D$39*(1+'Rent Roll'!$F$39)^INT((L$11-FB149)/12)/12),0)</f>
        <v/>
      </c>
      <c r="M170" s="232">
        <f>IF(AND(M$11&gt;=FB149,M$11&lt;=FC149),IF((M$11-FB149)&lt;'Rent Roll'!$K$39,0,'Rent Roll'!$B$39*'Rent Roll'!$D$39*(1+'Rent Roll'!$F$39)^INT((M$11-FB149)/12)/12),0)</f>
        <v/>
      </c>
      <c r="N170" s="232">
        <f>IF(AND(N$11&gt;=FB149,N$11&lt;=FC149),IF((N$11-FB149)&lt;'Rent Roll'!$K$39,0,'Rent Roll'!$B$39*'Rent Roll'!$D$39*(1+'Rent Roll'!$F$39)^INT((N$11-FB149)/12)/12),0)</f>
        <v/>
      </c>
      <c r="O170" s="232">
        <f>IF(AND(O$11&gt;=FB149,O$11&lt;=FC149),IF((O$11-FB149)&lt;'Rent Roll'!$K$39,0,'Rent Roll'!$B$39*'Rent Roll'!$D$39*(1+'Rent Roll'!$F$39)^INT((O$11-FB149)/12)/12),0)</f>
        <v/>
      </c>
      <c r="P170" s="232">
        <f>IF(AND(P$11&gt;=FB149,P$11&lt;=FC149),IF((P$11-FB149)&lt;'Rent Roll'!$K$39,0,'Rent Roll'!$B$39*'Rent Roll'!$D$39*(1+'Rent Roll'!$F$39)^INT((P$11-FB149)/12)/12),0)</f>
        <v/>
      </c>
      <c r="Q170" s="232">
        <f>IF(AND(Q$11&gt;=FB149,Q$11&lt;=FC149),IF((Q$11-FB149)&lt;'Rent Roll'!$K$39,0,'Rent Roll'!$B$39*'Rent Roll'!$D$39*(1+'Rent Roll'!$F$39)^INT((Q$11-FB149)/12)/12),0)</f>
        <v/>
      </c>
      <c r="R170" s="232">
        <f>IF(AND(R$11&gt;=FB149,R$11&lt;=FC149),IF((R$11-FB149)&lt;'Rent Roll'!$K$39,0,'Rent Roll'!$B$39*'Rent Roll'!$D$39*(1+'Rent Roll'!$F$39)^INT((R$11-FB149)/12)/12),0)</f>
        <v/>
      </c>
      <c r="S170" s="232">
        <f>IF(AND(S$11&gt;=FB149,S$11&lt;=FC149),IF((S$11-FB149)&lt;'Rent Roll'!$K$39,0,'Rent Roll'!$B$39*'Rent Roll'!$D$39*(1+'Rent Roll'!$F$39)^INT((S$11-FB149)/12)/12),0)</f>
        <v/>
      </c>
      <c r="T170" s="232">
        <f>IF(AND(T$11&gt;=FB149,T$11&lt;=FC149),IF((T$11-FB149)&lt;'Rent Roll'!$K$39,0,'Rent Roll'!$B$39*'Rent Roll'!$D$39*(1+'Rent Roll'!$F$39)^INT((T$11-FB149)/12)/12),0)</f>
        <v/>
      </c>
      <c r="U170" s="232">
        <f>IF(AND(U$11&gt;=FB149,U$11&lt;=FC149),IF((U$11-FB149)&lt;'Rent Roll'!$K$39,0,'Rent Roll'!$B$39*'Rent Roll'!$D$39*(1+'Rent Roll'!$F$39)^INT((U$11-FB149)/12)/12),0)</f>
        <v/>
      </c>
      <c r="V170" s="232">
        <f>IF(AND(V$11&gt;=FB149,V$11&lt;=FC149),IF((V$11-FB149)&lt;'Rent Roll'!$K$39,0,'Rent Roll'!$B$39*'Rent Roll'!$D$39*(1+'Rent Roll'!$F$39)^INT((V$11-FB149)/12)/12),0)</f>
        <v/>
      </c>
      <c r="W170" s="232">
        <f>IF(AND(W$11&gt;=FB149,W$11&lt;=FC149),IF((W$11-FB149)&lt;'Rent Roll'!$K$39,0,'Rent Roll'!$B$39*'Rent Roll'!$D$39*(1+'Rent Roll'!$F$39)^INT((W$11-FB149)/12)/12),0)</f>
        <v/>
      </c>
      <c r="X170" s="232">
        <f>IF(AND(X$11&gt;=FB149,X$11&lt;=FC149),IF((X$11-FB149)&lt;'Rent Roll'!$K$39,0,'Rent Roll'!$B$39*'Rent Roll'!$D$39*(1+'Rent Roll'!$F$39)^INT((X$11-FB149)/12)/12),0)</f>
        <v/>
      </c>
      <c r="Y170" s="232">
        <f>IF(AND(Y$11&gt;=FB149,Y$11&lt;=FC149),IF((Y$11-FB149)&lt;'Rent Roll'!$K$39,0,'Rent Roll'!$B$39*'Rent Roll'!$D$39*(1+'Rent Roll'!$F$39)^INT((Y$11-FB149)/12)/12),0)</f>
        <v/>
      </c>
      <c r="Z170" s="232">
        <f>IF(AND(Z$11&gt;=FB149,Z$11&lt;=FC149),IF((Z$11-FB149)&lt;'Rent Roll'!$K$39,0,'Rent Roll'!$B$39*'Rent Roll'!$D$39*(1+'Rent Roll'!$F$39)^INT((Z$11-FB149)/12)/12),0)</f>
        <v/>
      </c>
      <c r="AA170" s="232">
        <f>IF(AND(AA$11&gt;=FB149,AA$11&lt;=FC149),IF((AA$11-FB149)&lt;'Rent Roll'!$K$39,0,'Rent Roll'!$B$39*'Rent Roll'!$D$39*(1+'Rent Roll'!$F$39)^INT((AA$11-FB149)/12)/12),0)</f>
        <v/>
      </c>
      <c r="AB170" s="232">
        <f>IF(AND(AB$11&gt;=FB149,AB$11&lt;=FC149),IF((AB$11-FB149)&lt;'Rent Roll'!$K$39,0,'Rent Roll'!$B$39*'Rent Roll'!$D$39*(1+'Rent Roll'!$F$39)^INT((AB$11-FB149)/12)/12),0)</f>
        <v/>
      </c>
      <c r="AC170" s="232">
        <f>IF(AND(AC$11&gt;=FB149,AC$11&lt;=FC149),IF((AC$11-FB149)&lt;'Rent Roll'!$K$39,0,'Rent Roll'!$B$39*'Rent Roll'!$D$39*(1+'Rent Roll'!$F$39)^INT((AC$11-FB149)/12)/12),0)</f>
        <v/>
      </c>
      <c r="AD170" s="232">
        <f>IF(AND(AD$11&gt;=FB149,AD$11&lt;=FC149),IF((AD$11-FB149)&lt;'Rent Roll'!$K$39,0,'Rent Roll'!$B$39*'Rent Roll'!$D$39*(1+'Rent Roll'!$F$39)^INT((AD$11-FB149)/12)/12),0)</f>
        <v/>
      </c>
      <c r="AE170" s="232">
        <f>IF(AND(AE$11&gt;=FB149,AE$11&lt;=FC149),IF((AE$11-FB149)&lt;'Rent Roll'!$K$39,0,'Rent Roll'!$B$39*'Rent Roll'!$D$39*(1+'Rent Roll'!$F$39)^INT((AE$11-FB149)/12)/12),0)</f>
        <v/>
      </c>
      <c r="AF170" s="232">
        <f>IF(AND(AF$11&gt;=FB149,AF$11&lt;=FC149),IF((AF$11-FB149)&lt;'Rent Roll'!$K$39,0,'Rent Roll'!$B$39*'Rent Roll'!$D$39*(1+'Rent Roll'!$F$39)^INT((AF$11-FB149)/12)/12),0)</f>
        <v/>
      </c>
      <c r="AG170" s="232">
        <f>IF(AND(AG$11&gt;=FB149,AG$11&lt;=FC149),IF((AG$11-FB149)&lt;'Rent Roll'!$K$39,0,'Rent Roll'!$B$39*'Rent Roll'!$D$39*(1+'Rent Roll'!$F$39)^INT((AG$11-FB149)/12)/12),0)</f>
        <v/>
      </c>
      <c r="AH170" s="232">
        <f>IF(AND(AH$11&gt;=FB149,AH$11&lt;=FC149),IF((AH$11-FB149)&lt;'Rent Roll'!$K$39,0,'Rent Roll'!$B$39*'Rent Roll'!$D$39*(1+'Rent Roll'!$F$39)^INT((AH$11-FB149)/12)/12),0)</f>
        <v/>
      </c>
      <c r="AI170" s="232">
        <f>IF(AND(AI$11&gt;=FB149,AI$11&lt;=FC149),IF((AI$11-FB149)&lt;'Rent Roll'!$K$39,0,'Rent Roll'!$B$39*'Rent Roll'!$D$39*(1+'Rent Roll'!$F$39)^INT((AI$11-FB149)/12)/12),0)</f>
        <v/>
      </c>
      <c r="AJ170" s="232">
        <f>IF(AND(AJ$11&gt;=FB149,AJ$11&lt;=FC149),IF((AJ$11-FB149)&lt;'Rent Roll'!$K$39,0,'Rent Roll'!$B$39*'Rent Roll'!$D$39*(1+'Rent Roll'!$F$39)^INT((AJ$11-FB149)/12)/12),0)</f>
        <v/>
      </c>
      <c r="AK170" s="232">
        <f>IF(AND(AK$11&gt;=FB149,AK$11&lt;=FC149),IF((AK$11-FB149)&lt;'Rent Roll'!$K$39,0,'Rent Roll'!$B$39*'Rent Roll'!$D$39*(1+'Rent Roll'!$F$39)^INT((AK$11-FB149)/12)/12),0)</f>
        <v/>
      </c>
      <c r="AL170" s="232">
        <f>IF(AND(AL$11&gt;=FB149,AL$11&lt;=FC149),IF((AL$11-FB149)&lt;'Rent Roll'!$K$39,0,'Rent Roll'!$B$39*'Rent Roll'!$D$39*(1+'Rent Roll'!$F$39)^INT((AL$11-FB149)/12)/12),0)</f>
        <v/>
      </c>
      <c r="AM170" s="232">
        <f>IF(AND(AM$11&gt;=FB149,AM$11&lt;=FC149),IF((AM$11-FB149)&lt;'Rent Roll'!$K$39,0,'Rent Roll'!$B$39*'Rent Roll'!$D$39*(1+'Rent Roll'!$F$39)^INT((AM$11-FB149)/12)/12),0)</f>
        <v/>
      </c>
      <c r="AN170" s="232">
        <f>IF(AND(AN$11&gt;=FB149,AN$11&lt;=FC149),IF((AN$11-FB149)&lt;'Rent Roll'!$K$39,0,'Rent Roll'!$B$39*'Rent Roll'!$D$39*(1+'Rent Roll'!$F$39)^INT((AN$11-FB149)/12)/12),0)</f>
        <v/>
      </c>
      <c r="AO170" s="232">
        <f>IF(AND(AO$11&gt;=FB149,AO$11&lt;=FC149),IF((AO$11-FB149)&lt;'Rent Roll'!$K$39,0,'Rent Roll'!$B$39*'Rent Roll'!$D$39*(1+'Rent Roll'!$F$39)^INT((AO$11-FB149)/12)/12),0)</f>
        <v/>
      </c>
      <c r="AP170" s="232">
        <f>IF(AND(AP$11&gt;=FB149,AP$11&lt;=FC149),IF((AP$11-FB149)&lt;'Rent Roll'!$K$39,0,'Rent Roll'!$B$39*'Rent Roll'!$D$39*(1+'Rent Roll'!$F$39)^INT((AP$11-FB149)/12)/12),0)</f>
        <v/>
      </c>
      <c r="AQ170" s="232">
        <f>IF(AND(AQ$11&gt;=FB149,AQ$11&lt;=FC149),IF((AQ$11-FB149)&lt;'Rent Roll'!$K$39,0,'Rent Roll'!$B$39*'Rent Roll'!$D$39*(1+'Rent Roll'!$F$39)^INT((AQ$11-FB149)/12)/12),0)</f>
        <v/>
      </c>
      <c r="AR170" s="232">
        <f>IF(AND(AR$11&gt;=FB149,AR$11&lt;=FC149),IF((AR$11-FB149)&lt;'Rent Roll'!$K$39,0,'Rent Roll'!$B$39*'Rent Roll'!$D$39*(1+'Rent Roll'!$F$39)^INT((AR$11-FB149)/12)/12),0)</f>
        <v/>
      </c>
      <c r="AS170" s="232">
        <f>IF(AND(AS$11&gt;=FB149,AS$11&lt;=FC149),IF((AS$11-FB149)&lt;'Rent Roll'!$K$39,0,'Rent Roll'!$B$39*'Rent Roll'!$D$39*(1+'Rent Roll'!$F$39)^INT((AS$11-FB149)/12)/12),0)</f>
        <v/>
      </c>
      <c r="AT170" s="232">
        <f>IF(AND(AT$11&gt;=FB149,AT$11&lt;=FC149),IF((AT$11-FB149)&lt;'Rent Roll'!$K$39,0,'Rent Roll'!$B$39*'Rent Roll'!$D$39*(1+'Rent Roll'!$F$39)^INT((AT$11-FB149)/12)/12),0)</f>
        <v/>
      </c>
      <c r="AU170" s="232">
        <f>IF(AND(AU$11&gt;=FB149,AU$11&lt;=FC149),IF((AU$11-FB149)&lt;'Rent Roll'!$K$39,0,'Rent Roll'!$B$39*'Rent Roll'!$D$39*(1+'Rent Roll'!$F$39)^INT((AU$11-FB149)/12)/12),0)</f>
        <v/>
      </c>
      <c r="AV170" s="232">
        <f>IF(AND(AV$11&gt;=FB149,AV$11&lt;=FC149),IF((AV$11-FB149)&lt;'Rent Roll'!$K$39,0,'Rent Roll'!$B$39*'Rent Roll'!$D$39*(1+'Rent Roll'!$F$39)^INT((AV$11-FB149)/12)/12),0)</f>
        <v/>
      </c>
      <c r="AW170" s="232">
        <f>IF(AND(AW$11&gt;=FB149,AW$11&lt;=FC149),IF((AW$11-FB149)&lt;'Rent Roll'!$K$39,0,'Rent Roll'!$B$39*'Rent Roll'!$D$39*(1+'Rent Roll'!$F$39)^INT((AW$11-FB149)/12)/12),0)</f>
        <v/>
      </c>
      <c r="AX170" s="232">
        <f>IF(AND(AX$11&gt;=FB149,AX$11&lt;=FC149),IF((AX$11-FB149)&lt;'Rent Roll'!$K$39,0,'Rent Roll'!$B$39*'Rent Roll'!$D$39*(1+'Rent Roll'!$F$39)^INT((AX$11-FB149)/12)/12),0)</f>
        <v/>
      </c>
      <c r="AY170" s="232">
        <f>IF(AND(AY$11&gt;=FB149,AY$11&lt;=FC149),IF((AY$11-FB149)&lt;'Rent Roll'!$K$39,0,'Rent Roll'!$B$39*'Rent Roll'!$D$39*(1+'Rent Roll'!$F$39)^INT((AY$11-FB149)/12)/12),0)</f>
        <v/>
      </c>
      <c r="AZ170" s="232">
        <f>IF(AND(AZ$11&gt;=FB149,AZ$11&lt;=FC149),IF((AZ$11-FB149)&lt;'Rent Roll'!$K$39,0,'Rent Roll'!$B$39*'Rent Roll'!$D$39*(1+'Rent Roll'!$F$39)^INT((AZ$11-FB149)/12)/12),0)</f>
        <v/>
      </c>
      <c r="BA170" s="232">
        <f>IF(AND(BA$11&gt;=FB149,BA$11&lt;=FC149),IF((BA$11-FB149)&lt;'Rent Roll'!$K$39,0,'Rent Roll'!$B$39*'Rent Roll'!$D$39*(1+'Rent Roll'!$F$39)^INT((BA$11-FB149)/12)/12),0)</f>
        <v/>
      </c>
      <c r="BB170" s="232">
        <f>IF(AND(BB$11&gt;=FB149,BB$11&lt;=FC149),IF((BB$11-FB149)&lt;'Rent Roll'!$K$39,0,'Rent Roll'!$B$39*'Rent Roll'!$D$39*(1+'Rent Roll'!$F$39)^INT((BB$11-FB149)/12)/12),0)</f>
        <v/>
      </c>
      <c r="BC170" s="232">
        <f>IF(AND(BC$11&gt;=FB149,BC$11&lt;=FC149),IF((BC$11-FB149)&lt;'Rent Roll'!$K$39,0,'Rent Roll'!$B$39*'Rent Roll'!$D$39*(1+'Rent Roll'!$F$39)^INT((BC$11-FB149)/12)/12),0)</f>
        <v/>
      </c>
      <c r="BD170" s="232">
        <f>IF(AND(BD$11&gt;=FB149,BD$11&lt;=FC149),IF((BD$11-FB149)&lt;'Rent Roll'!$K$39,0,'Rent Roll'!$B$39*'Rent Roll'!$D$39*(1+'Rent Roll'!$F$39)^INT((BD$11-FB149)/12)/12),0)</f>
        <v/>
      </c>
      <c r="BE170" s="232">
        <f>IF(AND(BE$11&gt;=FB149,BE$11&lt;=FC149),IF((BE$11-FB149)&lt;'Rent Roll'!$K$39,0,'Rent Roll'!$B$39*'Rent Roll'!$D$39*(1+'Rent Roll'!$F$39)^INT((BE$11-FB149)/12)/12),0)</f>
        <v/>
      </c>
      <c r="BF170" s="232">
        <f>IF(AND(BF$11&gt;=FB149,BF$11&lt;=FC149),IF((BF$11-FB149)&lt;'Rent Roll'!$K$39,0,'Rent Roll'!$B$39*'Rent Roll'!$D$39*(1+'Rent Roll'!$F$39)^INT((BF$11-FB149)/12)/12),0)</f>
        <v/>
      </c>
      <c r="BG170" s="232">
        <f>IF(AND(BG$11&gt;=FB149,BG$11&lt;=FC149),IF((BG$11-FB149)&lt;'Rent Roll'!$K$39,0,'Rent Roll'!$B$39*'Rent Roll'!$D$39*(1+'Rent Roll'!$F$39)^INT((BG$11-FB149)/12)/12),0)</f>
        <v/>
      </c>
      <c r="BH170" s="232">
        <f>IF(AND(BH$11&gt;=FB149,BH$11&lt;=FC149),IF((BH$11-FB149)&lt;'Rent Roll'!$K$39,0,'Rent Roll'!$B$39*'Rent Roll'!$D$39*(1+'Rent Roll'!$F$39)^INT((BH$11-FB149)/12)/12),0)</f>
        <v/>
      </c>
      <c r="BI170" s="232">
        <f>IF(AND(BI$11&gt;=FB149,BI$11&lt;=FC149),IF((BI$11-FB149)&lt;'Rent Roll'!$K$39,0,'Rent Roll'!$B$39*'Rent Roll'!$D$39*(1+'Rent Roll'!$F$39)^INT((BI$11-FB149)/12)/12),0)</f>
        <v/>
      </c>
      <c r="BJ170" s="232">
        <f>IF(AND(BJ$11&gt;=FB149,BJ$11&lt;=FC149),IF((BJ$11-FB149)&lt;'Rent Roll'!$K$39,0,'Rent Roll'!$B$39*'Rent Roll'!$D$39*(1+'Rent Roll'!$F$39)^INT((BJ$11-FB149)/12)/12),0)</f>
        <v/>
      </c>
      <c r="BK170" s="232">
        <f>IF(AND(BK$11&gt;=FB149,BK$11&lt;=FC149),IF((BK$11-FB149)&lt;'Rent Roll'!$K$39,0,'Rent Roll'!$B$39*'Rent Roll'!$D$39*(1+'Rent Roll'!$F$39)^INT((BK$11-FB149)/12)/12),0)</f>
        <v/>
      </c>
      <c r="BL170" s="232">
        <f>IF(AND(BL$11&gt;=FB149,BL$11&lt;=FC149),IF((BL$11-FB149)&lt;'Rent Roll'!$K$39,0,'Rent Roll'!$B$39*'Rent Roll'!$D$39*(1+'Rent Roll'!$F$39)^INT((BL$11-FB149)/12)/12),0)</f>
        <v/>
      </c>
      <c r="BM170" s="232">
        <f>IF(AND(BM$11&gt;=FC149,BM$11&lt;=FD149),IF((BM$11-FC149)&lt;'Rent Roll'!$K$39,0,'Rent Roll'!$B$39*'Rent Roll'!$D$39*(1+'Rent Roll'!$F$39)^INT((BM$11-FC149)/12)/12),0)</f>
        <v/>
      </c>
      <c r="BN170" s="232">
        <f>IF(AND(BN$11&gt;=FD149,BN$11&lt;=FE149),IF((BN$11-FD149)&lt;'Rent Roll'!$K$39,0,'Rent Roll'!$B$39*'Rent Roll'!$D$39*(1+'Rent Roll'!$F$39)^INT((BN$11-FD149)/12)/12),0)</f>
        <v/>
      </c>
      <c r="BO170" s="232">
        <f>IF(AND(BO$11&gt;=FE149,BO$11&lt;=FF149),IF((BO$11-FE149)&lt;'Rent Roll'!$K$39,0,'Rent Roll'!$B$39*'Rent Roll'!$D$39*(1+'Rent Roll'!$F$39)^INT((BO$11-FE149)/12)/12),0)</f>
        <v/>
      </c>
      <c r="BP170" s="232">
        <f>IF(AND(BP$11&gt;=FF149,BP$11&lt;=FG149),IF((BP$11-FF149)&lt;'Rent Roll'!$K$39,0,'Rent Roll'!$B$39*'Rent Roll'!$D$39*(1+'Rent Roll'!$F$39)^INT((BP$11-FF149)/12)/12),0)</f>
        <v/>
      </c>
      <c r="BQ170" s="232">
        <f>IF(AND(BQ$11&gt;=FG149,BQ$11&lt;=FH149),IF((BQ$11-FG149)&lt;'Rent Roll'!$K$39,0,'Rent Roll'!$B$39*'Rent Roll'!$D$39*(1+'Rent Roll'!$F$39)^INT((BQ$11-FG149)/12)/12),0)</f>
        <v/>
      </c>
      <c r="BR170" s="232">
        <f>IF(AND(BR$11&gt;=FH149,BR$11&lt;=FI149),IF((BR$11-FH149)&lt;'Rent Roll'!$K$39,0,'Rent Roll'!$B$39*'Rent Roll'!$D$39*(1+'Rent Roll'!$F$39)^INT((BR$11-FH149)/12)/12),0)</f>
        <v/>
      </c>
      <c r="BS170" s="232">
        <f>IF(AND(BS$11&gt;=FI149,BS$11&lt;=FJ149),IF((BS$11-FI149)&lt;'Rent Roll'!$K$39,0,'Rent Roll'!$B$39*'Rent Roll'!$D$39*(1+'Rent Roll'!$F$39)^INT((BS$11-FI149)/12)/12),0)</f>
        <v/>
      </c>
      <c r="BT170" s="232">
        <f>IF(AND(BT$11&gt;=FJ149,BT$11&lt;=FK149),IF((BT$11-FJ149)&lt;'Rent Roll'!$K$39,0,'Rent Roll'!$B$39*'Rent Roll'!$D$39*(1+'Rent Roll'!$F$39)^INT((BT$11-FJ149)/12)/12),0)</f>
        <v/>
      </c>
      <c r="BU170" s="232">
        <f>IF(AND(BU$11&gt;=FK149,BU$11&lt;=FL149),IF((BU$11-FK149)&lt;'Rent Roll'!$K$39,0,'Rent Roll'!$B$39*'Rent Roll'!$D$39*(1+'Rent Roll'!$F$39)^INT((BU$11-FK149)/12)/12),0)</f>
        <v/>
      </c>
      <c r="BV170" s="232">
        <f>IF(AND(BV$11&gt;=FL149,BV$11&lt;=FM149),IF((BV$11-FL149)&lt;'Rent Roll'!$K$39,0,'Rent Roll'!$B$39*'Rent Roll'!$D$39*(1+'Rent Roll'!$F$39)^INT((BV$11-FL149)/12)/12),0)</f>
        <v/>
      </c>
      <c r="BW170" s="232">
        <f>IF(AND(BW$11&gt;=FM149,BW$11&lt;=FN149),IF((BW$11-FM149)&lt;'Rent Roll'!$K$39,0,'Rent Roll'!$B$39*'Rent Roll'!$D$39*(1+'Rent Roll'!$F$39)^INT((BW$11-FM149)/12)/12),0)</f>
        <v/>
      </c>
      <c r="BX170" s="232">
        <f>IF(AND(BX$11&gt;=FN149,BX$11&lt;=FO149),IF((BX$11-FN149)&lt;'Rent Roll'!$K$39,0,'Rent Roll'!$B$39*'Rent Roll'!$D$39*(1+'Rent Roll'!$F$39)^INT((BX$11-FN149)/12)/12),0)</f>
        <v/>
      </c>
      <c r="BY170" s="232">
        <f>IF(AND(BY$11&gt;=FO149,BY$11&lt;=FP149),IF((BY$11-FO149)&lt;'Rent Roll'!$K$39,0,'Rent Roll'!$B$39*'Rent Roll'!$D$39*(1+'Rent Roll'!$F$39)^INT((BY$11-FO149)/12)/12),0)</f>
        <v/>
      </c>
      <c r="BZ170" s="232">
        <f>IF(AND(BZ$11&gt;=FP149,BZ$11&lt;=FQ149),IF((BZ$11-FP149)&lt;'Rent Roll'!$K$39,0,'Rent Roll'!$B$39*'Rent Roll'!$D$39*(1+'Rent Roll'!$F$39)^INT((BZ$11-FP149)/12)/12),0)</f>
        <v/>
      </c>
      <c r="CA170" s="232">
        <f>IF(AND(CA$11&gt;=FQ149,CA$11&lt;=FR149),IF((CA$11-FQ149)&lt;'Rent Roll'!$K$39,0,'Rent Roll'!$B$39*'Rent Roll'!$D$39*(1+'Rent Roll'!$F$39)^INT((CA$11-FQ149)/12)/12),0)</f>
        <v/>
      </c>
      <c r="CB170" s="232">
        <f>IF(AND(CB$11&gt;=FR149,CB$11&lt;=FS149),IF((CB$11-FR149)&lt;'Rent Roll'!$K$39,0,'Rent Roll'!$B$39*'Rent Roll'!$D$39*(1+'Rent Roll'!$F$39)^INT((CB$11-FR149)/12)/12),0)</f>
        <v/>
      </c>
      <c r="CC170" s="232">
        <f>IF(AND(CC$11&gt;=FS149,CC$11&lt;=FT149),IF((CC$11-FS149)&lt;'Rent Roll'!$K$39,0,'Rent Roll'!$B$39*'Rent Roll'!$D$39*(1+'Rent Roll'!$F$39)^INT((CC$11-FS149)/12)/12),0)</f>
        <v/>
      </c>
      <c r="CD170" s="232">
        <f>IF(AND(CD$11&gt;=FT149,CD$11&lt;=FU149),IF((CD$11-FT149)&lt;'Rent Roll'!$K$39,0,'Rent Roll'!$B$39*'Rent Roll'!$D$39*(1+'Rent Roll'!$F$39)^INT((CD$11-FT149)/12)/12),0)</f>
        <v/>
      </c>
      <c r="CE170" s="232">
        <f>IF(AND(CE$11&gt;=FU149,CE$11&lt;=FV149),IF((CE$11-FU149)&lt;'Rent Roll'!$K$39,0,'Rent Roll'!$B$39*'Rent Roll'!$D$39*(1+'Rent Roll'!$F$39)^INT((CE$11-FU149)/12)/12),0)</f>
        <v/>
      </c>
      <c r="CF170" s="232">
        <f>IF(AND(CF$11&gt;=FV149,CF$11&lt;=FW149),IF((CF$11-FV149)&lt;'Rent Roll'!$K$39,0,'Rent Roll'!$B$39*'Rent Roll'!$D$39*(1+'Rent Roll'!$F$39)^INT((CF$11-FV149)/12)/12),0)</f>
        <v/>
      </c>
      <c r="CG170" s="232">
        <f>IF(AND(CG$11&gt;=FW149,CG$11&lt;=FX149),IF((CG$11-FW149)&lt;'Rent Roll'!$K$39,0,'Rent Roll'!$B$39*'Rent Roll'!$D$39*(1+'Rent Roll'!$F$39)^INT((CG$11-FW149)/12)/12),0)</f>
        <v/>
      </c>
      <c r="CH170" s="232">
        <f>IF(AND(CH$11&gt;=FX149,CH$11&lt;=FY149),IF((CH$11-FX149)&lt;'Rent Roll'!$K$39,0,'Rent Roll'!$B$39*'Rent Roll'!$D$39*(1+'Rent Roll'!$F$39)^INT((CH$11-FX149)/12)/12),0)</f>
        <v/>
      </c>
      <c r="CI170" s="232">
        <f>IF(AND(CI$11&gt;=FY149,CI$11&lt;=FZ149),IF((CI$11-FY149)&lt;'Rent Roll'!$K$39,0,'Rent Roll'!$B$39*'Rent Roll'!$D$39*(1+'Rent Roll'!$F$39)^INT((CI$11-FY149)/12)/12),0)</f>
        <v/>
      </c>
      <c r="CJ170" s="232">
        <f>IF(AND(CJ$11&gt;=FZ149,CJ$11&lt;=GA149),IF((CJ$11-FZ149)&lt;'Rent Roll'!$K$39,0,'Rent Roll'!$B$39*'Rent Roll'!$D$39*(1+'Rent Roll'!$F$39)^INT((CJ$11-FZ149)/12)/12),0)</f>
        <v/>
      </c>
      <c r="CK170" s="232">
        <f>IF(AND(CK$11&gt;=GA149,CK$11&lt;=GB149),IF((CK$11-GA149)&lt;'Rent Roll'!$K$39,0,'Rent Roll'!$B$39*'Rent Roll'!$D$39*(1+'Rent Roll'!$F$39)^INT((CK$11-GA149)/12)/12),0)</f>
        <v/>
      </c>
      <c r="CL170" s="232">
        <f>IF(AND(CL$11&gt;=GB149,CL$11&lt;=GC149),IF((CL$11-GB149)&lt;'Rent Roll'!$K$39,0,'Rent Roll'!$B$39*'Rent Roll'!$D$39*(1+'Rent Roll'!$F$39)^INT((CL$11-GB149)/12)/12),0)</f>
        <v/>
      </c>
      <c r="CM170" s="232">
        <f>IF(AND(CM$11&gt;=GC149,CM$11&lt;=GD149),IF((CM$11-GC149)&lt;'Rent Roll'!$K$39,0,'Rent Roll'!$B$39*'Rent Roll'!$D$39*(1+'Rent Roll'!$F$39)^INT((CM$11-GC149)/12)/12),0)</f>
        <v/>
      </c>
      <c r="CN170" s="232">
        <f>IF(AND(CN$11&gt;=GD149,CN$11&lt;=GE149),IF((CN$11-GD149)&lt;'Rent Roll'!$K$39,0,'Rent Roll'!$B$39*'Rent Roll'!$D$39*(1+'Rent Roll'!$F$39)^INT((CN$11-GD149)/12)/12),0)</f>
        <v/>
      </c>
      <c r="CO170" s="232">
        <f>IF(AND(CO$11&gt;=GE149,CO$11&lt;=GF149),IF((CO$11-GE149)&lt;'Rent Roll'!$K$39,0,'Rent Roll'!$B$39*'Rent Roll'!$D$39*(1+'Rent Roll'!$F$39)^INT((CO$11-GE149)/12)/12),0)</f>
        <v/>
      </c>
      <c r="CP170" s="232">
        <f>IF(AND(CP$11&gt;=GF149,CP$11&lt;=GG149),IF((CP$11-GF149)&lt;'Rent Roll'!$K$39,0,'Rent Roll'!$B$39*'Rent Roll'!$D$39*(1+'Rent Roll'!$F$39)^INT((CP$11-GF149)/12)/12),0)</f>
        <v/>
      </c>
      <c r="CQ170" s="232">
        <f>IF(AND(CQ$11&gt;=GG149,CQ$11&lt;=GH149),IF((CQ$11-GG149)&lt;'Rent Roll'!$K$39,0,'Rent Roll'!$B$39*'Rent Roll'!$D$39*(1+'Rent Roll'!$F$39)^INT((CQ$11-GG149)/12)/12),0)</f>
        <v/>
      </c>
      <c r="CR170" s="232">
        <f>IF(AND(CR$11&gt;=GH149,CR$11&lt;=GI149),IF((CR$11-GH149)&lt;'Rent Roll'!$K$39,0,'Rent Roll'!$B$39*'Rent Roll'!$D$39*(1+'Rent Roll'!$F$39)^INT((CR$11-GH149)/12)/12),0)</f>
        <v/>
      </c>
      <c r="CS170" s="232">
        <f>IF(AND(CS$11&gt;=GI149,CS$11&lt;=GJ149),IF((CS$11-GI149)&lt;'Rent Roll'!$K$39,0,'Rent Roll'!$B$39*'Rent Roll'!$D$39*(1+'Rent Roll'!$F$39)^INT((CS$11-GI149)/12)/12),0)</f>
        <v/>
      </c>
      <c r="CT170" s="232">
        <f>IF(AND(CT$11&gt;=GJ149,CT$11&lt;=GK149),IF((CT$11-GJ149)&lt;'Rent Roll'!$K$39,0,'Rent Roll'!$B$39*'Rent Roll'!$D$39*(1+'Rent Roll'!$F$39)^INT((CT$11-GJ149)/12)/12),0)</f>
        <v/>
      </c>
      <c r="CU170" s="232">
        <f>IF(AND(CU$11&gt;=GK149,CU$11&lt;=GL149),IF((CU$11-GK149)&lt;'Rent Roll'!$K$39,0,'Rent Roll'!$B$39*'Rent Roll'!$D$39*(1+'Rent Roll'!$F$39)^INT((CU$11-GK149)/12)/12),0)</f>
        <v/>
      </c>
      <c r="CV170" s="232">
        <f>IF(AND(CV$11&gt;=GL149,CV$11&lt;=GM149),IF((CV$11-GL149)&lt;'Rent Roll'!$K$39,0,'Rent Roll'!$B$39*'Rent Roll'!$D$39*(1+'Rent Roll'!$F$39)^INT((CV$11-GL149)/12)/12),0)</f>
        <v/>
      </c>
      <c r="CW170" s="232">
        <f>IF(AND(CW$11&gt;=GM149,CW$11&lt;=GN149),IF((CW$11-GM149)&lt;'Rent Roll'!$K$39,0,'Rent Roll'!$B$39*'Rent Roll'!$D$39*(1+'Rent Roll'!$F$39)^INT((CW$11-GM149)/12)/12),0)</f>
        <v/>
      </c>
      <c r="CX170" s="232">
        <f>IF(AND(CX$11&gt;=GN149,CX$11&lt;=GO149),IF((CX$11-GN149)&lt;'Rent Roll'!$K$39,0,'Rent Roll'!$B$39*'Rent Roll'!$D$39*(1+'Rent Roll'!$F$39)^INT((CX$11-GN149)/12)/12),0)</f>
        <v/>
      </c>
      <c r="CY170" s="232">
        <f>IF(AND(CY$11&gt;=GO149,CY$11&lt;=GP149),IF((CY$11-GO149)&lt;'Rent Roll'!$K$39,0,'Rent Roll'!$B$39*'Rent Roll'!$D$39*(1+'Rent Roll'!$F$39)^INT((CY$11-GO149)/12)/12),0)</f>
        <v/>
      </c>
      <c r="CZ170" s="232">
        <f>IF(AND(CZ$11&gt;=GP149,CZ$11&lt;=GQ149),IF((CZ$11-GP149)&lt;'Rent Roll'!$K$39,0,'Rent Roll'!$B$39*'Rent Roll'!$D$39*(1+'Rent Roll'!$F$39)^INT((CZ$11-GP149)/12)/12),0)</f>
        <v/>
      </c>
      <c r="DA170" s="232">
        <f>IF(AND(DA$11&gt;=GQ149,DA$11&lt;=GR149),IF((DA$11-GQ149)&lt;'Rent Roll'!$K$39,0,'Rent Roll'!$B$39*'Rent Roll'!$D$39*(1+'Rent Roll'!$F$39)^INT((DA$11-GQ149)/12)/12),0)</f>
        <v/>
      </c>
      <c r="DB170" s="232">
        <f>IF(AND(DB$11&gt;=GR149,DB$11&lt;=GS149),IF((DB$11-GR149)&lt;'Rent Roll'!$K$39,0,'Rent Roll'!$B$39*'Rent Roll'!$D$39*(1+'Rent Roll'!$F$39)^INT((DB$11-GR149)/12)/12),0)</f>
        <v/>
      </c>
      <c r="DC170" s="232">
        <f>IF(AND(DC$11&gt;=GS149,DC$11&lt;=GT149),IF((DC$11-GS149)&lt;'Rent Roll'!$K$39,0,'Rent Roll'!$B$39*'Rent Roll'!$D$39*(1+'Rent Roll'!$F$39)^INT((DC$11-GS149)/12)/12),0)</f>
        <v/>
      </c>
      <c r="DD170" s="232">
        <f>IF(AND(DD$11&gt;=GT149,DD$11&lt;=GU149),IF((DD$11-GT149)&lt;'Rent Roll'!$K$39,0,'Rent Roll'!$B$39*'Rent Roll'!$D$39*(1+'Rent Roll'!$F$39)^INT((DD$11-GT149)/12)/12),0)</f>
        <v/>
      </c>
      <c r="DE170" s="232">
        <f>IF(AND(DE$11&gt;=GU149,DE$11&lt;=GV149),IF((DE$11-GU149)&lt;'Rent Roll'!$K$39,0,'Rent Roll'!$B$39*'Rent Roll'!$D$39*(1+'Rent Roll'!$F$39)^INT((DE$11-GU149)/12)/12),0)</f>
        <v/>
      </c>
      <c r="DF170" s="232">
        <f>IF(AND(DF$11&gt;=GV149,DF$11&lt;=GW149),IF((DF$11-GV149)&lt;'Rent Roll'!$K$39,0,'Rent Roll'!$B$39*'Rent Roll'!$D$39*(1+'Rent Roll'!$F$39)^INT((DF$11-GV149)/12)/12),0)</f>
        <v/>
      </c>
      <c r="DG170" s="232">
        <f>IF(AND(DG$11&gt;=GW149,DG$11&lt;=GX149),IF((DG$11-GW149)&lt;'Rent Roll'!$K$39,0,'Rent Roll'!$B$39*'Rent Roll'!$D$39*(1+'Rent Roll'!$F$39)^INT((DG$11-GW149)/12)/12),0)</f>
        <v/>
      </c>
      <c r="DH170" s="232">
        <f>IF(AND(DH$11&gt;=GX149,DH$11&lt;=GY149),IF((DH$11-GX149)&lt;'Rent Roll'!$K$39,0,'Rent Roll'!$B$39*'Rent Roll'!$D$39*(1+'Rent Roll'!$F$39)^INT((DH$11-GX149)/12)/12),0)</f>
        <v/>
      </c>
      <c r="DI170" s="232">
        <f>IF(AND(DI$11&gt;=GY149,DI$11&lt;=GZ149),IF((DI$11-GY149)&lt;'Rent Roll'!$K$39,0,'Rent Roll'!$B$39*'Rent Roll'!$D$39*(1+'Rent Roll'!$F$39)^INT((DI$11-GY149)/12)/12),0)</f>
        <v/>
      </c>
      <c r="DJ170" s="232">
        <f>IF(AND(DJ$11&gt;=GZ149,DJ$11&lt;=HA149),IF((DJ$11-GZ149)&lt;'Rent Roll'!$K$39,0,'Rent Roll'!$B$39*'Rent Roll'!$D$39*(1+'Rent Roll'!$F$39)^INT((DJ$11-GZ149)/12)/12),0)</f>
        <v/>
      </c>
      <c r="DK170" s="232">
        <f>IF(AND(DK$11&gt;=HA149,DK$11&lt;=HB149),IF((DK$11-HA149)&lt;'Rent Roll'!$K$39,0,'Rent Roll'!$B$39*'Rent Roll'!$D$39*(1+'Rent Roll'!$F$39)^INT((DK$11-HA149)/12)/12),0)</f>
        <v/>
      </c>
      <c r="DL170" s="232">
        <f>IF(AND(DL$11&gt;=HB149,DL$11&lt;=HC149),IF((DL$11-HB149)&lt;'Rent Roll'!$K$39,0,'Rent Roll'!$B$39*'Rent Roll'!$D$39*(1+'Rent Roll'!$F$39)^INT((DL$11-HB149)/12)/12),0)</f>
        <v/>
      </c>
      <c r="DM170" s="232">
        <f>IF(AND(DM$11&gt;=HC149,DM$11&lt;=HD149),IF((DM$11-HC149)&lt;'Rent Roll'!$K$39,0,'Rent Roll'!$B$39*'Rent Roll'!$D$39*(1+'Rent Roll'!$F$39)^INT((DM$11-HC149)/12)/12),0)</f>
        <v/>
      </c>
      <c r="DN170" s="232">
        <f>IF(AND(DN$11&gt;=HD149,DN$11&lt;=HE149),IF((DN$11-HD149)&lt;'Rent Roll'!$K$39,0,'Rent Roll'!$B$39*'Rent Roll'!$D$39*(1+'Rent Roll'!$F$39)^INT((DN$11-HD149)/12)/12),0)</f>
        <v/>
      </c>
      <c r="DO170" s="232">
        <f>IF(AND(DO$11&gt;=HE149,DO$11&lt;=HF149),IF((DO$11-HE149)&lt;'Rent Roll'!$K$39,0,'Rent Roll'!$B$39*'Rent Roll'!$D$39*(1+'Rent Roll'!$F$39)^INT((DO$11-HE149)/12)/12),0)</f>
        <v/>
      </c>
      <c r="DP170" s="232">
        <f>IF(AND(DP$11&gt;=HF149,DP$11&lt;=HG149),IF((DP$11-HF149)&lt;'Rent Roll'!$K$39,0,'Rent Roll'!$B$39*'Rent Roll'!$D$39*(1+'Rent Roll'!$F$39)^INT((DP$11-HF149)/12)/12),0)</f>
        <v/>
      </c>
      <c r="DQ170" s="232">
        <f>IF(AND(DQ$11&gt;=HG149,DQ$11&lt;=HH149),IF((DQ$11-HG149)&lt;'Rent Roll'!$K$39,0,'Rent Roll'!$B$39*'Rent Roll'!$D$39*(1+'Rent Roll'!$F$39)^INT((DQ$11-HG149)/12)/12),0)</f>
        <v/>
      </c>
      <c r="DR170" s="232">
        <f>IF(AND(DR$11&gt;=HH149,DR$11&lt;=HI149),IF((DR$11-HH149)&lt;'Rent Roll'!$K$39,0,'Rent Roll'!$B$39*'Rent Roll'!$D$39*(1+'Rent Roll'!$F$39)^INT((DR$11-HH149)/12)/12),0)</f>
        <v/>
      </c>
      <c r="DS170" s="232">
        <f>IF(AND(DS$11&gt;=HI149,DS$11&lt;=HJ149),IF((DS$11-HI149)&lt;'Rent Roll'!$K$39,0,'Rent Roll'!$B$39*'Rent Roll'!$D$39*(1+'Rent Roll'!$F$39)^INT((DS$11-HI149)/12)/12),0)</f>
        <v/>
      </c>
      <c r="DT170" s="232">
        <f>IF(AND(DT$11&gt;=HJ149,DT$11&lt;=HK149),IF((DT$11-HJ149)&lt;'Rent Roll'!$K$39,0,'Rent Roll'!$B$39*'Rent Roll'!$D$39*(1+'Rent Roll'!$F$39)^INT((DT$11-HJ149)/12)/12),0)</f>
        <v/>
      </c>
      <c r="DV170">
        <f>DV149&amp;" Rent"</f>
        <v/>
      </c>
    </row>
    <row r="171" ht="15" customHeight="1" s="148">
      <c r="D171" s="127">
        <f>IF(AND(D$11&gt;=FB149,D$11&lt;=FC149),'Rent Roll'!$B$39,0)</f>
        <v/>
      </c>
      <c r="E171" s="127">
        <f>IF(AND(E$11&gt;=FB149,E$11&lt;=FC149),'Rent Roll'!$B$39,0)</f>
        <v/>
      </c>
      <c r="F171" s="127">
        <f>IF(AND(F$11&gt;=FB149,F$11&lt;=FC149),'Rent Roll'!$B$39,0)</f>
        <v/>
      </c>
      <c r="G171" s="127">
        <f>IF(AND(G$11&gt;=FB149,G$11&lt;=FC149),'Rent Roll'!$B$39,0)</f>
        <v/>
      </c>
      <c r="H171" s="127">
        <f>IF(AND(H$11&gt;=FB149,H$11&lt;=FC149),'Rent Roll'!$B$39,0)</f>
        <v/>
      </c>
      <c r="I171" s="127">
        <f>IF(AND(I$11&gt;=FB149,I$11&lt;=FC149),'Rent Roll'!$B$39,0)</f>
        <v/>
      </c>
      <c r="J171" s="127">
        <f>IF(AND(J$11&gt;=FB149,J$11&lt;=FC149),'Rent Roll'!$B$39,0)</f>
        <v/>
      </c>
      <c r="K171" s="127">
        <f>IF(AND(K$11&gt;=FB149,K$11&lt;=FC149),'Rent Roll'!$B$39,0)</f>
        <v/>
      </c>
      <c r="L171" s="127">
        <f>IF(AND(L$11&gt;=FB149,L$11&lt;=FC149),'Rent Roll'!$B$39,0)</f>
        <v/>
      </c>
      <c r="M171" s="127">
        <f>IF(AND(M$11&gt;=FB149,M$11&lt;=FC149),'Rent Roll'!$B$39,0)</f>
        <v/>
      </c>
      <c r="N171" s="127">
        <f>IF(AND(N$11&gt;=FB149,N$11&lt;=FC149),'Rent Roll'!$B$39,0)</f>
        <v/>
      </c>
      <c r="O171" s="127">
        <f>IF(AND(O$11&gt;=FB149,O$11&lt;=FC149),'Rent Roll'!$B$39,0)</f>
        <v/>
      </c>
      <c r="P171" s="127">
        <f>IF(AND(P$11&gt;=FB149,P$11&lt;=FC149),'Rent Roll'!$B$39,0)</f>
        <v/>
      </c>
      <c r="Q171" s="127">
        <f>IF(AND(Q$11&gt;=FB149,Q$11&lt;=FC149),'Rent Roll'!$B$39,0)</f>
        <v/>
      </c>
      <c r="R171" s="127">
        <f>IF(AND(R$11&gt;=FB149,R$11&lt;=FC149),'Rent Roll'!$B$39,0)</f>
        <v/>
      </c>
      <c r="S171" s="127">
        <f>IF(AND(S$11&gt;=FB149,S$11&lt;=FC149),'Rent Roll'!$B$39,0)</f>
        <v/>
      </c>
      <c r="T171" s="127">
        <f>IF(AND(T$11&gt;=FB149,T$11&lt;=FC149),'Rent Roll'!$B$39,0)</f>
        <v/>
      </c>
      <c r="U171" s="127">
        <f>IF(AND(U$11&gt;=FB149,U$11&lt;=FC149),'Rent Roll'!$B$39,0)</f>
        <v/>
      </c>
      <c r="V171" s="127">
        <f>IF(AND(V$11&gt;=FB149,V$11&lt;=FC149),'Rent Roll'!$B$39,0)</f>
        <v/>
      </c>
      <c r="W171" s="127">
        <f>IF(AND(W$11&gt;=FB149,W$11&lt;=FC149),'Rent Roll'!$B$39,0)</f>
        <v/>
      </c>
      <c r="X171" s="127">
        <f>IF(AND(X$11&gt;=FB149,X$11&lt;=FC149),'Rent Roll'!$B$39,0)</f>
        <v/>
      </c>
      <c r="Y171" s="127">
        <f>IF(AND(Y$11&gt;=FB149,Y$11&lt;=FC149),'Rent Roll'!$B$39,0)</f>
        <v/>
      </c>
      <c r="Z171" s="127">
        <f>IF(AND(Z$11&gt;=FB149,Z$11&lt;=FC149),'Rent Roll'!$B$39,0)</f>
        <v/>
      </c>
      <c r="AA171" s="127">
        <f>IF(AND(AA$11&gt;=FB149,AA$11&lt;=FC149),'Rent Roll'!$B$39,0)</f>
        <v/>
      </c>
      <c r="AB171" s="127">
        <f>IF(AND(AB$11&gt;=FB149,AB$11&lt;=FC149),'Rent Roll'!$B$39,0)</f>
        <v/>
      </c>
      <c r="AC171" s="127">
        <f>IF(AND(AC$11&gt;=FB149,AC$11&lt;=FC149),'Rent Roll'!$B$39,0)</f>
        <v/>
      </c>
      <c r="AD171" s="127">
        <f>IF(AND(AD$11&gt;=FB149,AD$11&lt;=FC149),'Rent Roll'!$B$39,0)</f>
        <v/>
      </c>
      <c r="AE171" s="127">
        <f>IF(AND(AE$11&gt;=FB149,AE$11&lt;=FC149),'Rent Roll'!$B$39,0)</f>
        <v/>
      </c>
      <c r="AF171" s="127">
        <f>IF(AND(AF$11&gt;=FB149,AF$11&lt;=FC149),'Rent Roll'!$B$39,0)</f>
        <v/>
      </c>
      <c r="AG171" s="127">
        <f>IF(AND(AG$11&gt;=FB149,AG$11&lt;=FC149),'Rent Roll'!$B$39,0)</f>
        <v/>
      </c>
      <c r="AH171" s="127">
        <f>IF(AND(AH$11&gt;=FB149,AH$11&lt;=FC149),'Rent Roll'!$B$39,0)</f>
        <v/>
      </c>
      <c r="AI171" s="127">
        <f>IF(AND(AI$11&gt;=FB149,AI$11&lt;=FC149),'Rent Roll'!$B$39,0)</f>
        <v/>
      </c>
      <c r="AJ171" s="127">
        <f>IF(AND(AJ$11&gt;=FB149,AJ$11&lt;=FC149),'Rent Roll'!$B$39,0)</f>
        <v/>
      </c>
      <c r="AK171" s="127">
        <f>IF(AND(AK$11&gt;=FB149,AK$11&lt;=FC149),'Rent Roll'!$B$39,0)</f>
        <v/>
      </c>
      <c r="AL171" s="127">
        <f>IF(AND(AL$11&gt;=FB149,AL$11&lt;=FC149),'Rent Roll'!$B$39,0)</f>
        <v/>
      </c>
      <c r="AM171" s="127">
        <f>IF(AND(AM$11&gt;=FB149,AM$11&lt;=FC149),'Rent Roll'!$B$39,0)</f>
        <v/>
      </c>
      <c r="AN171" s="127">
        <f>IF(AND(AN$11&gt;=FB149,AN$11&lt;=FC149),'Rent Roll'!$B$39,0)</f>
        <v/>
      </c>
      <c r="AO171" s="127">
        <f>IF(AND(AO$11&gt;=FB149,AO$11&lt;=FC149),'Rent Roll'!$B$39,0)</f>
        <v/>
      </c>
      <c r="AP171" s="127">
        <f>IF(AND(AP$11&gt;=FB149,AP$11&lt;=FC149),'Rent Roll'!$B$39,0)</f>
        <v/>
      </c>
      <c r="AQ171" s="127">
        <f>IF(AND(AQ$11&gt;=FB149,AQ$11&lt;=FC149),'Rent Roll'!$B$39,0)</f>
        <v/>
      </c>
      <c r="AR171" s="127">
        <f>IF(AND(AR$11&gt;=FB149,AR$11&lt;=FC149),'Rent Roll'!$B$39,0)</f>
        <v/>
      </c>
      <c r="AS171" s="127">
        <f>IF(AND(AS$11&gt;=FB149,AS$11&lt;=FC149),'Rent Roll'!$B$39,0)</f>
        <v/>
      </c>
      <c r="AT171" s="127">
        <f>IF(AND(AT$11&gt;=FB149,AT$11&lt;=FC149),'Rent Roll'!$B$39,0)</f>
        <v/>
      </c>
      <c r="AU171" s="127">
        <f>IF(AND(AU$11&gt;=FB149,AU$11&lt;=FC149),'Rent Roll'!$B$39,0)</f>
        <v/>
      </c>
      <c r="AV171" s="127">
        <f>IF(AND(AV$11&gt;=FB149,AV$11&lt;=FC149),'Rent Roll'!$B$39,0)</f>
        <v/>
      </c>
      <c r="AW171" s="127">
        <f>IF(AND(AW$11&gt;=FB149,AW$11&lt;=FC149),'Rent Roll'!$B$39,0)</f>
        <v/>
      </c>
      <c r="AX171" s="127">
        <f>IF(AND(AX$11&gt;=FB149,AX$11&lt;=FC149),'Rent Roll'!$B$39,0)</f>
        <v/>
      </c>
      <c r="AY171" s="127">
        <f>IF(AND(AY$11&gt;=FB149,AY$11&lt;=FC149),'Rent Roll'!$B$39,0)</f>
        <v/>
      </c>
      <c r="AZ171" s="127">
        <f>IF(AND(AZ$11&gt;=FB149,AZ$11&lt;=FC149),'Rent Roll'!$B$39,0)</f>
        <v/>
      </c>
      <c r="BA171" s="127">
        <f>IF(AND(BA$11&gt;=FB149,BA$11&lt;=FC149),'Rent Roll'!$B$39,0)</f>
        <v/>
      </c>
      <c r="BB171" s="127">
        <f>IF(AND(BB$11&gt;=FB149,BB$11&lt;=FC149),'Rent Roll'!$B$39,0)</f>
        <v/>
      </c>
      <c r="BC171" s="127">
        <f>IF(AND(BC$11&gt;=FB149,BC$11&lt;=FC149),'Rent Roll'!$B$39,0)</f>
        <v/>
      </c>
      <c r="BD171" s="127">
        <f>IF(AND(BD$11&gt;=FB149,BD$11&lt;=FC149),'Rent Roll'!$B$39,0)</f>
        <v/>
      </c>
      <c r="BE171" s="127">
        <f>IF(AND(BE$11&gt;=FB149,BE$11&lt;=FC149),'Rent Roll'!$B$39,0)</f>
        <v/>
      </c>
      <c r="BF171" s="127">
        <f>IF(AND(BF$11&gt;=FB149,BF$11&lt;=FC149),'Rent Roll'!$B$39,0)</f>
        <v/>
      </c>
      <c r="BG171" s="127">
        <f>IF(AND(BG$11&gt;=FB149,BG$11&lt;=FC149),'Rent Roll'!$B$39,0)</f>
        <v/>
      </c>
      <c r="BH171" s="127">
        <f>IF(AND(BH$11&gt;=FB149,BH$11&lt;=FC149),'Rent Roll'!$B$39,0)</f>
        <v/>
      </c>
      <c r="BI171" s="127">
        <f>IF(AND(BI$11&gt;=FB149,BI$11&lt;=FC149),'Rent Roll'!$B$39,0)</f>
        <v/>
      </c>
      <c r="BJ171" s="127">
        <f>IF(AND(BJ$11&gt;=FB149,BJ$11&lt;=FC149),'Rent Roll'!$B$39,0)</f>
        <v/>
      </c>
      <c r="BK171" s="127">
        <f>IF(AND(BK$11&gt;=FB149,BK$11&lt;=FC149),'Rent Roll'!$B$39,0)</f>
        <v/>
      </c>
      <c r="BL171" s="127">
        <f>IF(AND(BL$11&gt;=FB149,BL$11&lt;=FC149),'Rent Roll'!$B$39,0)</f>
        <v/>
      </c>
      <c r="BM171" s="127">
        <f>IF(AND(BM$11&gt;=FC149,BM$11&lt;=FD149),'Rent Roll'!$B$39,0)</f>
        <v/>
      </c>
      <c r="BN171" s="127">
        <f>IF(AND(BN$11&gt;=FD149,BN$11&lt;=FE149),'Rent Roll'!$B$39,0)</f>
        <v/>
      </c>
      <c r="BO171" s="127">
        <f>IF(AND(BO$11&gt;=FE149,BO$11&lt;=FF149),'Rent Roll'!$B$39,0)</f>
        <v/>
      </c>
      <c r="BP171" s="127">
        <f>IF(AND(BP$11&gt;=FF149,BP$11&lt;=FG149),'Rent Roll'!$B$39,0)</f>
        <v/>
      </c>
      <c r="BQ171" s="127">
        <f>IF(AND(BQ$11&gt;=FG149,BQ$11&lt;=FH149),'Rent Roll'!$B$39,0)</f>
        <v/>
      </c>
      <c r="BR171" s="127">
        <f>IF(AND(BR$11&gt;=FH149,BR$11&lt;=FI149),'Rent Roll'!$B$39,0)</f>
        <v/>
      </c>
      <c r="BS171" s="127">
        <f>IF(AND(BS$11&gt;=FI149,BS$11&lt;=FJ149),'Rent Roll'!$B$39,0)</f>
        <v/>
      </c>
      <c r="BT171" s="127">
        <f>IF(AND(BT$11&gt;=FJ149,BT$11&lt;=FK149),'Rent Roll'!$B$39,0)</f>
        <v/>
      </c>
      <c r="BU171" s="127">
        <f>IF(AND(BU$11&gt;=FK149,BU$11&lt;=FL149),'Rent Roll'!$B$39,0)</f>
        <v/>
      </c>
      <c r="BV171" s="127">
        <f>IF(AND(BV$11&gt;=FL149,BV$11&lt;=FM149),'Rent Roll'!$B$39,0)</f>
        <v/>
      </c>
      <c r="BW171" s="127">
        <f>IF(AND(BW$11&gt;=FM149,BW$11&lt;=FN149),'Rent Roll'!$B$39,0)</f>
        <v/>
      </c>
      <c r="BX171" s="127">
        <f>IF(AND(BX$11&gt;=FN149,BX$11&lt;=FO149),'Rent Roll'!$B$39,0)</f>
        <v/>
      </c>
      <c r="BY171" s="127">
        <f>IF(AND(BY$11&gt;=FO149,BY$11&lt;=FP149),'Rent Roll'!$B$39,0)</f>
        <v/>
      </c>
      <c r="BZ171" s="127">
        <f>IF(AND(BZ$11&gt;=FP149,BZ$11&lt;=FQ149),'Rent Roll'!$B$39,0)</f>
        <v/>
      </c>
      <c r="CA171" s="127">
        <f>IF(AND(CA$11&gt;=FQ149,CA$11&lt;=FR149),'Rent Roll'!$B$39,0)</f>
        <v/>
      </c>
      <c r="CB171" s="127">
        <f>IF(AND(CB$11&gt;=FR149,CB$11&lt;=FS149),'Rent Roll'!$B$39,0)</f>
        <v/>
      </c>
      <c r="CC171" s="127">
        <f>IF(AND(CC$11&gt;=FS149,CC$11&lt;=FT149),'Rent Roll'!$B$39,0)</f>
        <v/>
      </c>
      <c r="CD171" s="127">
        <f>IF(AND(CD$11&gt;=FT149,CD$11&lt;=FU149),'Rent Roll'!$B$39,0)</f>
        <v/>
      </c>
      <c r="CE171" s="127">
        <f>IF(AND(CE$11&gt;=FU149,CE$11&lt;=FV149),'Rent Roll'!$B$39,0)</f>
        <v/>
      </c>
      <c r="CF171" s="127">
        <f>IF(AND(CF$11&gt;=FV149,CF$11&lt;=FW149),'Rent Roll'!$B$39,0)</f>
        <v/>
      </c>
      <c r="CG171" s="127">
        <f>IF(AND(CG$11&gt;=FW149,CG$11&lt;=FX149),'Rent Roll'!$B$39,0)</f>
        <v/>
      </c>
      <c r="CH171" s="127">
        <f>IF(AND(CH$11&gt;=FX149,CH$11&lt;=FY149),'Rent Roll'!$B$39,0)</f>
        <v/>
      </c>
      <c r="CI171" s="127">
        <f>IF(AND(CI$11&gt;=FY149,CI$11&lt;=FZ149),'Rent Roll'!$B$39,0)</f>
        <v/>
      </c>
      <c r="CJ171" s="127">
        <f>IF(AND(CJ$11&gt;=FZ149,CJ$11&lt;=GA149),'Rent Roll'!$B$39,0)</f>
        <v/>
      </c>
      <c r="CK171" s="127">
        <f>IF(AND(CK$11&gt;=GA149,CK$11&lt;=GB149),'Rent Roll'!$B$39,0)</f>
        <v/>
      </c>
      <c r="CL171" s="127">
        <f>IF(AND(CL$11&gt;=GB149,CL$11&lt;=GC149),'Rent Roll'!$B$39,0)</f>
        <v/>
      </c>
      <c r="CM171" s="127">
        <f>IF(AND(CM$11&gt;=GC149,CM$11&lt;=GD149),'Rent Roll'!$B$39,0)</f>
        <v/>
      </c>
      <c r="CN171" s="127">
        <f>IF(AND(CN$11&gt;=GD149,CN$11&lt;=GE149),'Rent Roll'!$B$39,0)</f>
        <v/>
      </c>
      <c r="CO171" s="127">
        <f>IF(AND(CO$11&gt;=GE149,CO$11&lt;=GF149),'Rent Roll'!$B$39,0)</f>
        <v/>
      </c>
      <c r="CP171" s="127">
        <f>IF(AND(CP$11&gt;=GF149,CP$11&lt;=GG149),'Rent Roll'!$B$39,0)</f>
        <v/>
      </c>
      <c r="CQ171" s="127">
        <f>IF(AND(CQ$11&gt;=GG149,CQ$11&lt;=GH149),'Rent Roll'!$B$39,0)</f>
        <v/>
      </c>
      <c r="CR171" s="127">
        <f>IF(AND(CR$11&gt;=GH149,CR$11&lt;=GI149),'Rent Roll'!$B$39,0)</f>
        <v/>
      </c>
      <c r="CS171" s="127">
        <f>IF(AND(CS$11&gt;=GI149,CS$11&lt;=GJ149),'Rent Roll'!$B$39,0)</f>
        <v/>
      </c>
      <c r="CT171" s="127">
        <f>IF(AND(CT$11&gt;=GJ149,CT$11&lt;=GK149),'Rent Roll'!$B$39,0)</f>
        <v/>
      </c>
      <c r="CU171" s="127">
        <f>IF(AND(CU$11&gt;=GK149,CU$11&lt;=GL149),'Rent Roll'!$B$39,0)</f>
        <v/>
      </c>
      <c r="CV171" s="127">
        <f>IF(AND(CV$11&gt;=GL149,CV$11&lt;=GM149),'Rent Roll'!$B$39,0)</f>
        <v/>
      </c>
      <c r="CW171" s="127">
        <f>IF(AND(CW$11&gt;=GM149,CW$11&lt;=GN149),'Rent Roll'!$B$39,0)</f>
        <v/>
      </c>
      <c r="CX171" s="127">
        <f>IF(AND(CX$11&gt;=GN149,CX$11&lt;=GO149),'Rent Roll'!$B$39,0)</f>
        <v/>
      </c>
      <c r="CY171" s="127">
        <f>IF(AND(CY$11&gt;=GO149,CY$11&lt;=GP149),'Rent Roll'!$B$39,0)</f>
        <v/>
      </c>
      <c r="CZ171" s="127">
        <f>IF(AND(CZ$11&gt;=GP149,CZ$11&lt;=GQ149),'Rent Roll'!$B$39,0)</f>
        <v/>
      </c>
      <c r="DA171" s="127">
        <f>IF(AND(DA$11&gt;=GQ149,DA$11&lt;=GR149),'Rent Roll'!$B$39,0)</f>
        <v/>
      </c>
      <c r="DB171" s="127">
        <f>IF(AND(DB$11&gt;=GR149,DB$11&lt;=GS149),'Rent Roll'!$B$39,0)</f>
        <v/>
      </c>
      <c r="DC171" s="127">
        <f>IF(AND(DC$11&gt;=GS149,DC$11&lt;=GT149),'Rent Roll'!$B$39,0)</f>
        <v/>
      </c>
      <c r="DD171" s="127">
        <f>IF(AND(DD$11&gt;=GT149,DD$11&lt;=GU149),'Rent Roll'!$B$39,0)</f>
        <v/>
      </c>
      <c r="DE171" s="127">
        <f>IF(AND(DE$11&gt;=GU149,DE$11&lt;=GV149),'Rent Roll'!$B$39,0)</f>
        <v/>
      </c>
      <c r="DF171" s="127">
        <f>IF(AND(DF$11&gt;=GV149,DF$11&lt;=GW149),'Rent Roll'!$B$39,0)</f>
        <v/>
      </c>
      <c r="DG171" s="127">
        <f>IF(AND(DG$11&gt;=GW149,DG$11&lt;=GX149),'Rent Roll'!$B$39,0)</f>
        <v/>
      </c>
      <c r="DH171" s="127">
        <f>IF(AND(DH$11&gt;=GX149,DH$11&lt;=GY149),'Rent Roll'!$B$39,0)</f>
        <v/>
      </c>
      <c r="DI171" s="127">
        <f>IF(AND(DI$11&gt;=GY149,DI$11&lt;=GZ149),'Rent Roll'!$B$39,0)</f>
        <v/>
      </c>
      <c r="DJ171" s="127">
        <f>IF(AND(DJ$11&gt;=GZ149,DJ$11&lt;=HA149),'Rent Roll'!$B$39,0)</f>
        <v/>
      </c>
      <c r="DK171" s="127">
        <f>IF(AND(DK$11&gt;=HA149,DK$11&lt;=HB149),'Rent Roll'!$B$39,0)</f>
        <v/>
      </c>
      <c r="DL171" s="127">
        <f>IF(AND(DL$11&gt;=HB149,DL$11&lt;=HC149),'Rent Roll'!$B$39,0)</f>
        <v/>
      </c>
      <c r="DM171" s="127">
        <f>IF(AND(DM$11&gt;=HC149,DM$11&lt;=HD149),'Rent Roll'!$B$39,0)</f>
        <v/>
      </c>
      <c r="DN171" s="127">
        <f>IF(AND(DN$11&gt;=HD149,DN$11&lt;=HE149),'Rent Roll'!$B$39,0)</f>
        <v/>
      </c>
      <c r="DO171" s="127">
        <f>IF(AND(DO$11&gt;=HE149,DO$11&lt;=HF149),'Rent Roll'!$B$39,0)</f>
        <v/>
      </c>
      <c r="DP171" s="127">
        <f>IF(AND(DP$11&gt;=HF149,DP$11&lt;=HG149),'Rent Roll'!$B$39,0)</f>
        <v/>
      </c>
      <c r="DQ171" s="127">
        <f>IF(AND(DQ$11&gt;=HG149,DQ$11&lt;=HH149),'Rent Roll'!$B$39,0)</f>
        <v/>
      </c>
      <c r="DR171" s="127">
        <f>IF(AND(DR$11&gt;=HH149,DR$11&lt;=HI149),'Rent Roll'!$B$39,0)</f>
        <v/>
      </c>
      <c r="DS171" s="127">
        <f>IF(AND(DS$11&gt;=HI149,DS$11&lt;=HJ149),'Rent Roll'!$B$39,0)</f>
        <v/>
      </c>
      <c r="DT171" s="127">
        <f>IF(AND(DT$11&gt;=HJ149,DT$11&lt;=HK149),'Rent Roll'!$B$39,0)</f>
        <v/>
      </c>
      <c r="DV171">
        <f>DV149&amp;" ActiveSF"</f>
        <v/>
      </c>
    </row>
    <row r="172" ht="15" customHeight="1" s="148">
      <c r="D172" s="232">
        <f>IF(AND(D$11&gt;=FB150,D$11&lt;=FC150),IF((D$11-FB150)&lt;'Rent Roll'!$K$40,0,'Rent Roll'!$B$40*'Rent Roll'!$D$40*(1+'Rent Roll'!$F$40)^INT((D$11-FB150)/12)/12),0)</f>
        <v/>
      </c>
      <c r="E172" s="232">
        <f>IF(AND(E$11&gt;=FB150,E$11&lt;=FC150),IF((E$11-FB150)&lt;'Rent Roll'!$K$40,0,'Rent Roll'!$B$40*'Rent Roll'!$D$40*(1+'Rent Roll'!$F$40)^INT((E$11-FB150)/12)/12),0)</f>
        <v/>
      </c>
      <c r="F172" s="232">
        <f>IF(AND(F$11&gt;=FB150,F$11&lt;=FC150),IF((F$11-FB150)&lt;'Rent Roll'!$K$40,0,'Rent Roll'!$B$40*'Rent Roll'!$D$40*(1+'Rent Roll'!$F$40)^INT((F$11-FB150)/12)/12),0)</f>
        <v/>
      </c>
      <c r="G172" s="232">
        <f>IF(AND(G$11&gt;=FB150,G$11&lt;=FC150),IF((G$11-FB150)&lt;'Rent Roll'!$K$40,0,'Rent Roll'!$B$40*'Rent Roll'!$D$40*(1+'Rent Roll'!$F$40)^INT((G$11-FB150)/12)/12),0)</f>
        <v/>
      </c>
      <c r="H172" s="232">
        <f>IF(AND(H$11&gt;=FB150,H$11&lt;=FC150),IF((H$11-FB150)&lt;'Rent Roll'!$K$40,0,'Rent Roll'!$B$40*'Rent Roll'!$D$40*(1+'Rent Roll'!$F$40)^INT((H$11-FB150)/12)/12),0)</f>
        <v/>
      </c>
      <c r="I172" s="232">
        <f>IF(AND(I$11&gt;=FB150,I$11&lt;=FC150),IF((I$11-FB150)&lt;'Rent Roll'!$K$40,0,'Rent Roll'!$B$40*'Rent Roll'!$D$40*(1+'Rent Roll'!$F$40)^INT((I$11-FB150)/12)/12),0)</f>
        <v/>
      </c>
      <c r="J172" s="232">
        <f>IF(AND(J$11&gt;=FB150,J$11&lt;=FC150),IF((J$11-FB150)&lt;'Rent Roll'!$K$40,0,'Rent Roll'!$B$40*'Rent Roll'!$D$40*(1+'Rent Roll'!$F$40)^INT((J$11-FB150)/12)/12),0)</f>
        <v/>
      </c>
      <c r="K172" s="232">
        <f>IF(AND(K$11&gt;=FB150,K$11&lt;=FC150),IF((K$11-FB150)&lt;'Rent Roll'!$K$40,0,'Rent Roll'!$B$40*'Rent Roll'!$D$40*(1+'Rent Roll'!$F$40)^INT((K$11-FB150)/12)/12),0)</f>
        <v/>
      </c>
      <c r="L172" s="232">
        <f>IF(AND(L$11&gt;=FB150,L$11&lt;=FC150),IF((L$11-FB150)&lt;'Rent Roll'!$K$40,0,'Rent Roll'!$B$40*'Rent Roll'!$D$40*(1+'Rent Roll'!$F$40)^INT((L$11-FB150)/12)/12),0)</f>
        <v/>
      </c>
      <c r="M172" s="232">
        <f>IF(AND(M$11&gt;=FB150,M$11&lt;=FC150),IF((M$11-FB150)&lt;'Rent Roll'!$K$40,0,'Rent Roll'!$B$40*'Rent Roll'!$D$40*(1+'Rent Roll'!$F$40)^INT((M$11-FB150)/12)/12),0)</f>
        <v/>
      </c>
      <c r="N172" s="232">
        <f>IF(AND(N$11&gt;=FB150,N$11&lt;=FC150),IF((N$11-FB150)&lt;'Rent Roll'!$K$40,0,'Rent Roll'!$B$40*'Rent Roll'!$D$40*(1+'Rent Roll'!$F$40)^INT((N$11-FB150)/12)/12),0)</f>
        <v/>
      </c>
      <c r="O172" s="232">
        <f>IF(AND(O$11&gt;=FB150,O$11&lt;=FC150),IF((O$11-FB150)&lt;'Rent Roll'!$K$40,0,'Rent Roll'!$B$40*'Rent Roll'!$D$40*(1+'Rent Roll'!$F$40)^INT((O$11-FB150)/12)/12),0)</f>
        <v/>
      </c>
      <c r="P172" s="232">
        <f>IF(AND(P$11&gt;=FB150,P$11&lt;=FC150),IF((P$11-FB150)&lt;'Rent Roll'!$K$40,0,'Rent Roll'!$B$40*'Rent Roll'!$D$40*(1+'Rent Roll'!$F$40)^INT((P$11-FB150)/12)/12),0)</f>
        <v/>
      </c>
      <c r="Q172" s="232">
        <f>IF(AND(Q$11&gt;=FB150,Q$11&lt;=FC150),IF((Q$11-FB150)&lt;'Rent Roll'!$K$40,0,'Rent Roll'!$B$40*'Rent Roll'!$D$40*(1+'Rent Roll'!$F$40)^INT((Q$11-FB150)/12)/12),0)</f>
        <v/>
      </c>
      <c r="R172" s="232">
        <f>IF(AND(R$11&gt;=FB150,R$11&lt;=FC150),IF((R$11-FB150)&lt;'Rent Roll'!$K$40,0,'Rent Roll'!$B$40*'Rent Roll'!$D$40*(1+'Rent Roll'!$F$40)^INT((R$11-FB150)/12)/12),0)</f>
        <v/>
      </c>
      <c r="S172" s="232">
        <f>IF(AND(S$11&gt;=FB150,S$11&lt;=FC150),IF((S$11-FB150)&lt;'Rent Roll'!$K$40,0,'Rent Roll'!$B$40*'Rent Roll'!$D$40*(1+'Rent Roll'!$F$40)^INT((S$11-FB150)/12)/12),0)</f>
        <v/>
      </c>
      <c r="T172" s="232">
        <f>IF(AND(T$11&gt;=FB150,T$11&lt;=FC150),IF((T$11-FB150)&lt;'Rent Roll'!$K$40,0,'Rent Roll'!$B$40*'Rent Roll'!$D$40*(1+'Rent Roll'!$F$40)^INT((T$11-FB150)/12)/12),0)</f>
        <v/>
      </c>
      <c r="U172" s="232">
        <f>IF(AND(U$11&gt;=FB150,U$11&lt;=FC150),IF((U$11-FB150)&lt;'Rent Roll'!$K$40,0,'Rent Roll'!$B$40*'Rent Roll'!$D$40*(1+'Rent Roll'!$F$40)^INT((U$11-FB150)/12)/12),0)</f>
        <v/>
      </c>
      <c r="V172" s="232">
        <f>IF(AND(V$11&gt;=FB150,V$11&lt;=FC150),IF((V$11-FB150)&lt;'Rent Roll'!$K$40,0,'Rent Roll'!$B$40*'Rent Roll'!$D$40*(1+'Rent Roll'!$F$40)^INT((V$11-FB150)/12)/12),0)</f>
        <v/>
      </c>
      <c r="W172" s="232">
        <f>IF(AND(W$11&gt;=FB150,W$11&lt;=FC150),IF((W$11-FB150)&lt;'Rent Roll'!$K$40,0,'Rent Roll'!$B$40*'Rent Roll'!$D$40*(1+'Rent Roll'!$F$40)^INT((W$11-FB150)/12)/12),0)</f>
        <v/>
      </c>
      <c r="X172" s="232">
        <f>IF(AND(X$11&gt;=FB150,X$11&lt;=FC150),IF((X$11-FB150)&lt;'Rent Roll'!$K$40,0,'Rent Roll'!$B$40*'Rent Roll'!$D$40*(1+'Rent Roll'!$F$40)^INT((X$11-FB150)/12)/12),0)</f>
        <v/>
      </c>
      <c r="Y172" s="232">
        <f>IF(AND(Y$11&gt;=FB150,Y$11&lt;=FC150),IF((Y$11-FB150)&lt;'Rent Roll'!$K$40,0,'Rent Roll'!$B$40*'Rent Roll'!$D$40*(1+'Rent Roll'!$F$40)^INT((Y$11-FB150)/12)/12),0)</f>
        <v/>
      </c>
      <c r="Z172" s="232">
        <f>IF(AND(Z$11&gt;=FB150,Z$11&lt;=FC150),IF((Z$11-FB150)&lt;'Rent Roll'!$K$40,0,'Rent Roll'!$B$40*'Rent Roll'!$D$40*(1+'Rent Roll'!$F$40)^INT((Z$11-FB150)/12)/12),0)</f>
        <v/>
      </c>
      <c r="AA172" s="232">
        <f>IF(AND(AA$11&gt;=FB150,AA$11&lt;=FC150),IF((AA$11-FB150)&lt;'Rent Roll'!$K$40,0,'Rent Roll'!$B$40*'Rent Roll'!$D$40*(1+'Rent Roll'!$F$40)^INT((AA$11-FB150)/12)/12),0)</f>
        <v/>
      </c>
      <c r="AB172" s="232">
        <f>IF(AND(AB$11&gt;=FB150,AB$11&lt;=FC150),IF((AB$11-FB150)&lt;'Rent Roll'!$K$40,0,'Rent Roll'!$B$40*'Rent Roll'!$D$40*(1+'Rent Roll'!$F$40)^INT((AB$11-FB150)/12)/12),0)</f>
        <v/>
      </c>
      <c r="AC172" s="232">
        <f>IF(AND(AC$11&gt;=FB150,AC$11&lt;=FC150),IF((AC$11-FB150)&lt;'Rent Roll'!$K$40,0,'Rent Roll'!$B$40*'Rent Roll'!$D$40*(1+'Rent Roll'!$F$40)^INT((AC$11-FB150)/12)/12),0)</f>
        <v/>
      </c>
      <c r="AD172" s="232">
        <f>IF(AND(AD$11&gt;=FB150,AD$11&lt;=FC150),IF((AD$11-FB150)&lt;'Rent Roll'!$K$40,0,'Rent Roll'!$B$40*'Rent Roll'!$D$40*(1+'Rent Roll'!$F$40)^INT((AD$11-FB150)/12)/12),0)</f>
        <v/>
      </c>
      <c r="AE172" s="232">
        <f>IF(AND(AE$11&gt;=FB150,AE$11&lt;=FC150),IF((AE$11-FB150)&lt;'Rent Roll'!$K$40,0,'Rent Roll'!$B$40*'Rent Roll'!$D$40*(1+'Rent Roll'!$F$40)^INT((AE$11-FB150)/12)/12),0)</f>
        <v/>
      </c>
      <c r="AF172" s="232">
        <f>IF(AND(AF$11&gt;=FB150,AF$11&lt;=FC150),IF((AF$11-FB150)&lt;'Rent Roll'!$K$40,0,'Rent Roll'!$B$40*'Rent Roll'!$D$40*(1+'Rent Roll'!$F$40)^INT((AF$11-FB150)/12)/12),0)</f>
        <v/>
      </c>
      <c r="AG172" s="232">
        <f>IF(AND(AG$11&gt;=FB150,AG$11&lt;=FC150),IF((AG$11-FB150)&lt;'Rent Roll'!$K$40,0,'Rent Roll'!$B$40*'Rent Roll'!$D$40*(1+'Rent Roll'!$F$40)^INT((AG$11-FB150)/12)/12),0)</f>
        <v/>
      </c>
      <c r="AH172" s="232">
        <f>IF(AND(AH$11&gt;=FB150,AH$11&lt;=FC150),IF((AH$11-FB150)&lt;'Rent Roll'!$K$40,0,'Rent Roll'!$B$40*'Rent Roll'!$D$40*(1+'Rent Roll'!$F$40)^INT((AH$11-FB150)/12)/12),0)</f>
        <v/>
      </c>
      <c r="AI172" s="232">
        <f>IF(AND(AI$11&gt;=FB150,AI$11&lt;=FC150),IF((AI$11-FB150)&lt;'Rent Roll'!$K$40,0,'Rent Roll'!$B$40*'Rent Roll'!$D$40*(1+'Rent Roll'!$F$40)^INT((AI$11-FB150)/12)/12),0)</f>
        <v/>
      </c>
      <c r="AJ172" s="232">
        <f>IF(AND(AJ$11&gt;=FB150,AJ$11&lt;=FC150),IF((AJ$11-FB150)&lt;'Rent Roll'!$K$40,0,'Rent Roll'!$B$40*'Rent Roll'!$D$40*(1+'Rent Roll'!$F$40)^INT((AJ$11-FB150)/12)/12),0)</f>
        <v/>
      </c>
      <c r="AK172" s="232">
        <f>IF(AND(AK$11&gt;=FB150,AK$11&lt;=FC150),IF((AK$11-FB150)&lt;'Rent Roll'!$K$40,0,'Rent Roll'!$B$40*'Rent Roll'!$D$40*(1+'Rent Roll'!$F$40)^INT((AK$11-FB150)/12)/12),0)</f>
        <v/>
      </c>
      <c r="AL172" s="232">
        <f>IF(AND(AL$11&gt;=FB150,AL$11&lt;=FC150),IF((AL$11-FB150)&lt;'Rent Roll'!$K$40,0,'Rent Roll'!$B$40*'Rent Roll'!$D$40*(1+'Rent Roll'!$F$40)^INT((AL$11-FB150)/12)/12),0)</f>
        <v/>
      </c>
      <c r="AM172" s="232">
        <f>IF(AND(AM$11&gt;=FB150,AM$11&lt;=FC150),IF((AM$11-FB150)&lt;'Rent Roll'!$K$40,0,'Rent Roll'!$B$40*'Rent Roll'!$D$40*(1+'Rent Roll'!$F$40)^INT((AM$11-FB150)/12)/12),0)</f>
        <v/>
      </c>
      <c r="AN172" s="232">
        <f>IF(AND(AN$11&gt;=FB150,AN$11&lt;=FC150),IF((AN$11-FB150)&lt;'Rent Roll'!$K$40,0,'Rent Roll'!$B$40*'Rent Roll'!$D$40*(1+'Rent Roll'!$F$40)^INT((AN$11-FB150)/12)/12),0)</f>
        <v/>
      </c>
      <c r="AO172" s="232">
        <f>IF(AND(AO$11&gt;=FB150,AO$11&lt;=FC150),IF((AO$11-FB150)&lt;'Rent Roll'!$K$40,0,'Rent Roll'!$B$40*'Rent Roll'!$D$40*(1+'Rent Roll'!$F$40)^INT((AO$11-FB150)/12)/12),0)</f>
        <v/>
      </c>
      <c r="AP172" s="232">
        <f>IF(AND(AP$11&gt;=FB150,AP$11&lt;=FC150),IF((AP$11-FB150)&lt;'Rent Roll'!$K$40,0,'Rent Roll'!$B$40*'Rent Roll'!$D$40*(1+'Rent Roll'!$F$40)^INT((AP$11-FB150)/12)/12),0)</f>
        <v/>
      </c>
      <c r="AQ172" s="232">
        <f>IF(AND(AQ$11&gt;=FB150,AQ$11&lt;=FC150),IF((AQ$11-FB150)&lt;'Rent Roll'!$K$40,0,'Rent Roll'!$B$40*'Rent Roll'!$D$40*(1+'Rent Roll'!$F$40)^INT((AQ$11-FB150)/12)/12),0)</f>
        <v/>
      </c>
      <c r="AR172" s="232">
        <f>IF(AND(AR$11&gt;=FB150,AR$11&lt;=FC150),IF((AR$11-FB150)&lt;'Rent Roll'!$K$40,0,'Rent Roll'!$B$40*'Rent Roll'!$D$40*(1+'Rent Roll'!$F$40)^INT((AR$11-FB150)/12)/12),0)</f>
        <v/>
      </c>
      <c r="AS172" s="232">
        <f>IF(AND(AS$11&gt;=FB150,AS$11&lt;=FC150),IF((AS$11-FB150)&lt;'Rent Roll'!$K$40,0,'Rent Roll'!$B$40*'Rent Roll'!$D$40*(1+'Rent Roll'!$F$40)^INT((AS$11-FB150)/12)/12),0)</f>
        <v/>
      </c>
      <c r="AT172" s="232">
        <f>IF(AND(AT$11&gt;=FB150,AT$11&lt;=FC150),IF((AT$11-FB150)&lt;'Rent Roll'!$K$40,0,'Rent Roll'!$B$40*'Rent Roll'!$D$40*(1+'Rent Roll'!$F$40)^INT((AT$11-FB150)/12)/12),0)</f>
        <v/>
      </c>
      <c r="AU172" s="232">
        <f>IF(AND(AU$11&gt;=FB150,AU$11&lt;=FC150),IF((AU$11-FB150)&lt;'Rent Roll'!$K$40,0,'Rent Roll'!$B$40*'Rent Roll'!$D$40*(1+'Rent Roll'!$F$40)^INT((AU$11-FB150)/12)/12),0)</f>
        <v/>
      </c>
      <c r="AV172" s="232">
        <f>IF(AND(AV$11&gt;=FB150,AV$11&lt;=FC150),IF((AV$11-FB150)&lt;'Rent Roll'!$K$40,0,'Rent Roll'!$B$40*'Rent Roll'!$D$40*(1+'Rent Roll'!$F$40)^INT((AV$11-FB150)/12)/12),0)</f>
        <v/>
      </c>
      <c r="AW172" s="232">
        <f>IF(AND(AW$11&gt;=FB150,AW$11&lt;=FC150),IF((AW$11-FB150)&lt;'Rent Roll'!$K$40,0,'Rent Roll'!$B$40*'Rent Roll'!$D$40*(1+'Rent Roll'!$F$40)^INT((AW$11-FB150)/12)/12),0)</f>
        <v/>
      </c>
      <c r="AX172" s="232">
        <f>IF(AND(AX$11&gt;=FB150,AX$11&lt;=FC150),IF((AX$11-FB150)&lt;'Rent Roll'!$K$40,0,'Rent Roll'!$B$40*'Rent Roll'!$D$40*(1+'Rent Roll'!$F$40)^INT((AX$11-FB150)/12)/12),0)</f>
        <v/>
      </c>
      <c r="AY172" s="232">
        <f>IF(AND(AY$11&gt;=FB150,AY$11&lt;=FC150),IF((AY$11-FB150)&lt;'Rent Roll'!$K$40,0,'Rent Roll'!$B$40*'Rent Roll'!$D$40*(1+'Rent Roll'!$F$40)^INT((AY$11-FB150)/12)/12),0)</f>
        <v/>
      </c>
      <c r="AZ172" s="232">
        <f>IF(AND(AZ$11&gt;=FB150,AZ$11&lt;=FC150),IF((AZ$11-FB150)&lt;'Rent Roll'!$K$40,0,'Rent Roll'!$B$40*'Rent Roll'!$D$40*(1+'Rent Roll'!$F$40)^INT((AZ$11-FB150)/12)/12),0)</f>
        <v/>
      </c>
      <c r="BA172" s="232">
        <f>IF(AND(BA$11&gt;=FB150,BA$11&lt;=FC150),IF((BA$11-FB150)&lt;'Rent Roll'!$K$40,0,'Rent Roll'!$B$40*'Rent Roll'!$D$40*(1+'Rent Roll'!$F$40)^INT((BA$11-FB150)/12)/12),0)</f>
        <v/>
      </c>
      <c r="BB172" s="232">
        <f>IF(AND(BB$11&gt;=FB150,BB$11&lt;=FC150),IF((BB$11-FB150)&lt;'Rent Roll'!$K$40,0,'Rent Roll'!$B$40*'Rent Roll'!$D$40*(1+'Rent Roll'!$F$40)^INT((BB$11-FB150)/12)/12),0)</f>
        <v/>
      </c>
      <c r="BC172" s="232">
        <f>IF(AND(BC$11&gt;=FB150,BC$11&lt;=FC150),IF((BC$11-FB150)&lt;'Rent Roll'!$K$40,0,'Rent Roll'!$B$40*'Rent Roll'!$D$40*(1+'Rent Roll'!$F$40)^INT((BC$11-FB150)/12)/12),0)</f>
        <v/>
      </c>
      <c r="BD172" s="232">
        <f>IF(AND(BD$11&gt;=FB150,BD$11&lt;=FC150),IF((BD$11-FB150)&lt;'Rent Roll'!$K$40,0,'Rent Roll'!$B$40*'Rent Roll'!$D$40*(1+'Rent Roll'!$F$40)^INT((BD$11-FB150)/12)/12),0)</f>
        <v/>
      </c>
      <c r="BE172" s="232">
        <f>IF(AND(BE$11&gt;=FB150,BE$11&lt;=FC150),IF((BE$11-FB150)&lt;'Rent Roll'!$K$40,0,'Rent Roll'!$B$40*'Rent Roll'!$D$40*(1+'Rent Roll'!$F$40)^INT((BE$11-FB150)/12)/12),0)</f>
        <v/>
      </c>
      <c r="BF172" s="232">
        <f>IF(AND(BF$11&gt;=FB150,BF$11&lt;=FC150),IF((BF$11-FB150)&lt;'Rent Roll'!$K$40,0,'Rent Roll'!$B$40*'Rent Roll'!$D$40*(1+'Rent Roll'!$F$40)^INT((BF$11-FB150)/12)/12),0)</f>
        <v/>
      </c>
      <c r="BG172" s="232">
        <f>IF(AND(BG$11&gt;=FB150,BG$11&lt;=FC150),IF((BG$11-FB150)&lt;'Rent Roll'!$K$40,0,'Rent Roll'!$B$40*'Rent Roll'!$D$40*(1+'Rent Roll'!$F$40)^INT((BG$11-FB150)/12)/12),0)</f>
        <v/>
      </c>
      <c r="BH172" s="232">
        <f>IF(AND(BH$11&gt;=FB150,BH$11&lt;=FC150),IF((BH$11-FB150)&lt;'Rent Roll'!$K$40,0,'Rent Roll'!$B$40*'Rent Roll'!$D$40*(1+'Rent Roll'!$F$40)^INT((BH$11-FB150)/12)/12),0)</f>
        <v/>
      </c>
      <c r="BI172" s="232">
        <f>IF(AND(BI$11&gt;=FB150,BI$11&lt;=FC150),IF((BI$11-FB150)&lt;'Rent Roll'!$K$40,0,'Rent Roll'!$B$40*'Rent Roll'!$D$40*(1+'Rent Roll'!$F$40)^INT((BI$11-FB150)/12)/12),0)</f>
        <v/>
      </c>
      <c r="BJ172" s="232">
        <f>IF(AND(BJ$11&gt;=FB150,BJ$11&lt;=FC150),IF((BJ$11-FB150)&lt;'Rent Roll'!$K$40,0,'Rent Roll'!$B$40*'Rent Roll'!$D$40*(1+'Rent Roll'!$F$40)^INT((BJ$11-FB150)/12)/12),0)</f>
        <v/>
      </c>
      <c r="BK172" s="232">
        <f>IF(AND(BK$11&gt;=FB150,BK$11&lt;=FC150),IF((BK$11-FB150)&lt;'Rent Roll'!$K$40,0,'Rent Roll'!$B$40*'Rent Roll'!$D$40*(1+'Rent Roll'!$F$40)^INT((BK$11-FB150)/12)/12),0)</f>
        <v/>
      </c>
      <c r="BL172" s="232">
        <f>IF(AND(BL$11&gt;=FB150,BL$11&lt;=FC150),IF((BL$11-FB150)&lt;'Rent Roll'!$K$40,0,'Rent Roll'!$B$40*'Rent Roll'!$D$40*(1+'Rent Roll'!$F$40)^INT((BL$11-FB150)/12)/12),0)</f>
        <v/>
      </c>
      <c r="BM172" s="232">
        <f>IF(AND(BM$11&gt;=FC150,BM$11&lt;=FD150),IF((BM$11-FC150)&lt;'Rent Roll'!$K$40,0,'Rent Roll'!$B$40*'Rent Roll'!$D$40*(1+'Rent Roll'!$F$40)^INT((BM$11-FC150)/12)/12),0)</f>
        <v/>
      </c>
      <c r="BN172" s="232">
        <f>IF(AND(BN$11&gt;=FD150,BN$11&lt;=FE150),IF((BN$11-FD150)&lt;'Rent Roll'!$K$40,0,'Rent Roll'!$B$40*'Rent Roll'!$D$40*(1+'Rent Roll'!$F$40)^INT((BN$11-FD150)/12)/12),0)</f>
        <v/>
      </c>
      <c r="BO172" s="232">
        <f>IF(AND(BO$11&gt;=FE150,BO$11&lt;=FF150),IF((BO$11-FE150)&lt;'Rent Roll'!$K$40,0,'Rent Roll'!$B$40*'Rent Roll'!$D$40*(1+'Rent Roll'!$F$40)^INT((BO$11-FE150)/12)/12),0)</f>
        <v/>
      </c>
      <c r="BP172" s="232">
        <f>IF(AND(BP$11&gt;=FF150,BP$11&lt;=FG150),IF((BP$11-FF150)&lt;'Rent Roll'!$K$40,0,'Rent Roll'!$B$40*'Rent Roll'!$D$40*(1+'Rent Roll'!$F$40)^INT((BP$11-FF150)/12)/12),0)</f>
        <v/>
      </c>
      <c r="BQ172" s="232">
        <f>IF(AND(BQ$11&gt;=FG150,BQ$11&lt;=FH150),IF((BQ$11-FG150)&lt;'Rent Roll'!$K$40,0,'Rent Roll'!$B$40*'Rent Roll'!$D$40*(1+'Rent Roll'!$F$40)^INT((BQ$11-FG150)/12)/12),0)</f>
        <v/>
      </c>
      <c r="BR172" s="232">
        <f>IF(AND(BR$11&gt;=FH150,BR$11&lt;=FI150),IF((BR$11-FH150)&lt;'Rent Roll'!$K$40,0,'Rent Roll'!$B$40*'Rent Roll'!$D$40*(1+'Rent Roll'!$F$40)^INT((BR$11-FH150)/12)/12),0)</f>
        <v/>
      </c>
      <c r="BS172" s="232">
        <f>IF(AND(BS$11&gt;=FI150,BS$11&lt;=FJ150),IF((BS$11-FI150)&lt;'Rent Roll'!$K$40,0,'Rent Roll'!$B$40*'Rent Roll'!$D$40*(1+'Rent Roll'!$F$40)^INT((BS$11-FI150)/12)/12),0)</f>
        <v/>
      </c>
      <c r="BT172" s="232">
        <f>IF(AND(BT$11&gt;=FJ150,BT$11&lt;=FK150),IF((BT$11-FJ150)&lt;'Rent Roll'!$K$40,0,'Rent Roll'!$B$40*'Rent Roll'!$D$40*(1+'Rent Roll'!$F$40)^INT((BT$11-FJ150)/12)/12),0)</f>
        <v/>
      </c>
      <c r="BU172" s="232">
        <f>IF(AND(BU$11&gt;=FK150,BU$11&lt;=FL150),IF((BU$11-FK150)&lt;'Rent Roll'!$K$40,0,'Rent Roll'!$B$40*'Rent Roll'!$D$40*(1+'Rent Roll'!$F$40)^INT((BU$11-FK150)/12)/12),0)</f>
        <v/>
      </c>
      <c r="BV172" s="232">
        <f>IF(AND(BV$11&gt;=FL150,BV$11&lt;=FM150),IF((BV$11-FL150)&lt;'Rent Roll'!$K$40,0,'Rent Roll'!$B$40*'Rent Roll'!$D$40*(1+'Rent Roll'!$F$40)^INT((BV$11-FL150)/12)/12),0)</f>
        <v/>
      </c>
      <c r="BW172" s="232">
        <f>IF(AND(BW$11&gt;=FM150,BW$11&lt;=FN150),IF((BW$11-FM150)&lt;'Rent Roll'!$K$40,0,'Rent Roll'!$B$40*'Rent Roll'!$D$40*(1+'Rent Roll'!$F$40)^INT((BW$11-FM150)/12)/12),0)</f>
        <v/>
      </c>
      <c r="BX172" s="232">
        <f>IF(AND(BX$11&gt;=FN150,BX$11&lt;=FO150),IF((BX$11-FN150)&lt;'Rent Roll'!$K$40,0,'Rent Roll'!$B$40*'Rent Roll'!$D$40*(1+'Rent Roll'!$F$40)^INT((BX$11-FN150)/12)/12),0)</f>
        <v/>
      </c>
      <c r="BY172" s="232">
        <f>IF(AND(BY$11&gt;=FO150,BY$11&lt;=FP150),IF((BY$11-FO150)&lt;'Rent Roll'!$K$40,0,'Rent Roll'!$B$40*'Rent Roll'!$D$40*(1+'Rent Roll'!$F$40)^INT((BY$11-FO150)/12)/12),0)</f>
        <v/>
      </c>
      <c r="BZ172" s="232">
        <f>IF(AND(BZ$11&gt;=FP150,BZ$11&lt;=FQ150),IF((BZ$11-FP150)&lt;'Rent Roll'!$K$40,0,'Rent Roll'!$B$40*'Rent Roll'!$D$40*(1+'Rent Roll'!$F$40)^INT((BZ$11-FP150)/12)/12),0)</f>
        <v/>
      </c>
      <c r="CA172" s="232">
        <f>IF(AND(CA$11&gt;=FQ150,CA$11&lt;=FR150),IF((CA$11-FQ150)&lt;'Rent Roll'!$K$40,0,'Rent Roll'!$B$40*'Rent Roll'!$D$40*(1+'Rent Roll'!$F$40)^INT((CA$11-FQ150)/12)/12),0)</f>
        <v/>
      </c>
      <c r="CB172" s="232">
        <f>IF(AND(CB$11&gt;=FR150,CB$11&lt;=FS150),IF((CB$11-FR150)&lt;'Rent Roll'!$K$40,0,'Rent Roll'!$B$40*'Rent Roll'!$D$40*(1+'Rent Roll'!$F$40)^INT((CB$11-FR150)/12)/12),0)</f>
        <v/>
      </c>
      <c r="CC172" s="232">
        <f>IF(AND(CC$11&gt;=FS150,CC$11&lt;=FT150),IF((CC$11-FS150)&lt;'Rent Roll'!$K$40,0,'Rent Roll'!$B$40*'Rent Roll'!$D$40*(1+'Rent Roll'!$F$40)^INT((CC$11-FS150)/12)/12),0)</f>
        <v/>
      </c>
      <c r="CD172" s="232">
        <f>IF(AND(CD$11&gt;=FT150,CD$11&lt;=FU150),IF((CD$11-FT150)&lt;'Rent Roll'!$K$40,0,'Rent Roll'!$B$40*'Rent Roll'!$D$40*(1+'Rent Roll'!$F$40)^INT((CD$11-FT150)/12)/12),0)</f>
        <v/>
      </c>
      <c r="CE172" s="232">
        <f>IF(AND(CE$11&gt;=FU150,CE$11&lt;=FV150),IF((CE$11-FU150)&lt;'Rent Roll'!$K$40,0,'Rent Roll'!$B$40*'Rent Roll'!$D$40*(1+'Rent Roll'!$F$40)^INT((CE$11-FU150)/12)/12),0)</f>
        <v/>
      </c>
      <c r="CF172" s="232">
        <f>IF(AND(CF$11&gt;=FV150,CF$11&lt;=FW150),IF((CF$11-FV150)&lt;'Rent Roll'!$K$40,0,'Rent Roll'!$B$40*'Rent Roll'!$D$40*(1+'Rent Roll'!$F$40)^INT((CF$11-FV150)/12)/12),0)</f>
        <v/>
      </c>
      <c r="CG172" s="232">
        <f>IF(AND(CG$11&gt;=FW150,CG$11&lt;=FX150),IF((CG$11-FW150)&lt;'Rent Roll'!$K$40,0,'Rent Roll'!$B$40*'Rent Roll'!$D$40*(1+'Rent Roll'!$F$40)^INT((CG$11-FW150)/12)/12),0)</f>
        <v/>
      </c>
      <c r="CH172" s="232">
        <f>IF(AND(CH$11&gt;=FX150,CH$11&lt;=FY150),IF((CH$11-FX150)&lt;'Rent Roll'!$K$40,0,'Rent Roll'!$B$40*'Rent Roll'!$D$40*(1+'Rent Roll'!$F$40)^INT((CH$11-FX150)/12)/12),0)</f>
        <v/>
      </c>
      <c r="CI172" s="232">
        <f>IF(AND(CI$11&gt;=FY150,CI$11&lt;=FZ150),IF((CI$11-FY150)&lt;'Rent Roll'!$K$40,0,'Rent Roll'!$B$40*'Rent Roll'!$D$40*(1+'Rent Roll'!$F$40)^INT((CI$11-FY150)/12)/12),0)</f>
        <v/>
      </c>
      <c r="CJ172" s="232">
        <f>IF(AND(CJ$11&gt;=FZ150,CJ$11&lt;=GA150),IF((CJ$11-FZ150)&lt;'Rent Roll'!$K$40,0,'Rent Roll'!$B$40*'Rent Roll'!$D$40*(1+'Rent Roll'!$F$40)^INT((CJ$11-FZ150)/12)/12),0)</f>
        <v/>
      </c>
      <c r="CK172" s="232">
        <f>IF(AND(CK$11&gt;=GA150,CK$11&lt;=GB150),IF((CK$11-GA150)&lt;'Rent Roll'!$K$40,0,'Rent Roll'!$B$40*'Rent Roll'!$D$40*(1+'Rent Roll'!$F$40)^INT((CK$11-GA150)/12)/12),0)</f>
        <v/>
      </c>
      <c r="CL172" s="232">
        <f>IF(AND(CL$11&gt;=GB150,CL$11&lt;=GC150),IF((CL$11-GB150)&lt;'Rent Roll'!$K$40,0,'Rent Roll'!$B$40*'Rent Roll'!$D$40*(1+'Rent Roll'!$F$40)^INT((CL$11-GB150)/12)/12),0)</f>
        <v/>
      </c>
      <c r="CM172" s="232">
        <f>IF(AND(CM$11&gt;=GC150,CM$11&lt;=GD150),IF((CM$11-GC150)&lt;'Rent Roll'!$K$40,0,'Rent Roll'!$B$40*'Rent Roll'!$D$40*(1+'Rent Roll'!$F$40)^INT((CM$11-GC150)/12)/12),0)</f>
        <v/>
      </c>
      <c r="CN172" s="232">
        <f>IF(AND(CN$11&gt;=GD150,CN$11&lt;=GE150),IF((CN$11-GD150)&lt;'Rent Roll'!$K$40,0,'Rent Roll'!$B$40*'Rent Roll'!$D$40*(1+'Rent Roll'!$F$40)^INT((CN$11-GD150)/12)/12),0)</f>
        <v/>
      </c>
      <c r="CO172" s="232">
        <f>IF(AND(CO$11&gt;=GE150,CO$11&lt;=GF150),IF((CO$11-GE150)&lt;'Rent Roll'!$K$40,0,'Rent Roll'!$B$40*'Rent Roll'!$D$40*(1+'Rent Roll'!$F$40)^INT((CO$11-GE150)/12)/12),0)</f>
        <v/>
      </c>
      <c r="CP172" s="232">
        <f>IF(AND(CP$11&gt;=GF150,CP$11&lt;=GG150),IF((CP$11-GF150)&lt;'Rent Roll'!$K$40,0,'Rent Roll'!$B$40*'Rent Roll'!$D$40*(1+'Rent Roll'!$F$40)^INT((CP$11-GF150)/12)/12),0)</f>
        <v/>
      </c>
      <c r="CQ172" s="232">
        <f>IF(AND(CQ$11&gt;=GG150,CQ$11&lt;=GH150),IF((CQ$11-GG150)&lt;'Rent Roll'!$K$40,0,'Rent Roll'!$B$40*'Rent Roll'!$D$40*(1+'Rent Roll'!$F$40)^INT((CQ$11-GG150)/12)/12),0)</f>
        <v/>
      </c>
      <c r="CR172" s="232">
        <f>IF(AND(CR$11&gt;=GH150,CR$11&lt;=GI150),IF((CR$11-GH150)&lt;'Rent Roll'!$K$40,0,'Rent Roll'!$B$40*'Rent Roll'!$D$40*(1+'Rent Roll'!$F$40)^INT((CR$11-GH150)/12)/12),0)</f>
        <v/>
      </c>
      <c r="CS172" s="232">
        <f>IF(AND(CS$11&gt;=GI150,CS$11&lt;=GJ150),IF((CS$11-GI150)&lt;'Rent Roll'!$K$40,0,'Rent Roll'!$B$40*'Rent Roll'!$D$40*(1+'Rent Roll'!$F$40)^INT((CS$11-GI150)/12)/12),0)</f>
        <v/>
      </c>
      <c r="CT172" s="232">
        <f>IF(AND(CT$11&gt;=GJ150,CT$11&lt;=GK150),IF((CT$11-GJ150)&lt;'Rent Roll'!$K$40,0,'Rent Roll'!$B$40*'Rent Roll'!$D$40*(1+'Rent Roll'!$F$40)^INT((CT$11-GJ150)/12)/12),0)</f>
        <v/>
      </c>
      <c r="CU172" s="232">
        <f>IF(AND(CU$11&gt;=GK150,CU$11&lt;=GL150),IF((CU$11-GK150)&lt;'Rent Roll'!$K$40,0,'Rent Roll'!$B$40*'Rent Roll'!$D$40*(1+'Rent Roll'!$F$40)^INT((CU$11-GK150)/12)/12),0)</f>
        <v/>
      </c>
      <c r="CV172" s="232">
        <f>IF(AND(CV$11&gt;=GL150,CV$11&lt;=GM150),IF((CV$11-GL150)&lt;'Rent Roll'!$K$40,0,'Rent Roll'!$B$40*'Rent Roll'!$D$40*(1+'Rent Roll'!$F$40)^INT((CV$11-GL150)/12)/12),0)</f>
        <v/>
      </c>
      <c r="CW172" s="232">
        <f>IF(AND(CW$11&gt;=GM150,CW$11&lt;=GN150),IF((CW$11-GM150)&lt;'Rent Roll'!$K$40,0,'Rent Roll'!$B$40*'Rent Roll'!$D$40*(1+'Rent Roll'!$F$40)^INT((CW$11-GM150)/12)/12),0)</f>
        <v/>
      </c>
      <c r="CX172" s="232">
        <f>IF(AND(CX$11&gt;=GN150,CX$11&lt;=GO150),IF((CX$11-GN150)&lt;'Rent Roll'!$K$40,0,'Rent Roll'!$B$40*'Rent Roll'!$D$40*(1+'Rent Roll'!$F$40)^INT((CX$11-GN150)/12)/12),0)</f>
        <v/>
      </c>
      <c r="CY172" s="232">
        <f>IF(AND(CY$11&gt;=GO150,CY$11&lt;=GP150),IF((CY$11-GO150)&lt;'Rent Roll'!$K$40,0,'Rent Roll'!$B$40*'Rent Roll'!$D$40*(1+'Rent Roll'!$F$40)^INT((CY$11-GO150)/12)/12),0)</f>
        <v/>
      </c>
      <c r="CZ172" s="232">
        <f>IF(AND(CZ$11&gt;=GP150,CZ$11&lt;=GQ150),IF((CZ$11-GP150)&lt;'Rent Roll'!$K$40,0,'Rent Roll'!$B$40*'Rent Roll'!$D$40*(1+'Rent Roll'!$F$40)^INT((CZ$11-GP150)/12)/12),0)</f>
        <v/>
      </c>
      <c r="DA172" s="232">
        <f>IF(AND(DA$11&gt;=GQ150,DA$11&lt;=GR150),IF((DA$11-GQ150)&lt;'Rent Roll'!$K$40,0,'Rent Roll'!$B$40*'Rent Roll'!$D$40*(1+'Rent Roll'!$F$40)^INT((DA$11-GQ150)/12)/12),0)</f>
        <v/>
      </c>
      <c r="DB172" s="232">
        <f>IF(AND(DB$11&gt;=GR150,DB$11&lt;=GS150),IF((DB$11-GR150)&lt;'Rent Roll'!$K$40,0,'Rent Roll'!$B$40*'Rent Roll'!$D$40*(1+'Rent Roll'!$F$40)^INT((DB$11-GR150)/12)/12),0)</f>
        <v/>
      </c>
      <c r="DC172" s="232">
        <f>IF(AND(DC$11&gt;=GS150,DC$11&lt;=GT150),IF((DC$11-GS150)&lt;'Rent Roll'!$K$40,0,'Rent Roll'!$B$40*'Rent Roll'!$D$40*(1+'Rent Roll'!$F$40)^INT((DC$11-GS150)/12)/12),0)</f>
        <v/>
      </c>
      <c r="DD172" s="232">
        <f>IF(AND(DD$11&gt;=GT150,DD$11&lt;=GU150),IF((DD$11-GT150)&lt;'Rent Roll'!$K$40,0,'Rent Roll'!$B$40*'Rent Roll'!$D$40*(1+'Rent Roll'!$F$40)^INT((DD$11-GT150)/12)/12),0)</f>
        <v/>
      </c>
      <c r="DE172" s="232">
        <f>IF(AND(DE$11&gt;=GU150,DE$11&lt;=GV150),IF((DE$11-GU150)&lt;'Rent Roll'!$K$40,0,'Rent Roll'!$B$40*'Rent Roll'!$D$40*(1+'Rent Roll'!$F$40)^INT((DE$11-GU150)/12)/12),0)</f>
        <v/>
      </c>
      <c r="DF172" s="232">
        <f>IF(AND(DF$11&gt;=GV150,DF$11&lt;=GW150),IF((DF$11-GV150)&lt;'Rent Roll'!$K$40,0,'Rent Roll'!$B$40*'Rent Roll'!$D$40*(1+'Rent Roll'!$F$40)^INT((DF$11-GV150)/12)/12),0)</f>
        <v/>
      </c>
      <c r="DG172" s="232">
        <f>IF(AND(DG$11&gt;=GW150,DG$11&lt;=GX150),IF((DG$11-GW150)&lt;'Rent Roll'!$K$40,0,'Rent Roll'!$B$40*'Rent Roll'!$D$40*(1+'Rent Roll'!$F$40)^INT((DG$11-GW150)/12)/12),0)</f>
        <v/>
      </c>
      <c r="DH172" s="232">
        <f>IF(AND(DH$11&gt;=GX150,DH$11&lt;=GY150),IF((DH$11-GX150)&lt;'Rent Roll'!$K$40,0,'Rent Roll'!$B$40*'Rent Roll'!$D$40*(1+'Rent Roll'!$F$40)^INT((DH$11-GX150)/12)/12),0)</f>
        <v/>
      </c>
      <c r="DI172" s="232">
        <f>IF(AND(DI$11&gt;=GY150,DI$11&lt;=GZ150),IF((DI$11-GY150)&lt;'Rent Roll'!$K$40,0,'Rent Roll'!$B$40*'Rent Roll'!$D$40*(1+'Rent Roll'!$F$40)^INT((DI$11-GY150)/12)/12),0)</f>
        <v/>
      </c>
      <c r="DJ172" s="232">
        <f>IF(AND(DJ$11&gt;=GZ150,DJ$11&lt;=HA150),IF((DJ$11-GZ150)&lt;'Rent Roll'!$K$40,0,'Rent Roll'!$B$40*'Rent Roll'!$D$40*(1+'Rent Roll'!$F$40)^INT((DJ$11-GZ150)/12)/12),0)</f>
        <v/>
      </c>
      <c r="DK172" s="232">
        <f>IF(AND(DK$11&gt;=HA150,DK$11&lt;=HB150),IF((DK$11-HA150)&lt;'Rent Roll'!$K$40,0,'Rent Roll'!$B$40*'Rent Roll'!$D$40*(1+'Rent Roll'!$F$40)^INT((DK$11-HA150)/12)/12),0)</f>
        <v/>
      </c>
      <c r="DL172" s="232">
        <f>IF(AND(DL$11&gt;=HB150,DL$11&lt;=HC150),IF((DL$11-HB150)&lt;'Rent Roll'!$K$40,0,'Rent Roll'!$B$40*'Rent Roll'!$D$40*(1+'Rent Roll'!$F$40)^INT((DL$11-HB150)/12)/12),0)</f>
        <v/>
      </c>
      <c r="DM172" s="232">
        <f>IF(AND(DM$11&gt;=HC150,DM$11&lt;=HD150),IF((DM$11-HC150)&lt;'Rent Roll'!$K$40,0,'Rent Roll'!$B$40*'Rent Roll'!$D$40*(1+'Rent Roll'!$F$40)^INT((DM$11-HC150)/12)/12),0)</f>
        <v/>
      </c>
      <c r="DN172" s="232">
        <f>IF(AND(DN$11&gt;=HD150,DN$11&lt;=HE150),IF((DN$11-HD150)&lt;'Rent Roll'!$K$40,0,'Rent Roll'!$B$40*'Rent Roll'!$D$40*(1+'Rent Roll'!$F$40)^INT((DN$11-HD150)/12)/12),0)</f>
        <v/>
      </c>
      <c r="DO172" s="232">
        <f>IF(AND(DO$11&gt;=HE150,DO$11&lt;=HF150),IF((DO$11-HE150)&lt;'Rent Roll'!$K$40,0,'Rent Roll'!$B$40*'Rent Roll'!$D$40*(1+'Rent Roll'!$F$40)^INT((DO$11-HE150)/12)/12),0)</f>
        <v/>
      </c>
      <c r="DP172" s="232">
        <f>IF(AND(DP$11&gt;=HF150,DP$11&lt;=HG150),IF((DP$11-HF150)&lt;'Rent Roll'!$K$40,0,'Rent Roll'!$B$40*'Rent Roll'!$D$40*(1+'Rent Roll'!$F$40)^INT((DP$11-HF150)/12)/12),0)</f>
        <v/>
      </c>
      <c r="DQ172" s="232">
        <f>IF(AND(DQ$11&gt;=HG150,DQ$11&lt;=HH150),IF((DQ$11-HG150)&lt;'Rent Roll'!$K$40,0,'Rent Roll'!$B$40*'Rent Roll'!$D$40*(1+'Rent Roll'!$F$40)^INT((DQ$11-HG150)/12)/12),0)</f>
        <v/>
      </c>
      <c r="DR172" s="232">
        <f>IF(AND(DR$11&gt;=HH150,DR$11&lt;=HI150),IF((DR$11-HH150)&lt;'Rent Roll'!$K$40,0,'Rent Roll'!$B$40*'Rent Roll'!$D$40*(1+'Rent Roll'!$F$40)^INT((DR$11-HH150)/12)/12),0)</f>
        <v/>
      </c>
      <c r="DS172" s="232">
        <f>IF(AND(DS$11&gt;=HI150,DS$11&lt;=HJ150),IF((DS$11-HI150)&lt;'Rent Roll'!$K$40,0,'Rent Roll'!$B$40*'Rent Roll'!$D$40*(1+'Rent Roll'!$F$40)^INT((DS$11-HI150)/12)/12),0)</f>
        <v/>
      </c>
      <c r="DT172" s="232">
        <f>IF(AND(DT$11&gt;=HJ150,DT$11&lt;=HK150),IF((DT$11-HJ150)&lt;'Rent Roll'!$K$40,0,'Rent Roll'!$B$40*'Rent Roll'!$D$40*(1+'Rent Roll'!$F$40)^INT((DT$11-HJ150)/12)/12),0)</f>
        <v/>
      </c>
      <c r="DV172">
        <f>DV150&amp;" Rent"</f>
        <v/>
      </c>
    </row>
    <row r="173" ht="15" customHeight="1" s="148">
      <c r="D173" s="127">
        <f>IF(AND(D$11&gt;=FB150,D$11&lt;=FC150),'Rent Roll'!$B$40,0)</f>
        <v/>
      </c>
      <c r="E173" s="127">
        <f>IF(AND(E$11&gt;=FB150,E$11&lt;=FC150),'Rent Roll'!$B$40,0)</f>
        <v/>
      </c>
      <c r="F173" s="127">
        <f>IF(AND(F$11&gt;=FB150,F$11&lt;=FC150),'Rent Roll'!$B$40,0)</f>
        <v/>
      </c>
      <c r="G173" s="127">
        <f>IF(AND(G$11&gt;=FB150,G$11&lt;=FC150),'Rent Roll'!$B$40,0)</f>
        <v/>
      </c>
      <c r="H173" s="127">
        <f>IF(AND(H$11&gt;=FB150,H$11&lt;=FC150),'Rent Roll'!$B$40,0)</f>
        <v/>
      </c>
      <c r="I173" s="127">
        <f>IF(AND(I$11&gt;=FB150,I$11&lt;=FC150),'Rent Roll'!$B$40,0)</f>
        <v/>
      </c>
      <c r="J173" s="127">
        <f>IF(AND(J$11&gt;=FB150,J$11&lt;=FC150),'Rent Roll'!$B$40,0)</f>
        <v/>
      </c>
      <c r="K173" s="127">
        <f>IF(AND(K$11&gt;=FB150,K$11&lt;=FC150),'Rent Roll'!$B$40,0)</f>
        <v/>
      </c>
      <c r="L173" s="127">
        <f>IF(AND(L$11&gt;=FB150,L$11&lt;=FC150),'Rent Roll'!$B$40,0)</f>
        <v/>
      </c>
      <c r="M173" s="127">
        <f>IF(AND(M$11&gt;=FB150,M$11&lt;=FC150),'Rent Roll'!$B$40,0)</f>
        <v/>
      </c>
      <c r="N173" s="127">
        <f>IF(AND(N$11&gt;=FB150,N$11&lt;=FC150),'Rent Roll'!$B$40,0)</f>
        <v/>
      </c>
      <c r="O173" s="127">
        <f>IF(AND(O$11&gt;=FB150,O$11&lt;=FC150),'Rent Roll'!$B$40,0)</f>
        <v/>
      </c>
      <c r="P173" s="127">
        <f>IF(AND(P$11&gt;=FB150,P$11&lt;=FC150),'Rent Roll'!$B$40,0)</f>
        <v/>
      </c>
      <c r="Q173" s="127">
        <f>IF(AND(Q$11&gt;=FB150,Q$11&lt;=FC150),'Rent Roll'!$B$40,0)</f>
        <v/>
      </c>
      <c r="R173" s="127">
        <f>IF(AND(R$11&gt;=FB150,R$11&lt;=FC150),'Rent Roll'!$B$40,0)</f>
        <v/>
      </c>
      <c r="S173" s="127">
        <f>IF(AND(S$11&gt;=FB150,S$11&lt;=FC150),'Rent Roll'!$B$40,0)</f>
        <v/>
      </c>
      <c r="T173" s="127">
        <f>IF(AND(T$11&gt;=FB150,T$11&lt;=FC150),'Rent Roll'!$B$40,0)</f>
        <v/>
      </c>
      <c r="U173" s="127">
        <f>IF(AND(U$11&gt;=FB150,U$11&lt;=FC150),'Rent Roll'!$B$40,0)</f>
        <v/>
      </c>
      <c r="V173" s="127">
        <f>IF(AND(V$11&gt;=FB150,V$11&lt;=FC150),'Rent Roll'!$B$40,0)</f>
        <v/>
      </c>
      <c r="W173" s="127">
        <f>IF(AND(W$11&gt;=FB150,W$11&lt;=FC150),'Rent Roll'!$B$40,0)</f>
        <v/>
      </c>
      <c r="X173" s="127">
        <f>IF(AND(X$11&gt;=FB150,X$11&lt;=FC150),'Rent Roll'!$B$40,0)</f>
        <v/>
      </c>
      <c r="Y173" s="127">
        <f>IF(AND(Y$11&gt;=FB150,Y$11&lt;=FC150),'Rent Roll'!$B$40,0)</f>
        <v/>
      </c>
      <c r="Z173" s="127">
        <f>IF(AND(Z$11&gt;=FB150,Z$11&lt;=FC150),'Rent Roll'!$B$40,0)</f>
        <v/>
      </c>
      <c r="AA173" s="127">
        <f>IF(AND(AA$11&gt;=FB150,AA$11&lt;=FC150),'Rent Roll'!$B$40,0)</f>
        <v/>
      </c>
      <c r="AB173" s="127">
        <f>IF(AND(AB$11&gt;=FB150,AB$11&lt;=FC150),'Rent Roll'!$B$40,0)</f>
        <v/>
      </c>
      <c r="AC173" s="127">
        <f>IF(AND(AC$11&gt;=FB150,AC$11&lt;=FC150),'Rent Roll'!$B$40,0)</f>
        <v/>
      </c>
      <c r="AD173" s="127">
        <f>IF(AND(AD$11&gt;=FB150,AD$11&lt;=FC150),'Rent Roll'!$B$40,0)</f>
        <v/>
      </c>
      <c r="AE173" s="127">
        <f>IF(AND(AE$11&gt;=FB150,AE$11&lt;=FC150),'Rent Roll'!$B$40,0)</f>
        <v/>
      </c>
      <c r="AF173" s="127">
        <f>IF(AND(AF$11&gt;=FB150,AF$11&lt;=FC150),'Rent Roll'!$B$40,0)</f>
        <v/>
      </c>
      <c r="AG173" s="127">
        <f>IF(AND(AG$11&gt;=FB150,AG$11&lt;=FC150),'Rent Roll'!$B$40,0)</f>
        <v/>
      </c>
      <c r="AH173" s="127">
        <f>IF(AND(AH$11&gt;=FB150,AH$11&lt;=FC150),'Rent Roll'!$B$40,0)</f>
        <v/>
      </c>
      <c r="AI173" s="127">
        <f>IF(AND(AI$11&gt;=FB150,AI$11&lt;=FC150),'Rent Roll'!$B$40,0)</f>
        <v/>
      </c>
      <c r="AJ173" s="127">
        <f>IF(AND(AJ$11&gt;=FB150,AJ$11&lt;=FC150),'Rent Roll'!$B$40,0)</f>
        <v/>
      </c>
      <c r="AK173" s="127">
        <f>IF(AND(AK$11&gt;=FB150,AK$11&lt;=FC150),'Rent Roll'!$B$40,0)</f>
        <v/>
      </c>
      <c r="AL173" s="127">
        <f>IF(AND(AL$11&gt;=FB150,AL$11&lt;=FC150),'Rent Roll'!$B$40,0)</f>
        <v/>
      </c>
      <c r="AM173" s="127">
        <f>IF(AND(AM$11&gt;=FB150,AM$11&lt;=FC150),'Rent Roll'!$B$40,0)</f>
        <v/>
      </c>
      <c r="AN173" s="127">
        <f>IF(AND(AN$11&gt;=FB150,AN$11&lt;=FC150),'Rent Roll'!$B$40,0)</f>
        <v/>
      </c>
      <c r="AO173" s="127">
        <f>IF(AND(AO$11&gt;=FB150,AO$11&lt;=FC150),'Rent Roll'!$B$40,0)</f>
        <v/>
      </c>
      <c r="AP173" s="127">
        <f>IF(AND(AP$11&gt;=FB150,AP$11&lt;=FC150),'Rent Roll'!$B$40,0)</f>
        <v/>
      </c>
      <c r="AQ173" s="127">
        <f>IF(AND(AQ$11&gt;=FB150,AQ$11&lt;=FC150),'Rent Roll'!$B$40,0)</f>
        <v/>
      </c>
      <c r="AR173" s="127">
        <f>IF(AND(AR$11&gt;=FB150,AR$11&lt;=FC150),'Rent Roll'!$B$40,0)</f>
        <v/>
      </c>
      <c r="AS173" s="127">
        <f>IF(AND(AS$11&gt;=FB150,AS$11&lt;=FC150),'Rent Roll'!$B$40,0)</f>
        <v/>
      </c>
      <c r="AT173" s="127">
        <f>IF(AND(AT$11&gt;=FB150,AT$11&lt;=FC150),'Rent Roll'!$B$40,0)</f>
        <v/>
      </c>
      <c r="AU173" s="127">
        <f>IF(AND(AU$11&gt;=FB150,AU$11&lt;=FC150),'Rent Roll'!$B$40,0)</f>
        <v/>
      </c>
      <c r="AV173" s="127">
        <f>IF(AND(AV$11&gt;=FB150,AV$11&lt;=FC150),'Rent Roll'!$B$40,0)</f>
        <v/>
      </c>
      <c r="AW173" s="127">
        <f>IF(AND(AW$11&gt;=FB150,AW$11&lt;=FC150),'Rent Roll'!$B$40,0)</f>
        <v/>
      </c>
      <c r="AX173" s="127">
        <f>IF(AND(AX$11&gt;=FB150,AX$11&lt;=FC150),'Rent Roll'!$B$40,0)</f>
        <v/>
      </c>
      <c r="AY173" s="127">
        <f>IF(AND(AY$11&gt;=FB150,AY$11&lt;=FC150),'Rent Roll'!$B$40,0)</f>
        <v/>
      </c>
      <c r="AZ173" s="127">
        <f>IF(AND(AZ$11&gt;=FB150,AZ$11&lt;=FC150),'Rent Roll'!$B$40,0)</f>
        <v/>
      </c>
      <c r="BA173" s="127">
        <f>IF(AND(BA$11&gt;=FB150,BA$11&lt;=FC150),'Rent Roll'!$B$40,0)</f>
        <v/>
      </c>
      <c r="BB173" s="127">
        <f>IF(AND(BB$11&gt;=FB150,BB$11&lt;=FC150),'Rent Roll'!$B$40,0)</f>
        <v/>
      </c>
      <c r="BC173" s="127">
        <f>IF(AND(BC$11&gt;=FB150,BC$11&lt;=FC150),'Rent Roll'!$B$40,0)</f>
        <v/>
      </c>
      <c r="BD173" s="127">
        <f>IF(AND(BD$11&gt;=FB150,BD$11&lt;=FC150),'Rent Roll'!$B$40,0)</f>
        <v/>
      </c>
      <c r="BE173" s="127">
        <f>IF(AND(BE$11&gt;=FB150,BE$11&lt;=FC150),'Rent Roll'!$B$40,0)</f>
        <v/>
      </c>
      <c r="BF173" s="127">
        <f>IF(AND(BF$11&gt;=FB150,BF$11&lt;=FC150),'Rent Roll'!$B$40,0)</f>
        <v/>
      </c>
      <c r="BG173" s="127">
        <f>IF(AND(BG$11&gt;=FB150,BG$11&lt;=FC150),'Rent Roll'!$B$40,0)</f>
        <v/>
      </c>
      <c r="BH173" s="127">
        <f>IF(AND(BH$11&gt;=FB150,BH$11&lt;=FC150),'Rent Roll'!$B$40,0)</f>
        <v/>
      </c>
      <c r="BI173" s="127">
        <f>IF(AND(BI$11&gt;=FB150,BI$11&lt;=FC150),'Rent Roll'!$B$40,0)</f>
        <v/>
      </c>
      <c r="BJ173" s="127">
        <f>IF(AND(BJ$11&gt;=FB150,BJ$11&lt;=FC150),'Rent Roll'!$B$40,0)</f>
        <v/>
      </c>
      <c r="BK173" s="127">
        <f>IF(AND(BK$11&gt;=FB150,BK$11&lt;=FC150),'Rent Roll'!$B$40,0)</f>
        <v/>
      </c>
      <c r="BL173" s="127">
        <f>IF(AND(BL$11&gt;=FB150,BL$11&lt;=FC150),'Rent Roll'!$B$40,0)</f>
        <v/>
      </c>
      <c r="BM173" s="127">
        <f>IF(AND(BM$11&gt;=FC150,BM$11&lt;=FD150),'Rent Roll'!$B$40,0)</f>
        <v/>
      </c>
      <c r="BN173" s="127">
        <f>IF(AND(BN$11&gt;=FD150,BN$11&lt;=FE150),'Rent Roll'!$B$40,0)</f>
        <v/>
      </c>
      <c r="BO173" s="127">
        <f>IF(AND(BO$11&gt;=FE150,BO$11&lt;=FF150),'Rent Roll'!$B$40,0)</f>
        <v/>
      </c>
      <c r="BP173" s="127">
        <f>IF(AND(BP$11&gt;=FF150,BP$11&lt;=FG150),'Rent Roll'!$B$40,0)</f>
        <v/>
      </c>
      <c r="BQ173" s="127">
        <f>IF(AND(BQ$11&gt;=FG150,BQ$11&lt;=FH150),'Rent Roll'!$B$40,0)</f>
        <v/>
      </c>
      <c r="BR173" s="127">
        <f>IF(AND(BR$11&gt;=FH150,BR$11&lt;=FI150),'Rent Roll'!$B$40,0)</f>
        <v/>
      </c>
      <c r="BS173" s="127">
        <f>IF(AND(BS$11&gt;=FI150,BS$11&lt;=FJ150),'Rent Roll'!$B$40,0)</f>
        <v/>
      </c>
      <c r="BT173" s="127">
        <f>IF(AND(BT$11&gt;=FJ150,BT$11&lt;=FK150),'Rent Roll'!$B$40,0)</f>
        <v/>
      </c>
      <c r="BU173" s="127">
        <f>IF(AND(BU$11&gt;=FK150,BU$11&lt;=FL150),'Rent Roll'!$B$40,0)</f>
        <v/>
      </c>
      <c r="BV173" s="127">
        <f>IF(AND(BV$11&gt;=FL150,BV$11&lt;=FM150),'Rent Roll'!$B$40,0)</f>
        <v/>
      </c>
      <c r="BW173" s="127">
        <f>IF(AND(BW$11&gt;=FM150,BW$11&lt;=FN150),'Rent Roll'!$B$40,0)</f>
        <v/>
      </c>
      <c r="BX173" s="127">
        <f>IF(AND(BX$11&gt;=FN150,BX$11&lt;=FO150),'Rent Roll'!$B$40,0)</f>
        <v/>
      </c>
      <c r="BY173" s="127">
        <f>IF(AND(BY$11&gt;=FO150,BY$11&lt;=FP150),'Rent Roll'!$B$40,0)</f>
        <v/>
      </c>
      <c r="BZ173" s="127">
        <f>IF(AND(BZ$11&gt;=FP150,BZ$11&lt;=FQ150),'Rent Roll'!$B$40,0)</f>
        <v/>
      </c>
      <c r="CA173" s="127">
        <f>IF(AND(CA$11&gt;=FQ150,CA$11&lt;=FR150),'Rent Roll'!$B$40,0)</f>
        <v/>
      </c>
      <c r="CB173" s="127">
        <f>IF(AND(CB$11&gt;=FR150,CB$11&lt;=FS150),'Rent Roll'!$B$40,0)</f>
        <v/>
      </c>
      <c r="CC173" s="127">
        <f>IF(AND(CC$11&gt;=FS150,CC$11&lt;=FT150),'Rent Roll'!$B$40,0)</f>
        <v/>
      </c>
      <c r="CD173" s="127">
        <f>IF(AND(CD$11&gt;=FT150,CD$11&lt;=FU150),'Rent Roll'!$B$40,0)</f>
        <v/>
      </c>
      <c r="CE173" s="127">
        <f>IF(AND(CE$11&gt;=FU150,CE$11&lt;=FV150),'Rent Roll'!$B$40,0)</f>
        <v/>
      </c>
      <c r="CF173" s="127">
        <f>IF(AND(CF$11&gt;=FV150,CF$11&lt;=FW150),'Rent Roll'!$B$40,0)</f>
        <v/>
      </c>
      <c r="CG173" s="127">
        <f>IF(AND(CG$11&gt;=FW150,CG$11&lt;=FX150),'Rent Roll'!$B$40,0)</f>
        <v/>
      </c>
      <c r="CH173" s="127">
        <f>IF(AND(CH$11&gt;=FX150,CH$11&lt;=FY150),'Rent Roll'!$B$40,0)</f>
        <v/>
      </c>
      <c r="CI173" s="127">
        <f>IF(AND(CI$11&gt;=FY150,CI$11&lt;=FZ150),'Rent Roll'!$B$40,0)</f>
        <v/>
      </c>
      <c r="CJ173" s="127">
        <f>IF(AND(CJ$11&gt;=FZ150,CJ$11&lt;=GA150),'Rent Roll'!$B$40,0)</f>
        <v/>
      </c>
      <c r="CK173" s="127">
        <f>IF(AND(CK$11&gt;=GA150,CK$11&lt;=GB150),'Rent Roll'!$B$40,0)</f>
        <v/>
      </c>
      <c r="CL173" s="127">
        <f>IF(AND(CL$11&gt;=GB150,CL$11&lt;=GC150),'Rent Roll'!$B$40,0)</f>
        <v/>
      </c>
      <c r="CM173" s="127">
        <f>IF(AND(CM$11&gt;=GC150,CM$11&lt;=GD150),'Rent Roll'!$B$40,0)</f>
        <v/>
      </c>
      <c r="CN173" s="127">
        <f>IF(AND(CN$11&gt;=GD150,CN$11&lt;=GE150),'Rent Roll'!$B$40,0)</f>
        <v/>
      </c>
      <c r="CO173" s="127">
        <f>IF(AND(CO$11&gt;=GE150,CO$11&lt;=GF150),'Rent Roll'!$B$40,0)</f>
        <v/>
      </c>
      <c r="CP173" s="127">
        <f>IF(AND(CP$11&gt;=GF150,CP$11&lt;=GG150),'Rent Roll'!$B$40,0)</f>
        <v/>
      </c>
      <c r="CQ173" s="127">
        <f>IF(AND(CQ$11&gt;=GG150,CQ$11&lt;=GH150),'Rent Roll'!$B$40,0)</f>
        <v/>
      </c>
      <c r="CR173" s="127">
        <f>IF(AND(CR$11&gt;=GH150,CR$11&lt;=GI150),'Rent Roll'!$B$40,0)</f>
        <v/>
      </c>
      <c r="CS173" s="127">
        <f>IF(AND(CS$11&gt;=GI150,CS$11&lt;=GJ150),'Rent Roll'!$B$40,0)</f>
        <v/>
      </c>
      <c r="CT173" s="127">
        <f>IF(AND(CT$11&gt;=GJ150,CT$11&lt;=GK150),'Rent Roll'!$B$40,0)</f>
        <v/>
      </c>
      <c r="CU173" s="127">
        <f>IF(AND(CU$11&gt;=GK150,CU$11&lt;=GL150),'Rent Roll'!$B$40,0)</f>
        <v/>
      </c>
      <c r="CV173" s="127">
        <f>IF(AND(CV$11&gt;=GL150,CV$11&lt;=GM150),'Rent Roll'!$B$40,0)</f>
        <v/>
      </c>
      <c r="CW173" s="127">
        <f>IF(AND(CW$11&gt;=GM150,CW$11&lt;=GN150),'Rent Roll'!$B$40,0)</f>
        <v/>
      </c>
      <c r="CX173" s="127">
        <f>IF(AND(CX$11&gt;=GN150,CX$11&lt;=GO150),'Rent Roll'!$B$40,0)</f>
        <v/>
      </c>
      <c r="CY173" s="127">
        <f>IF(AND(CY$11&gt;=GO150,CY$11&lt;=GP150),'Rent Roll'!$B$40,0)</f>
        <v/>
      </c>
      <c r="CZ173" s="127">
        <f>IF(AND(CZ$11&gt;=GP150,CZ$11&lt;=GQ150),'Rent Roll'!$B$40,0)</f>
        <v/>
      </c>
      <c r="DA173" s="127">
        <f>IF(AND(DA$11&gt;=GQ150,DA$11&lt;=GR150),'Rent Roll'!$B$40,0)</f>
        <v/>
      </c>
      <c r="DB173" s="127">
        <f>IF(AND(DB$11&gt;=GR150,DB$11&lt;=GS150),'Rent Roll'!$B$40,0)</f>
        <v/>
      </c>
      <c r="DC173" s="127">
        <f>IF(AND(DC$11&gt;=GS150,DC$11&lt;=GT150),'Rent Roll'!$B$40,0)</f>
        <v/>
      </c>
      <c r="DD173" s="127">
        <f>IF(AND(DD$11&gt;=GT150,DD$11&lt;=GU150),'Rent Roll'!$B$40,0)</f>
        <v/>
      </c>
      <c r="DE173" s="127">
        <f>IF(AND(DE$11&gt;=GU150,DE$11&lt;=GV150),'Rent Roll'!$B$40,0)</f>
        <v/>
      </c>
      <c r="DF173" s="127">
        <f>IF(AND(DF$11&gt;=GV150,DF$11&lt;=GW150),'Rent Roll'!$B$40,0)</f>
        <v/>
      </c>
      <c r="DG173" s="127">
        <f>IF(AND(DG$11&gt;=GW150,DG$11&lt;=GX150),'Rent Roll'!$B$40,0)</f>
        <v/>
      </c>
      <c r="DH173" s="127">
        <f>IF(AND(DH$11&gt;=GX150,DH$11&lt;=GY150),'Rent Roll'!$B$40,0)</f>
        <v/>
      </c>
      <c r="DI173" s="127">
        <f>IF(AND(DI$11&gt;=GY150,DI$11&lt;=GZ150),'Rent Roll'!$B$40,0)</f>
        <v/>
      </c>
      <c r="DJ173" s="127">
        <f>IF(AND(DJ$11&gt;=GZ150,DJ$11&lt;=HA150),'Rent Roll'!$B$40,0)</f>
        <v/>
      </c>
      <c r="DK173" s="127">
        <f>IF(AND(DK$11&gt;=HA150,DK$11&lt;=HB150),'Rent Roll'!$B$40,0)</f>
        <v/>
      </c>
      <c r="DL173" s="127">
        <f>IF(AND(DL$11&gt;=HB150,DL$11&lt;=HC150),'Rent Roll'!$B$40,0)</f>
        <v/>
      </c>
      <c r="DM173" s="127">
        <f>IF(AND(DM$11&gt;=HC150,DM$11&lt;=HD150),'Rent Roll'!$B$40,0)</f>
        <v/>
      </c>
      <c r="DN173" s="127">
        <f>IF(AND(DN$11&gt;=HD150,DN$11&lt;=HE150),'Rent Roll'!$B$40,0)</f>
        <v/>
      </c>
      <c r="DO173" s="127">
        <f>IF(AND(DO$11&gt;=HE150,DO$11&lt;=HF150),'Rent Roll'!$B$40,0)</f>
        <v/>
      </c>
      <c r="DP173" s="127">
        <f>IF(AND(DP$11&gt;=HF150,DP$11&lt;=HG150),'Rent Roll'!$B$40,0)</f>
        <v/>
      </c>
      <c r="DQ173" s="127">
        <f>IF(AND(DQ$11&gt;=HG150,DQ$11&lt;=HH150),'Rent Roll'!$B$40,0)</f>
        <v/>
      </c>
      <c r="DR173" s="127">
        <f>IF(AND(DR$11&gt;=HH150,DR$11&lt;=HI150),'Rent Roll'!$B$40,0)</f>
        <v/>
      </c>
      <c r="DS173" s="127">
        <f>IF(AND(DS$11&gt;=HI150,DS$11&lt;=HJ150),'Rent Roll'!$B$40,0)</f>
        <v/>
      </c>
      <c r="DT173" s="127">
        <f>IF(AND(DT$11&gt;=HJ150,DT$11&lt;=HK150),'Rent Roll'!$B$40,0)</f>
        <v/>
      </c>
      <c r="DV173">
        <f>DV150&amp;" ActiveSF"</f>
        <v/>
      </c>
    </row>
    <row r="181" ht="15" customHeight="1" s="148">
      <c r="A181" t="inlineStr">
        <is>
          <t>Acq Begin Bal</t>
        </is>
      </c>
      <c r="D181" s="232">
        <f>0</f>
        <v/>
      </c>
      <c r="E181" s="232">
        <f>D$186</f>
        <v/>
      </c>
      <c r="F181" s="232">
        <f>E$186</f>
        <v/>
      </c>
      <c r="G181" s="232">
        <f>F$186</f>
        <v/>
      </c>
      <c r="H181" s="232">
        <f>G$186</f>
        <v/>
      </c>
      <c r="I181" s="232">
        <f>H$186</f>
        <v/>
      </c>
      <c r="J181" s="232">
        <f>I$186</f>
        <v/>
      </c>
      <c r="K181" s="232">
        <f>J$186</f>
        <v/>
      </c>
      <c r="L181" s="232">
        <f>K$186</f>
        <v/>
      </c>
      <c r="M181" s="232">
        <f>L$186</f>
        <v/>
      </c>
      <c r="N181" s="232">
        <f>M$186</f>
        <v/>
      </c>
      <c r="O181" s="232">
        <f>N$186</f>
        <v/>
      </c>
      <c r="P181" s="232">
        <f>O$186</f>
        <v/>
      </c>
      <c r="Q181" s="232">
        <f>P$186</f>
        <v/>
      </c>
      <c r="R181" s="232">
        <f>Q$186</f>
        <v/>
      </c>
      <c r="S181" s="232">
        <f>R$186</f>
        <v/>
      </c>
      <c r="T181" s="232">
        <f>S$186</f>
        <v/>
      </c>
      <c r="U181" s="232">
        <f>T$186</f>
        <v/>
      </c>
      <c r="V181" s="232">
        <f>U$186</f>
        <v/>
      </c>
      <c r="W181" s="232">
        <f>V$186</f>
        <v/>
      </c>
      <c r="X181" s="232">
        <f>W$186</f>
        <v/>
      </c>
      <c r="Y181" s="232">
        <f>X$186</f>
        <v/>
      </c>
      <c r="Z181" s="232">
        <f>Y$186</f>
        <v/>
      </c>
      <c r="AA181" s="232">
        <f>Z$186</f>
        <v/>
      </c>
      <c r="AB181" s="232">
        <f>AA$186</f>
        <v/>
      </c>
      <c r="AC181" s="232">
        <f>AB$186</f>
        <v/>
      </c>
      <c r="AD181" s="232">
        <f>AC$186</f>
        <v/>
      </c>
      <c r="AE181" s="232">
        <f>AD$186</f>
        <v/>
      </c>
      <c r="AF181" s="232">
        <f>AE$186</f>
        <v/>
      </c>
      <c r="AG181" s="232">
        <f>AF$186</f>
        <v/>
      </c>
      <c r="AH181" s="232">
        <f>AG$186</f>
        <v/>
      </c>
      <c r="AI181" s="232">
        <f>AH$186</f>
        <v/>
      </c>
      <c r="AJ181" s="232">
        <f>AI$186</f>
        <v/>
      </c>
      <c r="AK181" s="232">
        <f>AJ$186</f>
        <v/>
      </c>
      <c r="AL181" s="232">
        <f>AK$186</f>
        <v/>
      </c>
      <c r="AM181" s="232">
        <f>AL$186</f>
        <v/>
      </c>
      <c r="AN181" s="232">
        <f>AM$186</f>
        <v/>
      </c>
      <c r="AO181" s="232">
        <f>AN$186</f>
        <v/>
      </c>
      <c r="AP181" s="232">
        <f>AO$186</f>
        <v/>
      </c>
      <c r="AQ181" s="232">
        <f>AP$186</f>
        <v/>
      </c>
      <c r="AR181" s="232">
        <f>AQ$186</f>
        <v/>
      </c>
      <c r="AS181" s="232">
        <f>AR$186</f>
        <v/>
      </c>
      <c r="AT181" s="232">
        <f>AS$186</f>
        <v/>
      </c>
      <c r="AU181" s="232">
        <f>AT$186</f>
        <v/>
      </c>
      <c r="AV181" s="232">
        <f>AU$186</f>
        <v/>
      </c>
      <c r="AW181" s="232">
        <f>AV$186</f>
        <v/>
      </c>
      <c r="AX181" s="232">
        <f>AW$186</f>
        <v/>
      </c>
      <c r="AY181" s="232">
        <f>AX$186</f>
        <v/>
      </c>
      <c r="AZ181" s="232">
        <f>AY$186</f>
        <v/>
      </c>
      <c r="BA181" s="232">
        <f>AZ$186</f>
        <v/>
      </c>
      <c r="BB181" s="232">
        <f>BA$186</f>
        <v/>
      </c>
      <c r="BC181" s="232">
        <f>BB$186</f>
        <v/>
      </c>
      <c r="BD181" s="232">
        <f>BC$186</f>
        <v/>
      </c>
      <c r="BE181" s="232">
        <f>BD$186</f>
        <v/>
      </c>
      <c r="BF181" s="232">
        <f>BE$186</f>
        <v/>
      </c>
      <c r="BG181" s="232">
        <f>BF$186</f>
        <v/>
      </c>
      <c r="BH181" s="232">
        <f>BG$186</f>
        <v/>
      </c>
      <c r="BI181" s="232">
        <f>BH$186</f>
        <v/>
      </c>
      <c r="BJ181" s="232">
        <f>BI$186</f>
        <v/>
      </c>
      <c r="BK181" s="232">
        <f>BJ$186</f>
        <v/>
      </c>
      <c r="BL181" s="232">
        <f>BK$186</f>
        <v/>
      </c>
      <c r="BM181" s="232">
        <f>BL$186</f>
        <v/>
      </c>
      <c r="BN181" s="232">
        <f>BM$186</f>
        <v/>
      </c>
      <c r="BO181" s="232">
        <f>BN$186</f>
        <v/>
      </c>
      <c r="BP181" s="232">
        <f>BO$186</f>
        <v/>
      </c>
      <c r="BQ181" s="232">
        <f>BP$186</f>
        <v/>
      </c>
      <c r="BR181" s="232">
        <f>BQ$186</f>
        <v/>
      </c>
      <c r="BS181" s="232">
        <f>BR$186</f>
        <v/>
      </c>
      <c r="BT181" s="232">
        <f>BS$186</f>
        <v/>
      </c>
      <c r="BU181" s="232">
        <f>BT$186</f>
        <v/>
      </c>
      <c r="BV181" s="232">
        <f>BU$186</f>
        <v/>
      </c>
      <c r="BW181" s="232">
        <f>BV$186</f>
        <v/>
      </c>
      <c r="BX181" s="232">
        <f>BW$186</f>
        <v/>
      </c>
      <c r="BY181" s="232">
        <f>BX$186</f>
        <v/>
      </c>
      <c r="BZ181" s="232">
        <f>BY$186</f>
        <v/>
      </c>
      <c r="CA181" s="232">
        <f>BZ$186</f>
        <v/>
      </c>
      <c r="CB181" s="232">
        <f>CA$186</f>
        <v/>
      </c>
      <c r="CC181" s="232">
        <f>CB$186</f>
        <v/>
      </c>
      <c r="CD181" s="232">
        <f>CC$186</f>
        <v/>
      </c>
      <c r="CE181" s="232">
        <f>CD$186</f>
        <v/>
      </c>
      <c r="CF181" s="232">
        <f>CE$186</f>
        <v/>
      </c>
      <c r="CG181" s="232">
        <f>CF$186</f>
        <v/>
      </c>
      <c r="CH181" s="232">
        <f>CG$186</f>
        <v/>
      </c>
      <c r="CI181" s="232">
        <f>CH$186</f>
        <v/>
      </c>
      <c r="CJ181" s="232">
        <f>CI$186</f>
        <v/>
      </c>
      <c r="CK181" s="232">
        <f>CJ$186</f>
        <v/>
      </c>
      <c r="CL181" s="232">
        <f>CK$186</f>
        <v/>
      </c>
      <c r="CM181" s="232">
        <f>CL$186</f>
        <v/>
      </c>
      <c r="CN181" s="232">
        <f>CM$186</f>
        <v/>
      </c>
      <c r="CO181" s="232">
        <f>CN$186</f>
        <v/>
      </c>
      <c r="CP181" s="232">
        <f>CO$186</f>
        <v/>
      </c>
      <c r="CQ181" s="232">
        <f>CP$186</f>
        <v/>
      </c>
      <c r="CR181" s="232">
        <f>CQ$186</f>
        <v/>
      </c>
      <c r="CS181" s="232">
        <f>CR$186</f>
        <v/>
      </c>
      <c r="CT181" s="232">
        <f>CS$186</f>
        <v/>
      </c>
      <c r="CU181" s="232">
        <f>CT$186</f>
        <v/>
      </c>
      <c r="CV181" s="232">
        <f>CU$186</f>
        <v/>
      </c>
      <c r="CW181" s="232">
        <f>CV$186</f>
        <v/>
      </c>
      <c r="CX181" s="232">
        <f>CW$186</f>
        <v/>
      </c>
      <c r="CY181" s="232">
        <f>CX$186</f>
        <v/>
      </c>
      <c r="CZ181" s="232">
        <f>CY$186</f>
        <v/>
      </c>
      <c r="DA181" s="232">
        <f>CZ$186</f>
        <v/>
      </c>
      <c r="DB181" s="232">
        <f>DA$186</f>
        <v/>
      </c>
      <c r="DC181" s="232">
        <f>DB$186</f>
        <v/>
      </c>
      <c r="DD181" s="232">
        <f>DC$186</f>
        <v/>
      </c>
      <c r="DE181" s="232">
        <f>DD$186</f>
        <v/>
      </c>
      <c r="DF181" s="232">
        <f>DE$186</f>
        <v/>
      </c>
      <c r="DG181" s="232">
        <f>DF$186</f>
        <v/>
      </c>
      <c r="DH181" s="232">
        <f>DG$186</f>
        <v/>
      </c>
      <c r="DI181" s="232">
        <f>DH$186</f>
        <v/>
      </c>
      <c r="DJ181" s="232">
        <f>DI$186</f>
        <v/>
      </c>
      <c r="DK181" s="232">
        <f>DJ$186</f>
        <v/>
      </c>
      <c r="DL181" s="232">
        <f>DK$186</f>
        <v/>
      </c>
      <c r="DM181" s="232">
        <f>DL$186</f>
        <v/>
      </c>
      <c r="DN181" s="232">
        <f>DM$186</f>
        <v/>
      </c>
      <c r="DO181" s="232">
        <f>DN$186</f>
        <v/>
      </c>
      <c r="DP181" s="232">
        <f>DO$186</f>
        <v/>
      </c>
      <c r="DQ181" s="232">
        <f>DP$186</f>
        <v/>
      </c>
      <c r="DR181" s="232">
        <f>DQ$186</f>
        <v/>
      </c>
      <c r="DS181" s="232">
        <f>DR$186</f>
        <v/>
      </c>
      <c r="DT181" s="232">
        <f>DS$186</f>
        <v/>
      </c>
    </row>
    <row r="182" ht="15" customHeight="1" s="148">
      <c r="A182" t="inlineStr">
        <is>
          <t>Acq Proceeds</t>
        </is>
      </c>
      <c r="D182" s="232">
        <f>IF(D$11&lt;=36,IF(D$11=0,Assumptions!$AA$13,0)+IF(D$103&lt;&gt;0,-D$103*Assumptions!$AA$10,0)+IF(D$11=1,Assumptions!$AA$15,0),0)</f>
        <v/>
      </c>
      <c r="E182" s="232">
        <f>IF(E$11&lt;=36,IF(E$11=0,Assumptions!$AA$13,0)+IF(E$103&lt;&gt;0,-E$103*Assumptions!$AA$10,0)+IF(E$11=1,Assumptions!$AA$15,0),0)</f>
        <v/>
      </c>
      <c r="F182" s="232">
        <f>IF(F$11&lt;=36,IF(F$11=0,Assumptions!$AA$13,0)+IF(F$103&lt;&gt;0,-F$103*Assumptions!$AA$10,0)+IF(F$11=1,Assumptions!$AA$15,0),0)</f>
        <v/>
      </c>
      <c r="G182" s="232">
        <f>IF(G$11&lt;=36,IF(G$11=0,Assumptions!$AA$13,0)+IF(G$103&lt;&gt;0,-G$103*Assumptions!$AA$10,0)+IF(G$11=1,Assumptions!$AA$15,0),0)</f>
        <v/>
      </c>
      <c r="H182" s="232">
        <f>IF(H$11&lt;=36,IF(H$11=0,Assumptions!$AA$13,0)+IF(H$103&lt;&gt;0,-H$103*Assumptions!$AA$10,0)+IF(H$11=1,Assumptions!$AA$15,0),0)</f>
        <v/>
      </c>
      <c r="I182" s="232">
        <f>IF(I$11&lt;=36,IF(I$11=0,Assumptions!$AA$13,0)+IF(I$103&lt;&gt;0,-I$103*Assumptions!$AA$10,0)+IF(I$11=1,Assumptions!$AA$15,0),0)</f>
        <v/>
      </c>
      <c r="J182" s="232">
        <f>IF(J$11&lt;=36,IF(J$11=0,Assumptions!$AA$13,0)+IF(J$103&lt;&gt;0,-J$103*Assumptions!$AA$10,0)+IF(J$11=1,Assumptions!$AA$15,0),0)</f>
        <v/>
      </c>
      <c r="K182" s="232">
        <f>IF(K$11&lt;=36,IF(K$11=0,Assumptions!$AA$13,0)+IF(K$103&lt;&gt;0,-K$103*Assumptions!$AA$10,0)+IF(K$11=1,Assumptions!$AA$15,0),0)</f>
        <v/>
      </c>
      <c r="L182" s="232">
        <f>IF(L$11&lt;=36,IF(L$11=0,Assumptions!$AA$13,0)+IF(L$103&lt;&gt;0,-L$103*Assumptions!$AA$10,0)+IF(L$11=1,Assumptions!$AA$15,0),0)</f>
        <v/>
      </c>
      <c r="M182" s="232">
        <f>IF(M$11&lt;=36,IF(M$11=0,Assumptions!$AA$13,0)+IF(M$103&lt;&gt;0,-M$103*Assumptions!$AA$10,0)+IF(M$11=1,Assumptions!$AA$15,0),0)</f>
        <v/>
      </c>
      <c r="N182" s="232">
        <f>IF(N$11&lt;=36,IF(N$11=0,Assumptions!$AA$13,0)+IF(N$103&lt;&gt;0,-N$103*Assumptions!$AA$10,0)+IF(N$11=1,Assumptions!$AA$15,0),0)</f>
        <v/>
      </c>
      <c r="O182" s="232">
        <f>IF(O$11&lt;=36,IF(O$11=0,Assumptions!$AA$13,0)+IF(O$103&lt;&gt;0,-O$103*Assumptions!$AA$10,0)+IF(O$11=1,Assumptions!$AA$15,0),0)</f>
        <v/>
      </c>
      <c r="P182" s="232">
        <f>IF(P$11&lt;=36,IF(P$11=0,Assumptions!$AA$13,0)+IF(P$103&lt;&gt;0,-P$103*Assumptions!$AA$10,0)+IF(P$11=1,Assumptions!$AA$15,0),0)</f>
        <v/>
      </c>
      <c r="Q182" s="232">
        <f>IF(Q$11&lt;=36,IF(Q$11=0,Assumptions!$AA$13,0)+IF(Q$103&lt;&gt;0,-Q$103*Assumptions!$AA$10,0)+IF(Q$11=1,Assumptions!$AA$15,0),0)</f>
        <v/>
      </c>
      <c r="R182" s="232">
        <f>IF(R$11&lt;=36,IF(R$11=0,Assumptions!$AA$13,0)+IF(R$103&lt;&gt;0,-R$103*Assumptions!$AA$10,0)+IF(R$11=1,Assumptions!$AA$15,0),0)</f>
        <v/>
      </c>
      <c r="S182" s="232">
        <f>IF(S$11&lt;=36,IF(S$11=0,Assumptions!$AA$13,0)+IF(S$103&lt;&gt;0,-S$103*Assumptions!$AA$10,0)+IF(S$11=1,Assumptions!$AA$15,0),0)</f>
        <v/>
      </c>
      <c r="T182" s="232">
        <f>IF(T$11&lt;=36,IF(T$11=0,Assumptions!$AA$13,0)+IF(T$103&lt;&gt;0,-T$103*Assumptions!$AA$10,0)+IF(T$11=1,Assumptions!$AA$15,0),0)</f>
        <v/>
      </c>
      <c r="U182" s="232">
        <f>IF(U$11&lt;=36,IF(U$11=0,Assumptions!$AA$13,0)+IF(U$103&lt;&gt;0,-U$103*Assumptions!$AA$10,0)+IF(U$11=1,Assumptions!$AA$15,0),0)</f>
        <v/>
      </c>
      <c r="V182" s="232">
        <f>IF(V$11&lt;=36,IF(V$11=0,Assumptions!$AA$13,0)+IF(V$103&lt;&gt;0,-V$103*Assumptions!$AA$10,0)+IF(V$11=1,Assumptions!$AA$15,0),0)</f>
        <v/>
      </c>
      <c r="W182" s="232">
        <f>IF(W$11&lt;=36,IF(W$11=0,Assumptions!$AA$13,0)+IF(W$103&lt;&gt;0,-W$103*Assumptions!$AA$10,0)+IF(W$11=1,Assumptions!$AA$15,0),0)</f>
        <v/>
      </c>
      <c r="X182" s="232">
        <f>IF(X$11&lt;=36,IF(X$11=0,Assumptions!$AA$13,0)+IF(X$103&lt;&gt;0,-X$103*Assumptions!$AA$10,0)+IF(X$11=1,Assumptions!$AA$15,0),0)</f>
        <v/>
      </c>
      <c r="Y182" s="232">
        <f>IF(Y$11&lt;=36,IF(Y$11=0,Assumptions!$AA$13,0)+IF(Y$103&lt;&gt;0,-Y$103*Assumptions!$AA$10,0)+IF(Y$11=1,Assumptions!$AA$15,0),0)</f>
        <v/>
      </c>
      <c r="Z182" s="232">
        <f>IF(Z$11&lt;=36,IF(Z$11=0,Assumptions!$AA$13,0)+IF(Z$103&lt;&gt;0,-Z$103*Assumptions!$AA$10,0)+IF(Z$11=1,Assumptions!$AA$15,0),0)</f>
        <v/>
      </c>
      <c r="AA182" s="232">
        <f>IF(AA$11&lt;=36,IF(AA$11=0,Assumptions!$AA$13,0)+IF(AA$103&lt;&gt;0,-AA$103*Assumptions!$AA$10,0)+IF(AA$11=1,Assumptions!$AA$15,0),0)</f>
        <v/>
      </c>
      <c r="AB182" s="232">
        <f>IF(AB$11&lt;=36,IF(AB$11=0,Assumptions!$AA$13,0)+IF(AB$103&lt;&gt;0,-AB$103*Assumptions!$AA$10,0)+IF(AB$11=1,Assumptions!$AA$15,0),0)</f>
        <v/>
      </c>
      <c r="AC182" s="232">
        <f>IF(AC$11&lt;=36,IF(AC$11=0,Assumptions!$AA$13,0)+IF(AC$103&lt;&gt;0,-AC$103*Assumptions!$AA$10,0)+IF(AC$11=1,Assumptions!$AA$15,0),0)</f>
        <v/>
      </c>
      <c r="AD182" s="232">
        <f>IF(AD$11&lt;=36,IF(AD$11=0,Assumptions!$AA$13,0)+IF(AD$103&lt;&gt;0,-AD$103*Assumptions!$AA$10,0)+IF(AD$11=1,Assumptions!$AA$15,0),0)</f>
        <v/>
      </c>
      <c r="AE182" s="232">
        <f>IF(AE$11&lt;=36,IF(AE$11=0,Assumptions!$AA$13,0)+IF(AE$103&lt;&gt;0,-AE$103*Assumptions!$AA$10,0)+IF(AE$11=1,Assumptions!$AA$15,0),0)</f>
        <v/>
      </c>
      <c r="AF182" s="232">
        <f>IF(AF$11&lt;=36,IF(AF$11=0,Assumptions!$AA$13,0)+IF(AF$103&lt;&gt;0,-AF$103*Assumptions!$AA$10,0)+IF(AF$11=1,Assumptions!$AA$15,0),0)</f>
        <v/>
      </c>
      <c r="AG182" s="232">
        <f>IF(AG$11&lt;=36,IF(AG$11=0,Assumptions!$AA$13,0)+IF(AG$103&lt;&gt;0,-AG$103*Assumptions!$AA$10,0)+IF(AG$11=1,Assumptions!$AA$15,0),0)</f>
        <v/>
      </c>
      <c r="AH182" s="232">
        <f>IF(AH$11&lt;=36,IF(AH$11=0,Assumptions!$AA$13,0)+IF(AH$103&lt;&gt;0,-AH$103*Assumptions!$AA$10,0)+IF(AH$11=1,Assumptions!$AA$15,0),0)</f>
        <v/>
      </c>
      <c r="AI182" s="232">
        <f>IF(AI$11&lt;=36,IF(AI$11=0,Assumptions!$AA$13,0)+IF(AI$103&lt;&gt;0,-AI$103*Assumptions!$AA$10,0)+IF(AI$11=1,Assumptions!$AA$15,0),0)</f>
        <v/>
      </c>
      <c r="AJ182" s="232">
        <f>IF(AJ$11&lt;=36,IF(AJ$11=0,Assumptions!$AA$13,0)+IF(AJ$103&lt;&gt;0,-AJ$103*Assumptions!$AA$10,0)+IF(AJ$11=1,Assumptions!$AA$15,0),0)</f>
        <v/>
      </c>
      <c r="AK182" s="232">
        <f>IF(AK$11&lt;=36,IF(AK$11=0,Assumptions!$AA$13,0)+IF(AK$103&lt;&gt;0,-AK$103*Assumptions!$AA$10,0)+IF(AK$11=1,Assumptions!$AA$15,0),0)</f>
        <v/>
      </c>
      <c r="AL182" s="232">
        <f>IF(AL$11&lt;=36,IF(AL$11=0,Assumptions!$AA$13,0)+IF(AL$103&lt;&gt;0,-AL$103*Assumptions!$AA$10,0)+IF(AL$11=1,Assumptions!$AA$15,0),0)</f>
        <v/>
      </c>
      <c r="AM182" s="232">
        <f>IF(AM$11&lt;=36,IF(AM$11=0,Assumptions!$AA$13,0)+IF(AM$103&lt;&gt;0,-AM$103*Assumptions!$AA$10,0)+IF(AM$11=1,Assumptions!$AA$15,0),0)</f>
        <v/>
      </c>
      <c r="AN182" s="232">
        <f>IF(AN$11&lt;=36,IF(AN$11=0,Assumptions!$AA$13,0)+IF(AN$103&lt;&gt;0,-AN$103*Assumptions!$AA$10,0)+IF(AN$11=1,Assumptions!$AA$15,0),0)</f>
        <v/>
      </c>
      <c r="AO182" s="232">
        <f>IF(AO$11&lt;=36,IF(AO$11=0,Assumptions!$AA$13,0)+IF(AO$103&lt;&gt;0,-AO$103*Assumptions!$AA$10,0)+IF(AO$11=1,Assumptions!$AA$15,0),0)</f>
        <v/>
      </c>
      <c r="AP182" s="232">
        <f>IF(AP$11&lt;=36,IF(AP$11=0,Assumptions!$AA$13,0)+IF(AP$103&lt;&gt;0,-AP$103*Assumptions!$AA$10,0)+IF(AP$11=1,Assumptions!$AA$15,0),0)</f>
        <v/>
      </c>
      <c r="AQ182" s="232">
        <f>IF(AQ$11&lt;=36,IF(AQ$11=0,Assumptions!$AA$13,0)+IF(AQ$103&lt;&gt;0,-AQ$103*Assumptions!$AA$10,0)+IF(AQ$11=1,Assumptions!$AA$15,0),0)</f>
        <v/>
      </c>
      <c r="AR182" s="232">
        <f>IF(AR$11&lt;=36,IF(AR$11=0,Assumptions!$AA$13,0)+IF(AR$103&lt;&gt;0,-AR$103*Assumptions!$AA$10,0)+IF(AR$11=1,Assumptions!$AA$15,0),0)</f>
        <v/>
      </c>
      <c r="AS182" s="232">
        <f>IF(AS$11&lt;=36,IF(AS$11=0,Assumptions!$AA$13,0)+IF(AS$103&lt;&gt;0,-AS$103*Assumptions!$AA$10,0)+IF(AS$11=1,Assumptions!$AA$15,0),0)</f>
        <v/>
      </c>
      <c r="AT182" s="232">
        <f>IF(AT$11&lt;=36,IF(AT$11=0,Assumptions!$AA$13,0)+IF(AT$103&lt;&gt;0,-AT$103*Assumptions!$AA$10,0)+IF(AT$11=1,Assumptions!$AA$15,0),0)</f>
        <v/>
      </c>
      <c r="AU182" s="232">
        <f>IF(AU$11&lt;=36,IF(AU$11=0,Assumptions!$AA$13,0)+IF(AU$103&lt;&gt;0,-AU$103*Assumptions!$AA$10,0)+IF(AU$11=1,Assumptions!$AA$15,0),0)</f>
        <v/>
      </c>
      <c r="AV182" s="232">
        <f>IF(AV$11&lt;=36,IF(AV$11=0,Assumptions!$AA$13,0)+IF(AV$103&lt;&gt;0,-AV$103*Assumptions!$AA$10,0)+IF(AV$11=1,Assumptions!$AA$15,0),0)</f>
        <v/>
      </c>
      <c r="AW182" s="232">
        <f>IF(AW$11&lt;=36,IF(AW$11=0,Assumptions!$AA$13,0)+IF(AW$103&lt;&gt;0,-AW$103*Assumptions!$AA$10,0)+IF(AW$11=1,Assumptions!$AA$15,0),0)</f>
        <v/>
      </c>
      <c r="AX182" s="232">
        <f>IF(AX$11&lt;=36,IF(AX$11=0,Assumptions!$AA$13,0)+IF(AX$103&lt;&gt;0,-AX$103*Assumptions!$AA$10,0)+IF(AX$11=1,Assumptions!$AA$15,0),0)</f>
        <v/>
      </c>
      <c r="AY182" s="232">
        <f>IF(AY$11&lt;=36,IF(AY$11=0,Assumptions!$AA$13,0)+IF(AY$103&lt;&gt;0,-AY$103*Assumptions!$AA$10,0)+IF(AY$11=1,Assumptions!$AA$15,0),0)</f>
        <v/>
      </c>
      <c r="AZ182" s="232">
        <f>IF(AZ$11&lt;=36,IF(AZ$11=0,Assumptions!$AA$13,0)+IF(AZ$103&lt;&gt;0,-AZ$103*Assumptions!$AA$10,0)+IF(AZ$11=1,Assumptions!$AA$15,0),0)</f>
        <v/>
      </c>
      <c r="BA182" s="232">
        <f>IF(BA$11&lt;=36,IF(BA$11=0,Assumptions!$AA$13,0)+IF(BA$103&lt;&gt;0,-BA$103*Assumptions!$AA$10,0)+IF(BA$11=1,Assumptions!$AA$15,0),0)</f>
        <v/>
      </c>
      <c r="BB182" s="232">
        <f>IF(BB$11&lt;=36,IF(BB$11=0,Assumptions!$AA$13,0)+IF(BB$103&lt;&gt;0,-BB$103*Assumptions!$AA$10,0)+IF(BB$11=1,Assumptions!$AA$15,0),0)</f>
        <v/>
      </c>
      <c r="BC182" s="232">
        <f>IF(BC$11&lt;=36,IF(BC$11=0,Assumptions!$AA$13,0)+IF(BC$103&lt;&gt;0,-BC$103*Assumptions!$AA$10,0)+IF(BC$11=1,Assumptions!$AA$15,0),0)</f>
        <v/>
      </c>
      <c r="BD182" s="232">
        <f>IF(BD$11&lt;=36,IF(BD$11=0,Assumptions!$AA$13,0)+IF(BD$103&lt;&gt;0,-BD$103*Assumptions!$AA$10,0)+IF(BD$11=1,Assumptions!$AA$15,0),0)</f>
        <v/>
      </c>
      <c r="BE182" s="232">
        <f>IF(BE$11&lt;=36,IF(BE$11=0,Assumptions!$AA$13,0)+IF(BE$103&lt;&gt;0,-BE$103*Assumptions!$AA$10,0)+IF(BE$11=1,Assumptions!$AA$15,0),0)</f>
        <v/>
      </c>
      <c r="BF182" s="232">
        <f>IF(BF$11&lt;=36,IF(BF$11=0,Assumptions!$AA$13,0)+IF(BF$103&lt;&gt;0,-BF$103*Assumptions!$AA$10,0)+IF(BF$11=1,Assumptions!$AA$15,0),0)</f>
        <v/>
      </c>
      <c r="BG182" s="232">
        <f>IF(BG$11&lt;=36,IF(BG$11=0,Assumptions!$AA$13,0)+IF(BG$103&lt;&gt;0,-BG$103*Assumptions!$AA$10,0)+IF(BG$11=1,Assumptions!$AA$15,0),0)</f>
        <v/>
      </c>
      <c r="BH182" s="232">
        <f>IF(BH$11&lt;=36,IF(BH$11=0,Assumptions!$AA$13,0)+IF(BH$103&lt;&gt;0,-BH$103*Assumptions!$AA$10,0)+IF(BH$11=1,Assumptions!$AA$15,0),0)</f>
        <v/>
      </c>
      <c r="BI182" s="232">
        <f>IF(BI$11&lt;=36,IF(BI$11=0,Assumptions!$AA$13,0)+IF(BI$103&lt;&gt;0,-BI$103*Assumptions!$AA$10,0)+IF(BI$11=1,Assumptions!$AA$15,0),0)</f>
        <v/>
      </c>
      <c r="BJ182" s="232">
        <f>IF(BJ$11&lt;=36,IF(BJ$11=0,Assumptions!$AA$13,0)+IF(BJ$103&lt;&gt;0,-BJ$103*Assumptions!$AA$10,0)+IF(BJ$11=1,Assumptions!$AA$15,0),0)</f>
        <v/>
      </c>
      <c r="BK182" s="232">
        <f>IF(BK$11&lt;=36,IF(BK$11=0,Assumptions!$AA$13,0)+IF(BK$103&lt;&gt;0,-BK$103*Assumptions!$AA$10,0)+IF(BK$11=1,Assumptions!$AA$15,0),0)</f>
        <v/>
      </c>
      <c r="BL182" s="232">
        <f>IF(BL$11&lt;=36,IF(BL$11=0,Assumptions!$AA$13,0)+IF(BL$103&lt;&gt;0,-BL$103*Assumptions!$AA$10,0)+IF(BL$11=1,Assumptions!$AA$15,0),0)</f>
        <v/>
      </c>
      <c r="BM182" s="232">
        <f>IF(BM$11&lt;=36,IF(BM$11=0,Assumptions!$AA$13,0)+IF(BM$103&lt;&gt;0,-BM$103*Assumptions!$AA$10,0)+IF(BM$11=1,Assumptions!$AA$15,0),0)</f>
        <v/>
      </c>
      <c r="BN182" s="232">
        <f>IF(BN$11&lt;=36,IF(BN$11=0,Assumptions!$AA$13,0)+IF(BN$103&lt;&gt;0,-BN$103*Assumptions!$AA$10,0)+IF(BN$11=1,Assumptions!$AA$15,0),0)</f>
        <v/>
      </c>
      <c r="BO182" s="232">
        <f>IF(BO$11&lt;=36,IF(BO$11=0,Assumptions!$AA$13,0)+IF(BO$103&lt;&gt;0,-BO$103*Assumptions!$AA$10,0)+IF(BO$11=1,Assumptions!$AA$15,0),0)</f>
        <v/>
      </c>
      <c r="BP182" s="232">
        <f>IF(BP$11&lt;=36,IF(BP$11=0,Assumptions!$AA$13,0)+IF(BP$103&lt;&gt;0,-BP$103*Assumptions!$AA$10,0)+IF(BP$11=1,Assumptions!$AA$15,0),0)</f>
        <v/>
      </c>
      <c r="BQ182" s="232">
        <f>IF(BQ$11&lt;=36,IF(BQ$11=0,Assumptions!$AA$13,0)+IF(BQ$103&lt;&gt;0,-BQ$103*Assumptions!$AA$10,0)+IF(BQ$11=1,Assumptions!$AA$15,0),0)</f>
        <v/>
      </c>
      <c r="BR182" s="232">
        <f>IF(BR$11&lt;=36,IF(BR$11=0,Assumptions!$AA$13,0)+IF(BR$103&lt;&gt;0,-BR$103*Assumptions!$AA$10,0)+IF(BR$11=1,Assumptions!$AA$15,0),0)</f>
        <v/>
      </c>
      <c r="BS182" s="232">
        <f>IF(BS$11&lt;=36,IF(BS$11=0,Assumptions!$AA$13,0)+IF(BS$103&lt;&gt;0,-BS$103*Assumptions!$AA$10,0)+IF(BS$11=1,Assumptions!$AA$15,0),0)</f>
        <v/>
      </c>
      <c r="BT182" s="232">
        <f>IF(BT$11&lt;=36,IF(BT$11=0,Assumptions!$AA$13,0)+IF(BT$103&lt;&gt;0,-BT$103*Assumptions!$AA$10,0)+IF(BT$11=1,Assumptions!$AA$15,0),0)</f>
        <v/>
      </c>
      <c r="BU182" s="232">
        <f>IF(BU$11&lt;=36,IF(BU$11=0,Assumptions!$AA$13,0)+IF(BU$103&lt;&gt;0,-BU$103*Assumptions!$AA$10,0)+IF(BU$11=1,Assumptions!$AA$15,0),0)</f>
        <v/>
      </c>
      <c r="BV182" s="232">
        <f>IF(BV$11&lt;=36,IF(BV$11=0,Assumptions!$AA$13,0)+IF(BV$103&lt;&gt;0,-BV$103*Assumptions!$AA$10,0)+IF(BV$11=1,Assumptions!$AA$15,0),0)</f>
        <v/>
      </c>
      <c r="BW182" s="232">
        <f>IF(BW$11&lt;=36,IF(BW$11=0,Assumptions!$AA$13,0)+IF(BW$103&lt;&gt;0,-BW$103*Assumptions!$AA$10,0)+IF(BW$11=1,Assumptions!$AA$15,0),0)</f>
        <v/>
      </c>
      <c r="BX182" s="232">
        <f>IF(BX$11&lt;=36,IF(BX$11=0,Assumptions!$AA$13,0)+IF(BX$103&lt;&gt;0,-BX$103*Assumptions!$AA$10,0)+IF(BX$11=1,Assumptions!$AA$15,0),0)</f>
        <v/>
      </c>
      <c r="BY182" s="232">
        <f>IF(BY$11&lt;=36,IF(BY$11=0,Assumptions!$AA$13,0)+IF(BY$103&lt;&gt;0,-BY$103*Assumptions!$AA$10,0)+IF(BY$11=1,Assumptions!$AA$15,0),0)</f>
        <v/>
      </c>
      <c r="BZ182" s="232">
        <f>IF(BZ$11&lt;=36,IF(BZ$11=0,Assumptions!$AA$13,0)+IF(BZ$103&lt;&gt;0,-BZ$103*Assumptions!$AA$10,0)+IF(BZ$11=1,Assumptions!$AA$15,0),0)</f>
        <v/>
      </c>
      <c r="CA182" s="232">
        <f>IF(CA$11&lt;=36,IF(CA$11=0,Assumptions!$AA$13,0)+IF(CA$103&lt;&gt;0,-CA$103*Assumptions!$AA$10,0)+IF(CA$11=1,Assumptions!$AA$15,0),0)</f>
        <v/>
      </c>
      <c r="CB182" s="232">
        <f>IF(CB$11&lt;=36,IF(CB$11=0,Assumptions!$AA$13,0)+IF(CB$103&lt;&gt;0,-CB$103*Assumptions!$AA$10,0)+IF(CB$11=1,Assumptions!$AA$15,0),0)</f>
        <v/>
      </c>
      <c r="CC182" s="232">
        <f>IF(CC$11&lt;=36,IF(CC$11=0,Assumptions!$AA$13,0)+IF(CC$103&lt;&gt;0,-CC$103*Assumptions!$AA$10,0)+IF(CC$11=1,Assumptions!$AA$15,0),0)</f>
        <v/>
      </c>
      <c r="CD182" s="232">
        <f>IF(CD$11&lt;=36,IF(CD$11=0,Assumptions!$AA$13,0)+IF(CD$103&lt;&gt;0,-CD$103*Assumptions!$AA$10,0)+IF(CD$11=1,Assumptions!$AA$15,0),0)</f>
        <v/>
      </c>
      <c r="CE182" s="232">
        <f>IF(CE$11&lt;=36,IF(CE$11=0,Assumptions!$AA$13,0)+IF(CE$103&lt;&gt;0,-CE$103*Assumptions!$AA$10,0)+IF(CE$11=1,Assumptions!$AA$15,0),0)</f>
        <v/>
      </c>
      <c r="CF182" s="232">
        <f>IF(CF$11&lt;=36,IF(CF$11=0,Assumptions!$AA$13,0)+IF(CF$103&lt;&gt;0,-CF$103*Assumptions!$AA$10,0)+IF(CF$11=1,Assumptions!$AA$15,0),0)</f>
        <v/>
      </c>
      <c r="CG182" s="232">
        <f>IF(CG$11&lt;=36,IF(CG$11=0,Assumptions!$AA$13,0)+IF(CG$103&lt;&gt;0,-CG$103*Assumptions!$AA$10,0)+IF(CG$11=1,Assumptions!$AA$15,0),0)</f>
        <v/>
      </c>
      <c r="CH182" s="232">
        <f>IF(CH$11&lt;=36,IF(CH$11=0,Assumptions!$AA$13,0)+IF(CH$103&lt;&gt;0,-CH$103*Assumptions!$AA$10,0)+IF(CH$11=1,Assumptions!$AA$15,0),0)</f>
        <v/>
      </c>
      <c r="CI182" s="232">
        <f>IF(CI$11&lt;=36,IF(CI$11=0,Assumptions!$AA$13,0)+IF(CI$103&lt;&gt;0,-CI$103*Assumptions!$AA$10,0)+IF(CI$11=1,Assumptions!$AA$15,0),0)</f>
        <v/>
      </c>
      <c r="CJ182" s="232">
        <f>IF(CJ$11&lt;=36,IF(CJ$11=0,Assumptions!$AA$13,0)+IF(CJ$103&lt;&gt;0,-CJ$103*Assumptions!$AA$10,0)+IF(CJ$11=1,Assumptions!$AA$15,0),0)</f>
        <v/>
      </c>
      <c r="CK182" s="232">
        <f>IF(CK$11&lt;=36,IF(CK$11=0,Assumptions!$AA$13,0)+IF(CK$103&lt;&gt;0,-CK$103*Assumptions!$AA$10,0)+IF(CK$11=1,Assumptions!$AA$15,0),0)</f>
        <v/>
      </c>
      <c r="CL182" s="232">
        <f>IF(CL$11&lt;=36,IF(CL$11=0,Assumptions!$AA$13,0)+IF(CL$103&lt;&gt;0,-CL$103*Assumptions!$AA$10,0)+IF(CL$11=1,Assumptions!$AA$15,0),0)</f>
        <v/>
      </c>
      <c r="CM182" s="232">
        <f>IF(CM$11&lt;=36,IF(CM$11=0,Assumptions!$AA$13,0)+IF(CM$103&lt;&gt;0,-CM$103*Assumptions!$AA$10,0)+IF(CM$11=1,Assumptions!$AA$15,0),0)</f>
        <v/>
      </c>
      <c r="CN182" s="232">
        <f>IF(CN$11&lt;=36,IF(CN$11=0,Assumptions!$AA$13,0)+IF(CN$103&lt;&gt;0,-CN$103*Assumptions!$AA$10,0)+IF(CN$11=1,Assumptions!$AA$15,0),0)</f>
        <v/>
      </c>
      <c r="CO182" s="232">
        <f>IF(CO$11&lt;=36,IF(CO$11=0,Assumptions!$AA$13,0)+IF(CO$103&lt;&gt;0,-CO$103*Assumptions!$AA$10,0)+IF(CO$11=1,Assumptions!$AA$15,0),0)</f>
        <v/>
      </c>
      <c r="CP182" s="232">
        <f>IF(CP$11&lt;=36,IF(CP$11=0,Assumptions!$AA$13,0)+IF(CP$103&lt;&gt;0,-CP$103*Assumptions!$AA$10,0)+IF(CP$11=1,Assumptions!$AA$15,0),0)</f>
        <v/>
      </c>
      <c r="CQ182" s="232">
        <f>IF(CQ$11&lt;=36,IF(CQ$11=0,Assumptions!$AA$13,0)+IF(CQ$103&lt;&gt;0,-CQ$103*Assumptions!$AA$10,0)+IF(CQ$11=1,Assumptions!$AA$15,0),0)</f>
        <v/>
      </c>
      <c r="CR182" s="232">
        <f>IF(CR$11&lt;=36,IF(CR$11=0,Assumptions!$AA$13,0)+IF(CR$103&lt;&gt;0,-CR$103*Assumptions!$AA$10,0)+IF(CR$11=1,Assumptions!$AA$15,0),0)</f>
        <v/>
      </c>
      <c r="CS182" s="232">
        <f>IF(CS$11&lt;=36,IF(CS$11=0,Assumptions!$AA$13,0)+IF(CS$103&lt;&gt;0,-CS$103*Assumptions!$AA$10,0)+IF(CS$11=1,Assumptions!$AA$15,0),0)</f>
        <v/>
      </c>
      <c r="CT182" s="232">
        <f>IF(CT$11&lt;=36,IF(CT$11=0,Assumptions!$AA$13,0)+IF(CT$103&lt;&gt;0,-CT$103*Assumptions!$AA$10,0)+IF(CT$11=1,Assumptions!$AA$15,0),0)</f>
        <v/>
      </c>
      <c r="CU182" s="232">
        <f>IF(CU$11&lt;=36,IF(CU$11=0,Assumptions!$AA$13,0)+IF(CU$103&lt;&gt;0,-CU$103*Assumptions!$AA$10,0)+IF(CU$11=1,Assumptions!$AA$15,0),0)</f>
        <v/>
      </c>
      <c r="CV182" s="232">
        <f>IF(CV$11&lt;=36,IF(CV$11=0,Assumptions!$AA$13,0)+IF(CV$103&lt;&gt;0,-CV$103*Assumptions!$AA$10,0)+IF(CV$11=1,Assumptions!$AA$15,0),0)</f>
        <v/>
      </c>
      <c r="CW182" s="232">
        <f>IF(CW$11&lt;=36,IF(CW$11=0,Assumptions!$AA$13,0)+IF(CW$103&lt;&gt;0,-CW$103*Assumptions!$AA$10,0)+IF(CW$11=1,Assumptions!$AA$15,0),0)</f>
        <v/>
      </c>
      <c r="CX182" s="232">
        <f>IF(CX$11&lt;=36,IF(CX$11=0,Assumptions!$AA$13,0)+IF(CX$103&lt;&gt;0,-CX$103*Assumptions!$AA$10,0)+IF(CX$11=1,Assumptions!$AA$15,0),0)</f>
        <v/>
      </c>
      <c r="CY182" s="232">
        <f>IF(CY$11&lt;=36,IF(CY$11=0,Assumptions!$AA$13,0)+IF(CY$103&lt;&gt;0,-CY$103*Assumptions!$AA$10,0)+IF(CY$11=1,Assumptions!$AA$15,0),0)</f>
        <v/>
      </c>
      <c r="CZ182" s="232">
        <f>IF(CZ$11&lt;=36,IF(CZ$11=0,Assumptions!$AA$13,0)+IF(CZ$103&lt;&gt;0,-CZ$103*Assumptions!$AA$10,0)+IF(CZ$11=1,Assumptions!$AA$15,0),0)</f>
        <v/>
      </c>
      <c r="DA182" s="232">
        <f>IF(DA$11&lt;=36,IF(DA$11=0,Assumptions!$AA$13,0)+IF(DA$103&lt;&gt;0,-DA$103*Assumptions!$AA$10,0)+IF(DA$11=1,Assumptions!$AA$15,0),0)</f>
        <v/>
      </c>
      <c r="DB182" s="232">
        <f>IF(DB$11&lt;=36,IF(DB$11=0,Assumptions!$AA$13,0)+IF(DB$103&lt;&gt;0,-DB$103*Assumptions!$AA$10,0)+IF(DB$11=1,Assumptions!$AA$15,0),0)</f>
        <v/>
      </c>
      <c r="DC182" s="232">
        <f>IF(DC$11&lt;=36,IF(DC$11=0,Assumptions!$AA$13,0)+IF(DC$103&lt;&gt;0,-DC$103*Assumptions!$AA$10,0)+IF(DC$11=1,Assumptions!$AA$15,0),0)</f>
        <v/>
      </c>
      <c r="DD182" s="232">
        <f>IF(DD$11&lt;=36,IF(DD$11=0,Assumptions!$AA$13,0)+IF(DD$103&lt;&gt;0,-DD$103*Assumptions!$AA$10,0)+IF(DD$11=1,Assumptions!$AA$15,0),0)</f>
        <v/>
      </c>
      <c r="DE182" s="232">
        <f>IF(DE$11&lt;=36,IF(DE$11=0,Assumptions!$AA$13,0)+IF(DE$103&lt;&gt;0,-DE$103*Assumptions!$AA$10,0)+IF(DE$11=1,Assumptions!$AA$15,0),0)</f>
        <v/>
      </c>
      <c r="DF182" s="232">
        <f>IF(DF$11&lt;=36,IF(DF$11=0,Assumptions!$AA$13,0)+IF(DF$103&lt;&gt;0,-DF$103*Assumptions!$AA$10,0)+IF(DF$11=1,Assumptions!$AA$15,0),0)</f>
        <v/>
      </c>
      <c r="DG182" s="232">
        <f>IF(DG$11&lt;=36,IF(DG$11=0,Assumptions!$AA$13,0)+IF(DG$103&lt;&gt;0,-DG$103*Assumptions!$AA$10,0)+IF(DG$11=1,Assumptions!$AA$15,0),0)</f>
        <v/>
      </c>
      <c r="DH182" s="232">
        <f>IF(DH$11&lt;=36,IF(DH$11=0,Assumptions!$AA$13,0)+IF(DH$103&lt;&gt;0,-DH$103*Assumptions!$AA$10,0)+IF(DH$11=1,Assumptions!$AA$15,0),0)</f>
        <v/>
      </c>
      <c r="DI182" s="232">
        <f>IF(DI$11&lt;=36,IF(DI$11=0,Assumptions!$AA$13,0)+IF(DI$103&lt;&gt;0,-DI$103*Assumptions!$AA$10,0)+IF(DI$11=1,Assumptions!$AA$15,0),0)</f>
        <v/>
      </c>
      <c r="DJ182" s="232">
        <f>IF(DJ$11&lt;=36,IF(DJ$11=0,Assumptions!$AA$13,0)+IF(DJ$103&lt;&gt;0,-DJ$103*Assumptions!$AA$10,0)+IF(DJ$11=1,Assumptions!$AA$15,0),0)</f>
        <v/>
      </c>
      <c r="DK182" s="232">
        <f>IF(DK$11&lt;=36,IF(DK$11=0,Assumptions!$AA$13,0)+IF(DK$103&lt;&gt;0,-DK$103*Assumptions!$AA$10,0)+IF(DK$11=1,Assumptions!$AA$15,0),0)</f>
        <v/>
      </c>
      <c r="DL182" s="232">
        <f>IF(DL$11&lt;=36,IF(DL$11=0,Assumptions!$AA$13,0)+IF(DL$103&lt;&gt;0,-DL$103*Assumptions!$AA$10,0)+IF(DL$11=1,Assumptions!$AA$15,0),0)</f>
        <v/>
      </c>
      <c r="DM182" s="232">
        <f>IF(DM$11&lt;=36,IF(DM$11=0,Assumptions!$AA$13,0)+IF(DM$103&lt;&gt;0,-DM$103*Assumptions!$AA$10,0)+IF(DM$11=1,Assumptions!$AA$15,0),0)</f>
        <v/>
      </c>
      <c r="DN182" s="232">
        <f>IF(DN$11&lt;=36,IF(DN$11=0,Assumptions!$AA$13,0)+IF(DN$103&lt;&gt;0,-DN$103*Assumptions!$AA$10,0)+IF(DN$11=1,Assumptions!$AA$15,0),0)</f>
        <v/>
      </c>
      <c r="DO182" s="232">
        <f>IF(DO$11&lt;=36,IF(DO$11=0,Assumptions!$AA$13,0)+IF(DO$103&lt;&gt;0,-DO$103*Assumptions!$AA$10,0)+IF(DO$11=1,Assumptions!$AA$15,0),0)</f>
        <v/>
      </c>
      <c r="DP182" s="232">
        <f>IF(DP$11&lt;=36,IF(DP$11=0,Assumptions!$AA$13,0)+IF(DP$103&lt;&gt;0,-DP$103*Assumptions!$AA$10,0)+IF(DP$11=1,Assumptions!$AA$15,0),0)</f>
        <v/>
      </c>
      <c r="DQ182" s="232">
        <f>IF(DQ$11&lt;=36,IF(DQ$11=0,Assumptions!$AA$13,0)+IF(DQ$103&lt;&gt;0,-DQ$103*Assumptions!$AA$10,0)+IF(DQ$11=1,Assumptions!$AA$15,0),0)</f>
        <v/>
      </c>
      <c r="DR182" s="232">
        <f>IF(DR$11&lt;=36,IF(DR$11=0,Assumptions!$AA$13,0)+IF(DR$103&lt;&gt;0,-DR$103*Assumptions!$AA$10,0)+IF(DR$11=1,Assumptions!$AA$15,0),0)</f>
        <v/>
      </c>
      <c r="DS182" s="232">
        <f>IF(DS$11&lt;=36,IF(DS$11=0,Assumptions!$AA$13,0)+IF(DS$103&lt;&gt;0,-DS$103*Assumptions!$AA$10,0)+IF(DS$11=1,Assumptions!$AA$15,0),0)</f>
        <v/>
      </c>
      <c r="DT182" s="232">
        <f>IF(DT$11&lt;=36,IF(DT$11=0,Assumptions!$AA$13,0)+IF(DT$103&lt;&gt;0,-DT$103*Assumptions!$AA$10,0)+IF(DT$11=1,Assumptions!$AA$15,0),0)</f>
        <v/>
      </c>
    </row>
    <row r="183" ht="15" customHeight="1" s="148">
      <c r="A183" t="inlineStr">
        <is>
          <t>Acq Payment</t>
        </is>
      </c>
      <c r="D183" s="232">
        <f>IF(OR(D$11=0,D$11&gt;36),0,-ROUND(PMT(Assumptions!$AA$18/12,Assumptions!$AA$24*12,D$181+D$182),0))</f>
        <v/>
      </c>
      <c r="E183" s="232">
        <f>IF(OR(E$11=0,E$11&gt;36),0,-ROUND(PMT(Assumptions!$AA$18/12,Assumptions!$AA$24*12,E$181+E$182),0))</f>
        <v/>
      </c>
      <c r="F183" s="232">
        <f>IF(OR(F$11=0,F$11&gt;36),0,-ROUND(PMT(Assumptions!$AA$18/12,Assumptions!$AA$24*12,F$181+F$182),0))</f>
        <v/>
      </c>
      <c r="G183" s="232">
        <f>IF(OR(G$11=0,G$11&gt;36),0,-ROUND(PMT(Assumptions!$AA$18/12,Assumptions!$AA$24*12,G$181+G$182),0))</f>
        <v/>
      </c>
      <c r="H183" s="232">
        <f>IF(OR(H$11=0,H$11&gt;36),0,-ROUND(PMT(Assumptions!$AA$18/12,Assumptions!$AA$24*12,H$181+H$182),0))</f>
        <v/>
      </c>
      <c r="I183" s="232">
        <f>IF(OR(I$11=0,I$11&gt;36),0,-ROUND(PMT(Assumptions!$AA$18/12,Assumptions!$AA$24*12,I$181+I$182),0))</f>
        <v/>
      </c>
      <c r="J183" s="232">
        <f>IF(OR(J$11=0,J$11&gt;36),0,-ROUND(PMT(Assumptions!$AA$18/12,Assumptions!$AA$24*12,J$181+J$182),0))</f>
        <v/>
      </c>
      <c r="K183" s="232">
        <f>IF(OR(K$11=0,K$11&gt;36),0,-ROUND(PMT(Assumptions!$AA$18/12,Assumptions!$AA$24*12,K$181+K$182),0))</f>
        <v/>
      </c>
      <c r="L183" s="232">
        <f>IF(OR(L$11=0,L$11&gt;36),0,-ROUND(PMT(Assumptions!$AA$18/12,Assumptions!$AA$24*12,L$181+L$182),0))</f>
        <v/>
      </c>
      <c r="M183" s="232">
        <f>IF(OR(M$11=0,M$11&gt;36),0,-ROUND(PMT(Assumptions!$AA$18/12,Assumptions!$AA$24*12,M$181+M$182),0))</f>
        <v/>
      </c>
      <c r="N183" s="232">
        <f>IF(OR(N$11=0,N$11&gt;36),0,-ROUND(PMT(Assumptions!$AA$18/12,Assumptions!$AA$24*12,N$181+N$182),0))</f>
        <v/>
      </c>
      <c r="O183" s="232">
        <f>IF(OR(O$11=0,O$11&gt;36),0,-ROUND(PMT(Assumptions!$AA$18/12,Assumptions!$AA$24*12,O$181+O$182),0))</f>
        <v/>
      </c>
      <c r="P183" s="232">
        <f>IF(OR(P$11=0,P$11&gt;36),0,-ROUND(PMT(Assumptions!$AA$18/12,Assumptions!$AA$24*12,P$181+P$182),0))</f>
        <v/>
      </c>
      <c r="Q183" s="232">
        <f>IF(OR(Q$11=0,Q$11&gt;36),0,-ROUND(PMT(Assumptions!$AA$18/12,Assumptions!$AA$24*12,Q$181+Q$182),0))</f>
        <v/>
      </c>
      <c r="R183" s="232">
        <f>IF(OR(R$11=0,R$11&gt;36),0,-ROUND(PMT(Assumptions!$AA$18/12,Assumptions!$AA$24*12,R$181+R$182),0))</f>
        <v/>
      </c>
      <c r="S183" s="232">
        <f>IF(OR(S$11=0,S$11&gt;36),0,-ROUND(PMT(Assumptions!$AA$18/12,Assumptions!$AA$24*12,S$181+S$182),0))</f>
        <v/>
      </c>
      <c r="T183" s="232">
        <f>IF(OR(T$11=0,T$11&gt;36),0,-ROUND(PMT(Assumptions!$AA$18/12,Assumptions!$AA$24*12,T$181+T$182),0))</f>
        <v/>
      </c>
      <c r="U183" s="232">
        <f>IF(OR(U$11=0,U$11&gt;36),0,-ROUND(PMT(Assumptions!$AA$18/12,Assumptions!$AA$24*12,U$181+U$182),0))</f>
        <v/>
      </c>
      <c r="V183" s="232">
        <f>IF(OR(V$11=0,V$11&gt;36),0,-ROUND(PMT(Assumptions!$AA$18/12,Assumptions!$AA$24*12,V$181+V$182),0))</f>
        <v/>
      </c>
      <c r="W183" s="232">
        <f>IF(OR(W$11=0,W$11&gt;36),0,-ROUND(PMT(Assumptions!$AA$18/12,Assumptions!$AA$24*12,W$181+W$182),0))</f>
        <v/>
      </c>
      <c r="X183" s="232">
        <f>IF(OR(X$11=0,X$11&gt;36),0,-ROUND(PMT(Assumptions!$AA$18/12,Assumptions!$AA$24*12,X$181+X$182),0))</f>
        <v/>
      </c>
      <c r="Y183" s="232">
        <f>IF(OR(Y$11=0,Y$11&gt;36),0,-ROUND(PMT(Assumptions!$AA$18/12,Assumptions!$AA$24*12,Y$181+Y$182),0))</f>
        <v/>
      </c>
      <c r="Z183" s="232">
        <f>IF(OR(Z$11=0,Z$11&gt;36),0,-ROUND(PMT(Assumptions!$AA$18/12,Assumptions!$AA$24*12,Z$181+Z$182),0))</f>
        <v/>
      </c>
      <c r="AA183" s="232">
        <f>IF(OR(AA$11=0,AA$11&gt;36),0,-ROUND(PMT(Assumptions!$AA$18/12,Assumptions!$AA$24*12,AA$181+AA$182),0))</f>
        <v/>
      </c>
      <c r="AB183" s="232">
        <f>IF(OR(AB$11=0,AB$11&gt;36),0,-ROUND(PMT(Assumptions!$AA$18/12,Assumptions!$AA$24*12,AB$181+AB$182),0))</f>
        <v/>
      </c>
      <c r="AC183" s="232">
        <f>IF(OR(AC$11=0,AC$11&gt;36),0,-ROUND(PMT(Assumptions!$AA$18/12,Assumptions!$AA$24*12,AC$181+AC$182),0))</f>
        <v/>
      </c>
      <c r="AD183" s="232">
        <f>IF(OR(AD$11=0,AD$11&gt;36),0,-ROUND(PMT(Assumptions!$AA$18/12,Assumptions!$AA$24*12,AD$181+AD$182),0))</f>
        <v/>
      </c>
      <c r="AE183" s="232">
        <f>IF(OR(AE$11=0,AE$11&gt;36),0,-ROUND(PMT(Assumptions!$AA$18/12,Assumptions!$AA$24*12,AE$181+AE$182),0))</f>
        <v/>
      </c>
      <c r="AF183" s="232">
        <f>IF(OR(AF$11=0,AF$11&gt;36),0,-ROUND(PMT(Assumptions!$AA$18/12,Assumptions!$AA$24*12,AF$181+AF$182),0))</f>
        <v/>
      </c>
      <c r="AG183" s="232">
        <f>IF(OR(AG$11=0,AG$11&gt;36),0,-ROUND(PMT(Assumptions!$AA$18/12,Assumptions!$AA$24*12,AG$181+AG$182),0))</f>
        <v/>
      </c>
      <c r="AH183" s="232">
        <f>IF(OR(AH$11=0,AH$11&gt;36),0,-ROUND(PMT(Assumptions!$AA$18/12,Assumptions!$AA$24*12,AH$181+AH$182),0))</f>
        <v/>
      </c>
      <c r="AI183" s="232">
        <f>IF(OR(AI$11=0,AI$11&gt;36),0,-ROUND(PMT(Assumptions!$AA$18/12,Assumptions!$AA$24*12,AI$181+AI$182),0))</f>
        <v/>
      </c>
      <c r="AJ183" s="232">
        <f>IF(OR(AJ$11=0,AJ$11&gt;36),0,-ROUND(PMT(Assumptions!$AA$18/12,Assumptions!$AA$24*12,AJ$181+AJ$182),0))</f>
        <v/>
      </c>
      <c r="AK183" s="232">
        <f>IF(OR(AK$11=0,AK$11&gt;36),0,-ROUND(PMT(Assumptions!$AA$18/12,Assumptions!$AA$24*12,AK$181+AK$182),0))</f>
        <v/>
      </c>
      <c r="AL183" s="232">
        <f>IF(OR(AL$11=0,AL$11&gt;36),0,-ROUND(PMT(Assumptions!$AA$18/12,Assumptions!$AA$24*12,AL$181+AL$182),0))</f>
        <v/>
      </c>
      <c r="AM183" s="232">
        <f>IF(OR(AM$11=0,AM$11&gt;36),0,-ROUND(PMT(Assumptions!$AA$18/12,Assumptions!$AA$24*12,AM$181+AM$182),0))</f>
        <v/>
      </c>
      <c r="AN183" s="232">
        <f>IF(OR(AN$11=0,AN$11&gt;36),0,-ROUND(PMT(Assumptions!$AA$18/12,Assumptions!$AA$24*12,AN$181+AN$182),0))</f>
        <v/>
      </c>
      <c r="AO183" s="232">
        <f>IF(OR(AO$11=0,AO$11&gt;36),0,-ROUND(PMT(Assumptions!$AA$18/12,Assumptions!$AA$24*12,AO$181+AO$182),0))</f>
        <v/>
      </c>
      <c r="AP183" s="232">
        <f>IF(OR(AP$11=0,AP$11&gt;36),0,-ROUND(PMT(Assumptions!$AA$18/12,Assumptions!$AA$24*12,AP$181+AP$182),0))</f>
        <v/>
      </c>
      <c r="AQ183" s="232">
        <f>IF(OR(AQ$11=0,AQ$11&gt;36),0,-ROUND(PMT(Assumptions!$AA$18/12,Assumptions!$AA$24*12,AQ$181+AQ$182),0))</f>
        <v/>
      </c>
      <c r="AR183" s="232">
        <f>IF(OR(AR$11=0,AR$11&gt;36),0,-ROUND(PMT(Assumptions!$AA$18/12,Assumptions!$AA$24*12,AR$181+AR$182),0))</f>
        <v/>
      </c>
      <c r="AS183" s="232">
        <f>IF(OR(AS$11=0,AS$11&gt;36),0,-ROUND(PMT(Assumptions!$AA$18/12,Assumptions!$AA$24*12,AS$181+AS$182),0))</f>
        <v/>
      </c>
      <c r="AT183" s="232">
        <f>IF(OR(AT$11=0,AT$11&gt;36),0,-ROUND(PMT(Assumptions!$AA$18/12,Assumptions!$AA$24*12,AT$181+AT$182),0))</f>
        <v/>
      </c>
      <c r="AU183" s="232">
        <f>IF(OR(AU$11=0,AU$11&gt;36),0,-ROUND(PMT(Assumptions!$AA$18/12,Assumptions!$AA$24*12,AU$181+AU$182),0))</f>
        <v/>
      </c>
      <c r="AV183" s="232">
        <f>IF(OR(AV$11=0,AV$11&gt;36),0,-ROUND(PMT(Assumptions!$AA$18/12,Assumptions!$AA$24*12,AV$181+AV$182),0))</f>
        <v/>
      </c>
      <c r="AW183" s="232">
        <f>IF(OR(AW$11=0,AW$11&gt;36),0,-ROUND(PMT(Assumptions!$AA$18/12,Assumptions!$AA$24*12,AW$181+AW$182),0))</f>
        <v/>
      </c>
      <c r="AX183" s="232">
        <f>IF(OR(AX$11=0,AX$11&gt;36),0,-ROUND(PMT(Assumptions!$AA$18/12,Assumptions!$AA$24*12,AX$181+AX$182),0))</f>
        <v/>
      </c>
      <c r="AY183" s="232">
        <f>IF(OR(AY$11=0,AY$11&gt;36),0,-ROUND(PMT(Assumptions!$AA$18/12,Assumptions!$AA$24*12,AY$181+AY$182),0))</f>
        <v/>
      </c>
      <c r="AZ183" s="232">
        <f>IF(OR(AZ$11=0,AZ$11&gt;36),0,-ROUND(PMT(Assumptions!$AA$18/12,Assumptions!$AA$24*12,AZ$181+AZ$182),0))</f>
        <v/>
      </c>
      <c r="BA183" s="232">
        <f>IF(OR(BA$11=0,BA$11&gt;36),0,-ROUND(PMT(Assumptions!$AA$18/12,Assumptions!$AA$24*12,BA$181+BA$182),0))</f>
        <v/>
      </c>
      <c r="BB183" s="232">
        <f>IF(OR(BB$11=0,BB$11&gt;36),0,-ROUND(PMT(Assumptions!$AA$18/12,Assumptions!$AA$24*12,BB$181+BB$182),0))</f>
        <v/>
      </c>
      <c r="BC183" s="232">
        <f>IF(OR(BC$11=0,BC$11&gt;36),0,-ROUND(PMT(Assumptions!$AA$18/12,Assumptions!$AA$24*12,BC$181+BC$182),0))</f>
        <v/>
      </c>
      <c r="BD183" s="232">
        <f>IF(OR(BD$11=0,BD$11&gt;36),0,-ROUND(PMT(Assumptions!$AA$18/12,Assumptions!$AA$24*12,BD$181+BD$182),0))</f>
        <v/>
      </c>
      <c r="BE183" s="232">
        <f>IF(OR(BE$11=0,BE$11&gt;36),0,-ROUND(PMT(Assumptions!$AA$18/12,Assumptions!$AA$24*12,BE$181+BE$182),0))</f>
        <v/>
      </c>
      <c r="BF183" s="232">
        <f>IF(OR(BF$11=0,BF$11&gt;36),0,-ROUND(PMT(Assumptions!$AA$18/12,Assumptions!$AA$24*12,BF$181+BF$182),0))</f>
        <v/>
      </c>
      <c r="BG183" s="232">
        <f>IF(OR(BG$11=0,BG$11&gt;36),0,-ROUND(PMT(Assumptions!$AA$18/12,Assumptions!$AA$24*12,BG$181+BG$182),0))</f>
        <v/>
      </c>
      <c r="BH183" s="232">
        <f>IF(OR(BH$11=0,BH$11&gt;36),0,-ROUND(PMT(Assumptions!$AA$18/12,Assumptions!$AA$24*12,BH$181+BH$182),0))</f>
        <v/>
      </c>
      <c r="BI183" s="232">
        <f>IF(OR(BI$11=0,BI$11&gt;36),0,-ROUND(PMT(Assumptions!$AA$18/12,Assumptions!$AA$24*12,BI$181+BI$182),0))</f>
        <v/>
      </c>
      <c r="BJ183" s="232">
        <f>IF(OR(BJ$11=0,BJ$11&gt;36),0,-ROUND(PMT(Assumptions!$AA$18/12,Assumptions!$AA$24*12,BJ$181+BJ$182),0))</f>
        <v/>
      </c>
      <c r="BK183" s="232">
        <f>IF(OR(BK$11=0,BK$11&gt;36),0,-ROUND(PMT(Assumptions!$AA$18/12,Assumptions!$AA$24*12,BK$181+BK$182),0))</f>
        <v/>
      </c>
      <c r="BL183" s="232">
        <f>IF(OR(BL$11=0,BL$11&gt;36),0,-ROUND(PMT(Assumptions!$AA$18/12,Assumptions!$AA$24*12,BL$181+BL$182),0))</f>
        <v/>
      </c>
      <c r="BM183" s="232">
        <f>IF(OR(BM$11=0,BM$11&gt;36),0,-ROUND(PMT(Assumptions!$AA$18/12,Assumptions!$AA$24*12,BM$181+BM$182),0))</f>
        <v/>
      </c>
      <c r="BN183" s="232">
        <f>IF(OR(BN$11=0,BN$11&gt;36),0,-ROUND(PMT(Assumptions!$AA$18/12,Assumptions!$AA$24*12,BN$181+BN$182),0))</f>
        <v/>
      </c>
      <c r="BO183" s="232">
        <f>IF(OR(BO$11=0,BO$11&gt;36),0,-ROUND(PMT(Assumptions!$AA$18/12,Assumptions!$AA$24*12,BO$181+BO$182),0))</f>
        <v/>
      </c>
      <c r="BP183" s="232">
        <f>IF(OR(BP$11=0,BP$11&gt;36),0,-ROUND(PMT(Assumptions!$AA$18/12,Assumptions!$AA$24*12,BP$181+BP$182),0))</f>
        <v/>
      </c>
      <c r="BQ183" s="232">
        <f>IF(OR(BQ$11=0,BQ$11&gt;36),0,-ROUND(PMT(Assumptions!$AA$18/12,Assumptions!$AA$24*12,BQ$181+BQ$182),0))</f>
        <v/>
      </c>
      <c r="BR183" s="232">
        <f>IF(OR(BR$11=0,BR$11&gt;36),0,-ROUND(PMT(Assumptions!$AA$18/12,Assumptions!$AA$24*12,BR$181+BR$182),0))</f>
        <v/>
      </c>
      <c r="BS183" s="232">
        <f>IF(OR(BS$11=0,BS$11&gt;36),0,-ROUND(PMT(Assumptions!$AA$18/12,Assumptions!$AA$24*12,BS$181+BS$182),0))</f>
        <v/>
      </c>
      <c r="BT183" s="232">
        <f>IF(OR(BT$11=0,BT$11&gt;36),0,-ROUND(PMT(Assumptions!$AA$18/12,Assumptions!$AA$24*12,BT$181+BT$182),0))</f>
        <v/>
      </c>
      <c r="BU183" s="232">
        <f>IF(OR(BU$11=0,BU$11&gt;36),0,-ROUND(PMT(Assumptions!$AA$18/12,Assumptions!$AA$24*12,BU$181+BU$182),0))</f>
        <v/>
      </c>
      <c r="BV183" s="232">
        <f>IF(OR(BV$11=0,BV$11&gt;36),0,-ROUND(PMT(Assumptions!$AA$18/12,Assumptions!$AA$24*12,BV$181+BV$182),0))</f>
        <v/>
      </c>
      <c r="BW183" s="232">
        <f>IF(OR(BW$11=0,BW$11&gt;36),0,-ROUND(PMT(Assumptions!$AA$18/12,Assumptions!$AA$24*12,BW$181+BW$182),0))</f>
        <v/>
      </c>
      <c r="BX183" s="232">
        <f>IF(OR(BX$11=0,BX$11&gt;36),0,-ROUND(PMT(Assumptions!$AA$18/12,Assumptions!$AA$24*12,BX$181+BX$182),0))</f>
        <v/>
      </c>
      <c r="BY183" s="232">
        <f>IF(OR(BY$11=0,BY$11&gt;36),0,-ROUND(PMT(Assumptions!$AA$18/12,Assumptions!$AA$24*12,BY$181+BY$182),0))</f>
        <v/>
      </c>
      <c r="BZ183" s="232">
        <f>IF(OR(BZ$11=0,BZ$11&gt;36),0,-ROUND(PMT(Assumptions!$AA$18/12,Assumptions!$AA$24*12,BZ$181+BZ$182),0))</f>
        <v/>
      </c>
      <c r="CA183" s="232">
        <f>IF(OR(CA$11=0,CA$11&gt;36),0,-ROUND(PMT(Assumptions!$AA$18/12,Assumptions!$AA$24*12,CA$181+CA$182),0))</f>
        <v/>
      </c>
      <c r="CB183" s="232">
        <f>IF(OR(CB$11=0,CB$11&gt;36),0,-ROUND(PMT(Assumptions!$AA$18/12,Assumptions!$AA$24*12,CB$181+CB$182),0))</f>
        <v/>
      </c>
      <c r="CC183" s="232">
        <f>IF(OR(CC$11=0,CC$11&gt;36),0,-ROUND(PMT(Assumptions!$AA$18/12,Assumptions!$AA$24*12,CC$181+CC$182),0))</f>
        <v/>
      </c>
      <c r="CD183" s="232">
        <f>IF(OR(CD$11=0,CD$11&gt;36),0,-ROUND(PMT(Assumptions!$AA$18/12,Assumptions!$AA$24*12,CD$181+CD$182),0))</f>
        <v/>
      </c>
      <c r="CE183" s="232">
        <f>IF(OR(CE$11=0,CE$11&gt;36),0,-ROUND(PMT(Assumptions!$AA$18/12,Assumptions!$AA$24*12,CE$181+CE$182),0))</f>
        <v/>
      </c>
      <c r="CF183" s="232">
        <f>IF(OR(CF$11=0,CF$11&gt;36),0,-ROUND(PMT(Assumptions!$AA$18/12,Assumptions!$AA$24*12,CF$181+CF$182),0))</f>
        <v/>
      </c>
      <c r="CG183" s="232">
        <f>IF(OR(CG$11=0,CG$11&gt;36),0,-ROUND(PMT(Assumptions!$AA$18/12,Assumptions!$AA$24*12,CG$181+CG$182),0))</f>
        <v/>
      </c>
      <c r="CH183" s="232">
        <f>IF(OR(CH$11=0,CH$11&gt;36),0,-ROUND(PMT(Assumptions!$AA$18/12,Assumptions!$AA$24*12,CH$181+CH$182),0))</f>
        <v/>
      </c>
      <c r="CI183" s="232">
        <f>IF(OR(CI$11=0,CI$11&gt;36),0,-ROUND(PMT(Assumptions!$AA$18/12,Assumptions!$AA$24*12,CI$181+CI$182),0))</f>
        <v/>
      </c>
      <c r="CJ183" s="232">
        <f>IF(OR(CJ$11=0,CJ$11&gt;36),0,-ROUND(PMT(Assumptions!$AA$18/12,Assumptions!$AA$24*12,CJ$181+CJ$182),0))</f>
        <v/>
      </c>
      <c r="CK183" s="232">
        <f>IF(OR(CK$11=0,CK$11&gt;36),0,-ROUND(PMT(Assumptions!$AA$18/12,Assumptions!$AA$24*12,CK$181+CK$182),0))</f>
        <v/>
      </c>
      <c r="CL183" s="232">
        <f>IF(OR(CL$11=0,CL$11&gt;36),0,-ROUND(PMT(Assumptions!$AA$18/12,Assumptions!$AA$24*12,CL$181+CL$182),0))</f>
        <v/>
      </c>
      <c r="CM183" s="232">
        <f>IF(OR(CM$11=0,CM$11&gt;36),0,-ROUND(PMT(Assumptions!$AA$18/12,Assumptions!$AA$24*12,CM$181+CM$182),0))</f>
        <v/>
      </c>
      <c r="CN183" s="232">
        <f>IF(OR(CN$11=0,CN$11&gt;36),0,-ROUND(PMT(Assumptions!$AA$18/12,Assumptions!$AA$24*12,CN$181+CN$182),0))</f>
        <v/>
      </c>
      <c r="CO183" s="232">
        <f>IF(OR(CO$11=0,CO$11&gt;36),0,-ROUND(PMT(Assumptions!$AA$18/12,Assumptions!$AA$24*12,CO$181+CO$182),0))</f>
        <v/>
      </c>
      <c r="CP183" s="232">
        <f>IF(OR(CP$11=0,CP$11&gt;36),0,-ROUND(PMT(Assumptions!$AA$18/12,Assumptions!$AA$24*12,CP$181+CP$182),0))</f>
        <v/>
      </c>
      <c r="CQ183" s="232">
        <f>IF(OR(CQ$11=0,CQ$11&gt;36),0,-ROUND(PMT(Assumptions!$AA$18/12,Assumptions!$AA$24*12,CQ$181+CQ$182),0))</f>
        <v/>
      </c>
      <c r="CR183" s="232">
        <f>IF(OR(CR$11=0,CR$11&gt;36),0,-ROUND(PMT(Assumptions!$AA$18/12,Assumptions!$AA$24*12,CR$181+CR$182),0))</f>
        <v/>
      </c>
      <c r="CS183" s="232">
        <f>IF(OR(CS$11=0,CS$11&gt;36),0,-ROUND(PMT(Assumptions!$AA$18/12,Assumptions!$AA$24*12,CS$181+CS$182),0))</f>
        <v/>
      </c>
      <c r="CT183" s="232">
        <f>IF(OR(CT$11=0,CT$11&gt;36),0,-ROUND(PMT(Assumptions!$AA$18/12,Assumptions!$AA$24*12,CT$181+CT$182),0))</f>
        <v/>
      </c>
      <c r="CU183" s="232">
        <f>IF(OR(CU$11=0,CU$11&gt;36),0,-ROUND(PMT(Assumptions!$AA$18/12,Assumptions!$AA$24*12,CU$181+CU$182),0))</f>
        <v/>
      </c>
      <c r="CV183" s="232">
        <f>IF(OR(CV$11=0,CV$11&gt;36),0,-ROUND(PMT(Assumptions!$AA$18/12,Assumptions!$AA$24*12,CV$181+CV$182),0))</f>
        <v/>
      </c>
      <c r="CW183" s="232">
        <f>IF(OR(CW$11=0,CW$11&gt;36),0,-ROUND(PMT(Assumptions!$AA$18/12,Assumptions!$AA$24*12,CW$181+CW$182),0))</f>
        <v/>
      </c>
      <c r="CX183" s="232">
        <f>IF(OR(CX$11=0,CX$11&gt;36),0,-ROUND(PMT(Assumptions!$AA$18/12,Assumptions!$AA$24*12,CX$181+CX$182),0))</f>
        <v/>
      </c>
      <c r="CY183" s="232">
        <f>IF(OR(CY$11=0,CY$11&gt;36),0,-ROUND(PMT(Assumptions!$AA$18/12,Assumptions!$AA$24*12,CY$181+CY$182),0))</f>
        <v/>
      </c>
      <c r="CZ183" s="232">
        <f>IF(OR(CZ$11=0,CZ$11&gt;36),0,-ROUND(PMT(Assumptions!$AA$18/12,Assumptions!$AA$24*12,CZ$181+CZ$182),0))</f>
        <v/>
      </c>
      <c r="DA183" s="232">
        <f>IF(OR(DA$11=0,DA$11&gt;36),0,-ROUND(PMT(Assumptions!$AA$18/12,Assumptions!$AA$24*12,DA$181+DA$182),0))</f>
        <v/>
      </c>
      <c r="DB183" s="232">
        <f>IF(OR(DB$11=0,DB$11&gt;36),0,-ROUND(PMT(Assumptions!$AA$18/12,Assumptions!$AA$24*12,DB$181+DB$182),0))</f>
        <v/>
      </c>
      <c r="DC183" s="232">
        <f>IF(OR(DC$11=0,DC$11&gt;36),0,-ROUND(PMT(Assumptions!$AA$18/12,Assumptions!$AA$24*12,DC$181+DC$182),0))</f>
        <v/>
      </c>
      <c r="DD183" s="232">
        <f>IF(OR(DD$11=0,DD$11&gt;36),0,-ROUND(PMT(Assumptions!$AA$18/12,Assumptions!$AA$24*12,DD$181+DD$182),0))</f>
        <v/>
      </c>
      <c r="DE183" s="232">
        <f>IF(OR(DE$11=0,DE$11&gt;36),0,-ROUND(PMT(Assumptions!$AA$18/12,Assumptions!$AA$24*12,DE$181+DE$182),0))</f>
        <v/>
      </c>
      <c r="DF183" s="232">
        <f>IF(OR(DF$11=0,DF$11&gt;36),0,-ROUND(PMT(Assumptions!$AA$18/12,Assumptions!$AA$24*12,DF$181+DF$182),0))</f>
        <v/>
      </c>
      <c r="DG183" s="232">
        <f>IF(OR(DG$11=0,DG$11&gt;36),0,-ROUND(PMT(Assumptions!$AA$18/12,Assumptions!$AA$24*12,DG$181+DG$182),0))</f>
        <v/>
      </c>
      <c r="DH183" s="232">
        <f>IF(OR(DH$11=0,DH$11&gt;36),0,-ROUND(PMT(Assumptions!$AA$18/12,Assumptions!$AA$24*12,DH$181+DH$182),0))</f>
        <v/>
      </c>
      <c r="DI183" s="232">
        <f>IF(OR(DI$11=0,DI$11&gt;36),0,-ROUND(PMT(Assumptions!$AA$18/12,Assumptions!$AA$24*12,DI$181+DI$182),0))</f>
        <v/>
      </c>
      <c r="DJ183" s="232">
        <f>IF(OR(DJ$11=0,DJ$11&gt;36),0,-ROUND(PMT(Assumptions!$AA$18/12,Assumptions!$AA$24*12,DJ$181+DJ$182),0))</f>
        <v/>
      </c>
      <c r="DK183" s="232">
        <f>IF(OR(DK$11=0,DK$11&gt;36),0,-ROUND(PMT(Assumptions!$AA$18/12,Assumptions!$AA$24*12,DK$181+DK$182),0))</f>
        <v/>
      </c>
      <c r="DL183" s="232">
        <f>IF(OR(DL$11=0,DL$11&gt;36),0,-ROUND(PMT(Assumptions!$AA$18/12,Assumptions!$AA$24*12,DL$181+DL$182),0))</f>
        <v/>
      </c>
      <c r="DM183" s="232">
        <f>IF(OR(DM$11=0,DM$11&gt;36),0,-ROUND(PMT(Assumptions!$AA$18/12,Assumptions!$AA$24*12,DM$181+DM$182),0))</f>
        <v/>
      </c>
      <c r="DN183" s="232">
        <f>IF(OR(DN$11=0,DN$11&gt;36),0,-ROUND(PMT(Assumptions!$AA$18/12,Assumptions!$AA$24*12,DN$181+DN$182),0))</f>
        <v/>
      </c>
      <c r="DO183" s="232">
        <f>IF(OR(DO$11=0,DO$11&gt;36),0,-ROUND(PMT(Assumptions!$AA$18/12,Assumptions!$AA$24*12,DO$181+DO$182),0))</f>
        <v/>
      </c>
      <c r="DP183" s="232">
        <f>IF(OR(DP$11=0,DP$11&gt;36),0,-ROUND(PMT(Assumptions!$AA$18/12,Assumptions!$AA$24*12,DP$181+DP$182),0))</f>
        <v/>
      </c>
      <c r="DQ183" s="232">
        <f>IF(OR(DQ$11=0,DQ$11&gt;36),0,-ROUND(PMT(Assumptions!$AA$18/12,Assumptions!$AA$24*12,DQ$181+DQ$182),0))</f>
        <v/>
      </c>
      <c r="DR183" s="232">
        <f>IF(OR(DR$11=0,DR$11&gt;36),0,-ROUND(PMT(Assumptions!$AA$18/12,Assumptions!$AA$24*12,DR$181+DR$182),0))</f>
        <v/>
      </c>
      <c r="DS183" s="232">
        <f>IF(OR(DS$11=0,DS$11&gt;36),0,-ROUND(PMT(Assumptions!$AA$18/12,Assumptions!$AA$24*12,DS$181+DS$182),0))</f>
        <v/>
      </c>
      <c r="DT183" s="232">
        <f>IF(OR(DT$11=0,DT$11&gt;36),0,-ROUND(PMT(Assumptions!$AA$18/12,Assumptions!$AA$24*12,DT$181+DT$182),0))</f>
        <v/>
      </c>
    </row>
    <row r="184" ht="15" customHeight="1" s="148">
      <c r="A184" t="inlineStr">
        <is>
          <t>Acq Interest</t>
        </is>
      </c>
      <c r="D184" s="232">
        <f>IF(OR(D$11=0,D$11&gt;36),0,-D$181*Assumptions!$AA$18/12)</f>
        <v/>
      </c>
      <c r="E184" s="232">
        <f>IF(OR(E$11=0,E$11&gt;36),0,-E$181*Assumptions!$AA$18/12)</f>
        <v/>
      </c>
      <c r="F184" s="232">
        <f>IF(OR(F$11=0,F$11&gt;36),0,-F$181*Assumptions!$AA$18/12)</f>
        <v/>
      </c>
      <c r="G184" s="232">
        <f>IF(OR(G$11=0,G$11&gt;36),0,-G$181*Assumptions!$AA$18/12)</f>
        <v/>
      </c>
      <c r="H184" s="232">
        <f>IF(OR(H$11=0,H$11&gt;36),0,-H$181*Assumptions!$AA$18/12)</f>
        <v/>
      </c>
      <c r="I184" s="232">
        <f>IF(OR(I$11=0,I$11&gt;36),0,-I$181*Assumptions!$AA$18/12)</f>
        <v/>
      </c>
      <c r="J184" s="232">
        <f>IF(OR(J$11=0,J$11&gt;36),0,-J$181*Assumptions!$AA$18/12)</f>
        <v/>
      </c>
      <c r="K184" s="232">
        <f>IF(OR(K$11=0,K$11&gt;36),0,-K$181*Assumptions!$AA$18/12)</f>
        <v/>
      </c>
      <c r="L184" s="232">
        <f>IF(OR(L$11=0,L$11&gt;36),0,-L$181*Assumptions!$AA$18/12)</f>
        <v/>
      </c>
      <c r="M184" s="232">
        <f>IF(OR(M$11=0,M$11&gt;36),0,-M$181*Assumptions!$AA$18/12)</f>
        <v/>
      </c>
      <c r="N184" s="232">
        <f>IF(OR(N$11=0,N$11&gt;36),0,-N$181*Assumptions!$AA$18/12)</f>
        <v/>
      </c>
      <c r="O184" s="232">
        <f>IF(OR(O$11=0,O$11&gt;36),0,-O$181*Assumptions!$AA$18/12)</f>
        <v/>
      </c>
      <c r="P184" s="232">
        <f>IF(OR(P$11=0,P$11&gt;36),0,-P$181*Assumptions!$AA$18/12)</f>
        <v/>
      </c>
      <c r="Q184" s="232">
        <f>IF(OR(Q$11=0,Q$11&gt;36),0,-Q$181*Assumptions!$AA$18/12)</f>
        <v/>
      </c>
      <c r="R184" s="232">
        <f>IF(OR(R$11=0,R$11&gt;36),0,-R$181*Assumptions!$AA$18/12)</f>
        <v/>
      </c>
      <c r="S184" s="232">
        <f>IF(OR(S$11=0,S$11&gt;36),0,-S$181*Assumptions!$AA$18/12)</f>
        <v/>
      </c>
      <c r="T184" s="232">
        <f>IF(OR(T$11=0,T$11&gt;36),0,-T$181*Assumptions!$AA$18/12)</f>
        <v/>
      </c>
      <c r="U184" s="232">
        <f>IF(OR(U$11=0,U$11&gt;36),0,-U$181*Assumptions!$AA$18/12)</f>
        <v/>
      </c>
      <c r="V184" s="232">
        <f>IF(OR(V$11=0,V$11&gt;36),0,-V$181*Assumptions!$AA$18/12)</f>
        <v/>
      </c>
      <c r="W184" s="232">
        <f>IF(OR(W$11=0,W$11&gt;36),0,-W$181*Assumptions!$AA$18/12)</f>
        <v/>
      </c>
      <c r="X184" s="232">
        <f>IF(OR(X$11=0,X$11&gt;36),0,-X$181*Assumptions!$AA$18/12)</f>
        <v/>
      </c>
      <c r="Y184" s="232">
        <f>IF(OR(Y$11=0,Y$11&gt;36),0,-Y$181*Assumptions!$AA$18/12)</f>
        <v/>
      </c>
      <c r="Z184" s="232">
        <f>IF(OR(Z$11=0,Z$11&gt;36),0,-Z$181*Assumptions!$AA$18/12)</f>
        <v/>
      </c>
      <c r="AA184" s="232">
        <f>IF(OR(AA$11=0,AA$11&gt;36),0,-AA$181*Assumptions!$AA$18/12)</f>
        <v/>
      </c>
      <c r="AB184" s="232">
        <f>IF(OR(AB$11=0,AB$11&gt;36),0,-AB$181*Assumptions!$AA$18/12)</f>
        <v/>
      </c>
      <c r="AC184" s="232">
        <f>IF(OR(AC$11=0,AC$11&gt;36),0,-AC$181*Assumptions!$AA$18/12)</f>
        <v/>
      </c>
      <c r="AD184" s="232">
        <f>IF(OR(AD$11=0,AD$11&gt;36),0,-AD$181*Assumptions!$AA$18/12)</f>
        <v/>
      </c>
      <c r="AE184" s="232">
        <f>IF(OR(AE$11=0,AE$11&gt;36),0,-AE$181*Assumptions!$AA$18/12)</f>
        <v/>
      </c>
      <c r="AF184" s="232">
        <f>IF(OR(AF$11=0,AF$11&gt;36),0,-AF$181*Assumptions!$AA$18/12)</f>
        <v/>
      </c>
      <c r="AG184" s="232">
        <f>IF(OR(AG$11=0,AG$11&gt;36),0,-AG$181*Assumptions!$AA$18/12)</f>
        <v/>
      </c>
      <c r="AH184" s="232">
        <f>IF(OR(AH$11=0,AH$11&gt;36),0,-AH$181*Assumptions!$AA$18/12)</f>
        <v/>
      </c>
      <c r="AI184" s="232">
        <f>IF(OR(AI$11=0,AI$11&gt;36),0,-AI$181*Assumptions!$AA$18/12)</f>
        <v/>
      </c>
      <c r="AJ184" s="232">
        <f>IF(OR(AJ$11=0,AJ$11&gt;36),0,-AJ$181*Assumptions!$AA$18/12)</f>
        <v/>
      </c>
      <c r="AK184" s="232">
        <f>IF(OR(AK$11=0,AK$11&gt;36),0,-AK$181*Assumptions!$AA$18/12)</f>
        <v/>
      </c>
      <c r="AL184" s="232">
        <f>IF(OR(AL$11=0,AL$11&gt;36),0,-AL$181*Assumptions!$AA$18/12)</f>
        <v/>
      </c>
      <c r="AM184" s="232">
        <f>IF(OR(AM$11=0,AM$11&gt;36),0,-AM$181*Assumptions!$AA$18/12)</f>
        <v/>
      </c>
      <c r="AN184" s="232">
        <f>IF(OR(AN$11=0,AN$11&gt;36),0,-AN$181*Assumptions!$AA$18/12)</f>
        <v/>
      </c>
      <c r="AO184" s="232">
        <f>IF(OR(AO$11=0,AO$11&gt;36),0,-AO$181*Assumptions!$AA$18/12)</f>
        <v/>
      </c>
      <c r="AP184" s="232">
        <f>IF(OR(AP$11=0,AP$11&gt;36),0,-AP$181*Assumptions!$AA$18/12)</f>
        <v/>
      </c>
      <c r="AQ184" s="232">
        <f>IF(OR(AQ$11=0,AQ$11&gt;36),0,-AQ$181*Assumptions!$AA$18/12)</f>
        <v/>
      </c>
      <c r="AR184" s="232">
        <f>IF(OR(AR$11=0,AR$11&gt;36),0,-AR$181*Assumptions!$AA$18/12)</f>
        <v/>
      </c>
      <c r="AS184" s="232">
        <f>IF(OR(AS$11=0,AS$11&gt;36),0,-AS$181*Assumptions!$AA$18/12)</f>
        <v/>
      </c>
      <c r="AT184" s="232">
        <f>IF(OR(AT$11=0,AT$11&gt;36),0,-AT$181*Assumptions!$AA$18/12)</f>
        <v/>
      </c>
      <c r="AU184" s="232">
        <f>IF(OR(AU$11=0,AU$11&gt;36),0,-AU$181*Assumptions!$AA$18/12)</f>
        <v/>
      </c>
      <c r="AV184" s="232">
        <f>IF(OR(AV$11=0,AV$11&gt;36),0,-AV$181*Assumptions!$AA$18/12)</f>
        <v/>
      </c>
      <c r="AW184" s="232">
        <f>IF(OR(AW$11=0,AW$11&gt;36),0,-AW$181*Assumptions!$AA$18/12)</f>
        <v/>
      </c>
      <c r="AX184" s="232">
        <f>IF(OR(AX$11=0,AX$11&gt;36),0,-AX$181*Assumptions!$AA$18/12)</f>
        <v/>
      </c>
      <c r="AY184" s="232">
        <f>IF(OR(AY$11=0,AY$11&gt;36),0,-AY$181*Assumptions!$AA$18/12)</f>
        <v/>
      </c>
      <c r="AZ184" s="232">
        <f>IF(OR(AZ$11=0,AZ$11&gt;36),0,-AZ$181*Assumptions!$AA$18/12)</f>
        <v/>
      </c>
      <c r="BA184" s="232">
        <f>IF(OR(BA$11=0,BA$11&gt;36),0,-BA$181*Assumptions!$AA$18/12)</f>
        <v/>
      </c>
      <c r="BB184" s="232">
        <f>IF(OR(BB$11=0,BB$11&gt;36),0,-BB$181*Assumptions!$AA$18/12)</f>
        <v/>
      </c>
      <c r="BC184" s="232">
        <f>IF(OR(BC$11=0,BC$11&gt;36),0,-BC$181*Assumptions!$AA$18/12)</f>
        <v/>
      </c>
      <c r="BD184" s="232">
        <f>IF(OR(BD$11=0,BD$11&gt;36),0,-BD$181*Assumptions!$AA$18/12)</f>
        <v/>
      </c>
      <c r="BE184" s="232">
        <f>IF(OR(BE$11=0,BE$11&gt;36),0,-BE$181*Assumptions!$AA$18/12)</f>
        <v/>
      </c>
      <c r="BF184" s="232">
        <f>IF(OR(BF$11=0,BF$11&gt;36),0,-BF$181*Assumptions!$AA$18/12)</f>
        <v/>
      </c>
      <c r="BG184" s="232">
        <f>IF(OR(BG$11=0,BG$11&gt;36),0,-BG$181*Assumptions!$AA$18/12)</f>
        <v/>
      </c>
      <c r="BH184" s="232">
        <f>IF(OR(BH$11=0,BH$11&gt;36),0,-BH$181*Assumptions!$AA$18/12)</f>
        <v/>
      </c>
      <c r="BI184" s="232">
        <f>IF(OR(BI$11=0,BI$11&gt;36),0,-BI$181*Assumptions!$AA$18/12)</f>
        <v/>
      </c>
      <c r="BJ184" s="232">
        <f>IF(OR(BJ$11=0,BJ$11&gt;36),0,-BJ$181*Assumptions!$AA$18/12)</f>
        <v/>
      </c>
      <c r="BK184" s="232">
        <f>IF(OR(BK$11=0,BK$11&gt;36),0,-BK$181*Assumptions!$AA$18/12)</f>
        <v/>
      </c>
      <c r="BL184" s="232">
        <f>IF(OR(BL$11=0,BL$11&gt;36),0,-BL$181*Assumptions!$AA$18/12)</f>
        <v/>
      </c>
      <c r="BM184" s="232">
        <f>IF(OR(BM$11=0,BM$11&gt;36),0,-BM$181*Assumptions!$AA$18/12)</f>
        <v/>
      </c>
      <c r="BN184" s="232">
        <f>IF(OR(BN$11=0,BN$11&gt;36),0,-BN$181*Assumptions!$AA$18/12)</f>
        <v/>
      </c>
      <c r="BO184" s="232">
        <f>IF(OR(BO$11=0,BO$11&gt;36),0,-BO$181*Assumptions!$AA$18/12)</f>
        <v/>
      </c>
      <c r="BP184" s="232">
        <f>IF(OR(BP$11=0,BP$11&gt;36),0,-BP$181*Assumptions!$AA$18/12)</f>
        <v/>
      </c>
      <c r="BQ184" s="232">
        <f>IF(OR(BQ$11=0,BQ$11&gt;36),0,-BQ$181*Assumptions!$AA$18/12)</f>
        <v/>
      </c>
      <c r="BR184" s="232">
        <f>IF(OR(BR$11=0,BR$11&gt;36),0,-BR$181*Assumptions!$AA$18/12)</f>
        <v/>
      </c>
      <c r="BS184" s="232">
        <f>IF(OR(BS$11=0,BS$11&gt;36),0,-BS$181*Assumptions!$AA$18/12)</f>
        <v/>
      </c>
      <c r="BT184" s="232">
        <f>IF(OR(BT$11=0,BT$11&gt;36),0,-BT$181*Assumptions!$AA$18/12)</f>
        <v/>
      </c>
      <c r="BU184" s="232">
        <f>IF(OR(BU$11=0,BU$11&gt;36),0,-BU$181*Assumptions!$AA$18/12)</f>
        <v/>
      </c>
      <c r="BV184" s="232">
        <f>IF(OR(BV$11=0,BV$11&gt;36),0,-BV$181*Assumptions!$AA$18/12)</f>
        <v/>
      </c>
      <c r="BW184" s="232">
        <f>IF(OR(BW$11=0,BW$11&gt;36),0,-BW$181*Assumptions!$AA$18/12)</f>
        <v/>
      </c>
      <c r="BX184" s="232">
        <f>IF(OR(BX$11=0,BX$11&gt;36),0,-BX$181*Assumptions!$AA$18/12)</f>
        <v/>
      </c>
      <c r="BY184" s="232">
        <f>IF(OR(BY$11=0,BY$11&gt;36),0,-BY$181*Assumptions!$AA$18/12)</f>
        <v/>
      </c>
      <c r="BZ184" s="232">
        <f>IF(OR(BZ$11=0,BZ$11&gt;36),0,-BZ$181*Assumptions!$AA$18/12)</f>
        <v/>
      </c>
      <c r="CA184" s="232">
        <f>IF(OR(CA$11=0,CA$11&gt;36),0,-CA$181*Assumptions!$AA$18/12)</f>
        <v/>
      </c>
      <c r="CB184" s="232">
        <f>IF(OR(CB$11=0,CB$11&gt;36),0,-CB$181*Assumptions!$AA$18/12)</f>
        <v/>
      </c>
      <c r="CC184" s="232">
        <f>IF(OR(CC$11=0,CC$11&gt;36),0,-CC$181*Assumptions!$AA$18/12)</f>
        <v/>
      </c>
      <c r="CD184" s="232">
        <f>IF(OR(CD$11=0,CD$11&gt;36),0,-CD$181*Assumptions!$AA$18/12)</f>
        <v/>
      </c>
      <c r="CE184" s="232">
        <f>IF(OR(CE$11=0,CE$11&gt;36),0,-CE$181*Assumptions!$AA$18/12)</f>
        <v/>
      </c>
      <c r="CF184" s="232">
        <f>IF(OR(CF$11=0,CF$11&gt;36),0,-CF$181*Assumptions!$AA$18/12)</f>
        <v/>
      </c>
      <c r="CG184" s="232">
        <f>IF(OR(CG$11=0,CG$11&gt;36),0,-CG$181*Assumptions!$AA$18/12)</f>
        <v/>
      </c>
      <c r="CH184" s="232">
        <f>IF(OR(CH$11=0,CH$11&gt;36),0,-CH$181*Assumptions!$AA$18/12)</f>
        <v/>
      </c>
      <c r="CI184" s="232">
        <f>IF(OR(CI$11=0,CI$11&gt;36),0,-CI$181*Assumptions!$AA$18/12)</f>
        <v/>
      </c>
      <c r="CJ184" s="232">
        <f>IF(OR(CJ$11=0,CJ$11&gt;36),0,-CJ$181*Assumptions!$AA$18/12)</f>
        <v/>
      </c>
      <c r="CK184" s="232">
        <f>IF(OR(CK$11=0,CK$11&gt;36),0,-CK$181*Assumptions!$AA$18/12)</f>
        <v/>
      </c>
      <c r="CL184" s="232">
        <f>IF(OR(CL$11=0,CL$11&gt;36),0,-CL$181*Assumptions!$AA$18/12)</f>
        <v/>
      </c>
      <c r="CM184" s="232">
        <f>IF(OR(CM$11=0,CM$11&gt;36),0,-CM$181*Assumptions!$AA$18/12)</f>
        <v/>
      </c>
      <c r="CN184" s="232">
        <f>IF(OR(CN$11=0,CN$11&gt;36),0,-CN$181*Assumptions!$AA$18/12)</f>
        <v/>
      </c>
      <c r="CO184" s="232">
        <f>IF(OR(CO$11=0,CO$11&gt;36),0,-CO$181*Assumptions!$AA$18/12)</f>
        <v/>
      </c>
      <c r="CP184" s="232">
        <f>IF(OR(CP$11=0,CP$11&gt;36),0,-CP$181*Assumptions!$AA$18/12)</f>
        <v/>
      </c>
      <c r="CQ184" s="232">
        <f>IF(OR(CQ$11=0,CQ$11&gt;36),0,-CQ$181*Assumptions!$AA$18/12)</f>
        <v/>
      </c>
      <c r="CR184" s="232">
        <f>IF(OR(CR$11=0,CR$11&gt;36),0,-CR$181*Assumptions!$AA$18/12)</f>
        <v/>
      </c>
      <c r="CS184" s="232">
        <f>IF(OR(CS$11=0,CS$11&gt;36),0,-CS$181*Assumptions!$AA$18/12)</f>
        <v/>
      </c>
      <c r="CT184" s="232">
        <f>IF(OR(CT$11=0,CT$11&gt;36),0,-CT$181*Assumptions!$AA$18/12)</f>
        <v/>
      </c>
      <c r="CU184" s="232">
        <f>IF(OR(CU$11=0,CU$11&gt;36),0,-CU$181*Assumptions!$AA$18/12)</f>
        <v/>
      </c>
      <c r="CV184" s="232">
        <f>IF(OR(CV$11=0,CV$11&gt;36),0,-CV$181*Assumptions!$AA$18/12)</f>
        <v/>
      </c>
      <c r="CW184" s="232">
        <f>IF(OR(CW$11=0,CW$11&gt;36),0,-CW$181*Assumptions!$AA$18/12)</f>
        <v/>
      </c>
      <c r="CX184" s="232">
        <f>IF(OR(CX$11=0,CX$11&gt;36),0,-CX$181*Assumptions!$AA$18/12)</f>
        <v/>
      </c>
      <c r="CY184" s="232">
        <f>IF(OR(CY$11=0,CY$11&gt;36),0,-CY$181*Assumptions!$AA$18/12)</f>
        <v/>
      </c>
      <c r="CZ184" s="232">
        <f>IF(OR(CZ$11=0,CZ$11&gt;36),0,-CZ$181*Assumptions!$AA$18/12)</f>
        <v/>
      </c>
      <c r="DA184" s="232">
        <f>IF(OR(DA$11=0,DA$11&gt;36),0,-DA$181*Assumptions!$AA$18/12)</f>
        <v/>
      </c>
      <c r="DB184" s="232">
        <f>IF(OR(DB$11=0,DB$11&gt;36),0,-DB$181*Assumptions!$AA$18/12)</f>
        <v/>
      </c>
      <c r="DC184" s="232">
        <f>IF(OR(DC$11=0,DC$11&gt;36),0,-DC$181*Assumptions!$AA$18/12)</f>
        <v/>
      </c>
      <c r="DD184" s="232">
        <f>IF(OR(DD$11=0,DD$11&gt;36),0,-DD$181*Assumptions!$AA$18/12)</f>
        <v/>
      </c>
      <c r="DE184" s="232">
        <f>IF(OR(DE$11=0,DE$11&gt;36),0,-DE$181*Assumptions!$AA$18/12)</f>
        <v/>
      </c>
      <c r="DF184" s="232">
        <f>IF(OR(DF$11=0,DF$11&gt;36),0,-DF$181*Assumptions!$AA$18/12)</f>
        <v/>
      </c>
      <c r="DG184" s="232">
        <f>IF(OR(DG$11=0,DG$11&gt;36),0,-DG$181*Assumptions!$AA$18/12)</f>
        <v/>
      </c>
      <c r="DH184" s="232">
        <f>IF(OR(DH$11=0,DH$11&gt;36),0,-DH$181*Assumptions!$AA$18/12)</f>
        <v/>
      </c>
      <c r="DI184" s="232">
        <f>IF(OR(DI$11=0,DI$11&gt;36),0,-DI$181*Assumptions!$AA$18/12)</f>
        <v/>
      </c>
      <c r="DJ184" s="232">
        <f>IF(OR(DJ$11=0,DJ$11&gt;36),0,-DJ$181*Assumptions!$AA$18/12)</f>
        <v/>
      </c>
      <c r="DK184" s="232">
        <f>IF(OR(DK$11=0,DK$11&gt;36),0,-DK$181*Assumptions!$AA$18/12)</f>
        <v/>
      </c>
      <c r="DL184" s="232">
        <f>IF(OR(DL$11=0,DL$11&gt;36),0,-DL$181*Assumptions!$AA$18/12)</f>
        <v/>
      </c>
      <c r="DM184" s="232">
        <f>IF(OR(DM$11=0,DM$11&gt;36),0,-DM$181*Assumptions!$AA$18/12)</f>
        <v/>
      </c>
      <c r="DN184" s="232">
        <f>IF(OR(DN$11=0,DN$11&gt;36),0,-DN$181*Assumptions!$AA$18/12)</f>
        <v/>
      </c>
      <c r="DO184" s="232">
        <f>IF(OR(DO$11=0,DO$11&gt;36),0,-DO$181*Assumptions!$AA$18/12)</f>
        <v/>
      </c>
      <c r="DP184" s="232">
        <f>IF(OR(DP$11=0,DP$11&gt;36),0,-DP$181*Assumptions!$AA$18/12)</f>
        <v/>
      </c>
      <c r="DQ184" s="232">
        <f>IF(OR(DQ$11=0,DQ$11&gt;36),0,-DQ$181*Assumptions!$AA$18/12)</f>
        <v/>
      </c>
      <c r="DR184" s="232">
        <f>IF(OR(DR$11=0,DR$11&gt;36),0,-DR$181*Assumptions!$AA$18/12)</f>
        <v/>
      </c>
      <c r="DS184" s="232">
        <f>IF(OR(DS$11=0,DS$11&gt;36),0,-DS$181*Assumptions!$AA$18/12)</f>
        <v/>
      </c>
      <c r="DT184" s="232">
        <f>IF(OR(DT$11=0,DT$11&gt;36),0,-DT$181*Assumptions!$AA$18/12)</f>
        <v/>
      </c>
    </row>
    <row r="185" ht="15" customHeight="1" s="148">
      <c r="A185" t="inlineStr">
        <is>
          <t>Acq Principal</t>
        </is>
      </c>
      <c r="D185" s="232">
        <f>D$183-D$184</f>
        <v/>
      </c>
      <c r="E185" s="232">
        <f>E$183-E$184</f>
        <v/>
      </c>
      <c r="F185" s="232">
        <f>F$183-F$184</f>
        <v/>
      </c>
      <c r="G185" s="232">
        <f>G$183-G$184</f>
        <v/>
      </c>
      <c r="H185" s="232">
        <f>H$183-H$184</f>
        <v/>
      </c>
      <c r="I185" s="232">
        <f>I$183-I$184</f>
        <v/>
      </c>
      <c r="J185" s="232">
        <f>J$183-J$184</f>
        <v/>
      </c>
      <c r="K185" s="232">
        <f>K$183-K$184</f>
        <v/>
      </c>
      <c r="L185" s="232">
        <f>L$183-L$184</f>
        <v/>
      </c>
      <c r="M185" s="232">
        <f>M$183-M$184</f>
        <v/>
      </c>
      <c r="N185" s="232">
        <f>N$183-N$184</f>
        <v/>
      </c>
      <c r="O185" s="232">
        <f>O$183-O$184</f>
        <v/>
      </c>
      <c r="P185" s="232">
        <f>P$183-P$184</f>
        <v/>
      </c>
      <c r="Q185" s="232">
        <f>Q$183-Q$184</f>
        <v/>
      </c>
      <c r="R185" s="232">
        <f>R$183-R$184</f>
        <v/>
      </c>
      <c r="S185" s="232">
        <f>S$183-S$184</f>
        <v/>
      </c>
      <c r="T185" s="232">
        <f>T$183-T$184</f>
        <v/>
      </c>
      <c r="U185" s="232">
        <f>U$183-U$184</f>
        <v/>
      </c>
      <c r="V185" s="232">
        <f>V$183-V$184</f>
        <v/>
      </c>
      <c r="W185" s="232">
        <f>W$183-W$184</f>
        <v/>
      </c>
      <c r="X185" s="232">
        <f>X$183-X$184</f>
        <v/>
      </c>
      <c r="Y185" s="232">
        <f>Y$183-Y$184</f>
        <v/>
      </c>
      <c r="Z185" s="232">
        <f>Z$183-Z$184</f>
        <v/>
      </c>
      <c r="AA185" s="232">
        <f>AA$183-AA$184</f>
        <v/>
      </c>
      <c r="AB185" s="232">
        <f>AB$183-AB$184</f>
        <v/>
      </c>
      <c r="AC185" s="232">
        <f>AC$183-AC$184</f>
        <v/>
      </c>
      <c r="AD185" s="232">
        <f>AD$183-AD$184</f>
        <v/>
      </c>
      <c r="AE185" s="232">
        <f>AE$183-AE$184</f>
        <v/>
      </c>
      <c r="AF185" s="232">
        <f>AF$183-AF$184</f>
        <v/>
      </c>
      <c r="AG185" s="232">
        <f>AG$183-AG$184</f>
        <v/>
      </c>
      <c r="AH185" s="232">
        <f>AH$183-AH$184</f>
        <v/>
      </c>
      <c r="AI185" s="232">
        <f>AI$183-AI$184</f>
        <v/>
      </c>
      <c r="AJ185" s="232">
        <f>AJ$183-AJ$184</f>
        <v/>
      </c>
      <c r="AK185" s="232">
        <f>AK$183-AK$184</f>
        <v/>
      </c>
      <c r="AL185" s="232">
        <f>AL$183-AL$184</f>
        <v/>
      </c>
      <c r="AM185" s="232">
        <f>AM$183-AM$184</f>
        <v/>
      </c>
      <c r="AN185" s="232">
        <f>AN$183-AN$184</f>
        <v/>
      </c>
      <c r="AO185" s="232">
        <f>AO$183-AO$184</f>
        <v/>
      </c>
      <c r="AP185" s="232">
        <f>AP$183-AP$184</f>
        <v/>
      </c>
      <c r="AQ185" s="232">
        <f>AQ$183-AQ$184</f>
        <v/>
      </c>
      <c r="AR185" s="232">
        <f>AR$183-AR$184</f>
        <v/>
      </c>
      <c r="AS185" s="232">
        <f>AS$183-AS$184</f>
        <v/>
      </c>
      <c r="AT185" s="232">
        <f>AT$183-AT$184</f>
        <v/>
      </c>
      <c r="AU185" s="232">
        <f>AU$183-AU$184</f>
        <v/>
      </c>
      <c r="AV185" s="232">
        <f>AV$183-AV$184</f>
        <v/>
      </c>
      <c r="AW185" s="232">
        <f>AW$183-AW$184</f>
        <v/>
      </c>
      <c r="AX185" s="232">
        <f>AX$183-AX$184</f>
        <v/>
      </c>
      <c r="AY185" s="232">
        <f>AY$183-AY$184</f>
        <v/>
      </c>
      <c r="AZ185" s="232">
        <f>AZ$183-AZ$184</f>
        <v/>
      </c>
      <c r="BA185" s="232">
        <f>BA$183-BA$184</f>
        <v/>
      </c>
      <c r="BB185" s="232">
        <f>BB$183-BB$184</f>
        <v/>
      </c>
      <c r="BC185" s="232">
        <f>BC$183-BC$184</f>
        <v/>
      </c>
      <c r="BD185" s="232">
        <f>BD$183-BD$184</f>
        <v/>
      </c>
      <c r="BE185" s="232">
        <f>BE$183-BE$184</f>
        <v/>
      </c>
      <c r="BF185" s="232">
        <f>BF$183-BF$184</f>
        <v/>
      </c>
      <c r="BG185" s="232">
        <f>BG$183-BG$184</f>
        <v/>
      </c>
      <c r="BH185" s="232">
        <f>BH$183-BH$184</f>
        <v/>
      </c>
      <c r="BI185" s="232">
        <f>BI$183-BI$184</f>
        <v/>
      </c>
      <c r="BJ185" s="232">
        <f>BJ$183-BJ$184</f>
        <v/>
      </c>
      <c r="BK185" s="232">
        <f>BK$183-BK$184</f>
        <v/>
      </c>
      <c r="BL185" s="232">
        <f>BL$183-BL$184</f>
        <v/>
      </c>
      <c r="BM185" s="232">
        <f>BM$183-BM$184</f>
        <v/>
      </c>
      <c r="BN185" s="232">
        <f>BN$183-BN$184</f>
        <v/>
      </c>
      <c r="BO185" s="232">
        <f>BO$183-BO$184</f>
        <v/>
      </c>
      <c r="BP185" s="232">
        <f>BP$183-BP$184</f>
        <v/>
      </c>
      <c r="BQ185" s="232">
        <f>BQ$183-BQ$184</f>
        <v/>
      </c>
      <c r="BR185" s="232">
        <f>BR$183-BR$184</f>
        <v/>
      </c>
      <c r="BS185" s="232">
        <f>BS$183-BS$184</f>
        <v/>
      </c>
      <c r="BT185" s="232">
        <f>BT$183-BT$184</f>
        <v/>
      </c>
      <c r="BU185" s="232">
        <f>BU$183-BU$184</f>
        <v/>
      </c>
      <c r="BV185" s="232">
        <f>BV$183-BV$184</f>
        <v/>
      </c>
      <c r="BW185" s="232">
        <f>BW$183-BW$184</f>
        <v/>
      </c>
      <c r="BX185" s="232">
        <f>BX$183-BX$184</f>
        <v/>
      </c>
      <c r="BY185" s="232">
        <f>BY$183-BY$184</f>
        <v/>
      </c>
      <c r="BZ185" s="232">
        <f>BZ$183-BZ$184</f>
        <v/>
      </c>
      <c r="CA185" s="232">
        <f>CA$183-CA$184</f>
        <v/>
      </c>
      <c r="CB185" s="232">
        <f>CB$183-CB$184</f>
        <v/>
      </c>
      <c r="CC185" s="232">
        <f>CC$183-CC$184</f>
        <v/>
      </c>
      <c r="CD185" s="232">
        <f>CD$183-CD$184</f>
        <v/>
      </c>
      <c r="CE185" s="232">
        <f>CE$183-CE$184</f>
        <v/>
      </c>
      <c r="CF185" s="232">
        <f>CF$183-CF$184</f>
        <v/>
      </c>
      <c r="CG185" s="232">
        <f>CG$183-CG$184</f>
        <v/>
      </c>
      <c r="CH185" s="232">
        <f>CH$183-CH$184</f>
        <v/>
      </c>
      <c r="CI185" s="232">
        <f>CI$183-CI$184</f>
        <v/>
      </c>
      <c r="CJ185" s="232">
        <f>CJ$183-CJ$184</f>
        <v/>
      </c>
      <c r="CK185" s="232">
        <f>CK$183-CK$184</f>
        <v/>
      </c>
      <c r="CL185" s="232">
        <f>CL$183-CL$184</f>
        <v/>
      </c>
      <c r="CM185" s="232">
        <f>CM$183-CM$184</f>
        <v/>
      </c>
      <c r="CN185" s="232">
        <f>CN$183-CN$184</f>
        <v/>
      </c>
      <c r="CO185" s="232">
        <f>CO$183-CO$184</f>
        <v/>
      </c>
      <c r="CP185" s="232">
        <f>CP$183-CP$184</f>
        <v/>
      </c>
      <c r="CQ185" s="232">
        <f>CQ$183-CQ$184</f>
        <v/>
      </c>
      <c r="CR185" s="232">
        <f>CR$183-CR$184</f>
        <v/>
      </c>
      <c r="CS185" s="232">
        <f>CS$183-CS$184</f>
        <v/>
      </c>
      <c r="CT185" s="232">
        <f>CT$183-CT$184</f>
        <v/>
      </c>
      <c r="CU185" s="232">
        <f>CU$183-CU$184</f>
        <v/>
      </c>
      <c r="CV185" s="232">
        <f>CV$183-CV$184</f>
        <v/>
      </c>
      <c r="CW185" s="232">
        <f>CW$183-CW$184</f>
        <v/>
      </c>
      <c r="CX185" s="232">
        <f>CX$183-CX$184</f>
        <v/>
      </c>
      <c r="CY185" s="232">
        <f>CY$183-CY$184</f>
        <v/>
      </c>
      <c r="CZ185" s="232">
        <f>CZ$183-CZ$184</f>
        <v/>
      </c>
      <c r="DA185" s="232">
        <f>DA$183-DA$184</f>
        <v/>
      </c>
      <c r="DB185" s="232">
        <f>DB$183-DB$184</f>
        <v/>
      </c>
      <c r="DC185" s="232">
        <f>DC$183-DC$184</f>
        <v/>
      </c>
      <c r="DD185" s="232">
        <f>DD$183-DD$184</f>
        <v/>
      </c>
      <c r="DE185" s="232">
        <f>DE$183-DE$184</f>
        <v/>
      </c>
      <c r="DF185" s="232">
        <f>DF$183-DF$184</f>
        <v/>
      </c>
      <c r="DG185" s="232">
        <f>DG$183-DG$184</f>
        <v/>
      </c>
      <c r="DH185" s="232">
        <f>DH$183-DH$184</f>
        <v/>
      </c>
      <c r="DI185" s="232">
        <f>DI$183-DI$184</f>
        <v/>
      </c>
      <c r="DJ185" s="232">
        <f>DJ$183-DJ$184</f>
        <v/>
      </c>
      <c r="DK185" s="232">
        <f>DK$183-DK$184</f>
        <v/>
      </c>
      <c r="DL185" s="232">
        <f>DL$183-DL$184</f>
        <v/>
      </c>
      <c r="DM185" s="232">
        <f>DM$183-DM$184</f>
        <v/>
      </c>
      <c r="DN185" s="232">
        <f>DN$183-DN$184</f>
        <v/>
      </c>
      <c r="DO185" s="232">
        <f>DO$183-DO$184</f>
        <v/>
      </c>
      <c r="DP185" s="232">
        <f>DP$183-DP$184</f>
        <v/>
      </c>
      <c r="DQ185" s="232">
        <f>DQ$183-DQ$184</f>
        <v/>
      </c>
      <c r="DR185" s="232">
        <f>DR$183-DR$184</f>
        <v/>
      </c>
      <c r="DS185" s="232">
        <f>DS$183-DS$184</f>
        <v/>
      </c>
      <c r="DT185" s="232">
        <f>DT$183-DT$184</f>
        <v/>
      </c>
    </row>
    <row r="186" ht="15" customHeight="1" s="148">
      <c r="A186" t="inlineStr">
        <is>
          <t>Acq End Bal</t>
        </is>
      </c>
      <c r="D186" s="232">
        <f>IF(D$11=36,0,D$181+D$182+D$185)</f>
        <v/>
      </c>
      <c r="E186" s="232">
        <f>IF(E$11=36,0,E$181+E$182+E$185)</f>
        <v/>
      </c>
      <c r="F186" s="232">
        <f>IF(F$11=36,0,F$181+F$182+F$185)</f>
        <v/>
      </c>
      <c r="G186" s="232">
        <f>IF(G$11=36,0,G$181+G$182+G$185)</f>
        <v/>
      </c>
      <c r="H186" s="232">
        <f>IF(H$11=36,0,H$181+H$182+H$185)</f>
        <v/>
      </c>
      <c r="I186" s="232">
        <f>IF(I$11=36,0,I$181+I$182+I$185)</f>
        <v/>
      </c>
      <c r="J186" s="232">
        <f>IF(J$11=36,0,J$181+J$182+J$185)</f>
        <v/>
      </c>
      <c r="K186" s="232">
        <f>IF(K$11=36,0,K$181+K$182+K$185)</f>
        <v/>
      </c>
      <c r="L186" s="232">
        <f>IF(L$11=36,0,L$181+L$182+L$185)</f>
        <v/>
      </c>
      <c r="M186" s="232">
        <f>IF(M$11=36,0,M$181+M$182+M$185)</f>
        <v/>
      </c>
      <c r="N186" s="232">
        <f>IF(N$11=36,0,N$181+N$182+N$185)</f>
        <v/>
      </c>
      <c r="O186" s="232">
        <f>IF(O$11=36,0,O$181+O$182+O$185)</f>
        <v/>
      </c>
      <c r="P186" s="232">
        <f>IF(P$11=36,0,P$181+P$182+P$185)</f>
        <v/>
      </c>
      <c r="Q186" s="232">
        <f>IF(Q$11=36,0,Q$181+Q$182+Q$185)</f>
        <v/>
      </c>
      <c r="R186" s="232">
        <f>IF(R$11=36,0,R$181+R$182+R$185)</f>
        <v/>
      </c>
      <c r="S186" s="232">
        <f>IF(S$11=36,0,S$181+S$182+S$185)</f>
        <v/>
      </c>
      <c r="T186" s="232">
        <f>IF(T$11=36,0,T$181+T$182+T$185)</f>
        <v/>
      </c>
      <c r="U186" s="232">
        <f>IF(U$11=36,0,U$181+U$182+U$185)</f>
        <v/>
      </c>
      <c r="V186" s="232">
        <f>IF(V$11=36,0,V$181+V$182+V$185)</f>
        <v/>
      </c>
      <c r="W186" s="232">
        <f>IF(W$11=36,0,W$181+W$182+W$185)</f>
        <v/>
      </c>
      <c r="X186" s="232">
        <f>IF(X$11=36,0,X$181+X$182+X$185)</f>
        <v/>
      </c>
      <c r="Y186" s="232">
        <f>IF(Y$11=36,0,Y$181+Y$182+Y$185)</f>
        <v/>
      </c>
      <c r="Z186" s="232">
        <f>IF(Z$11=36,0,Z$181+Z$182+Z$185)</f>
        <v/>
      </c>
      <c r="AA186" s="232">
        <f>IF(AA$11=36,0,AA$181+AA$182+AA$185)</f>
        <v/>
      </c>
      <c r="AB186" s="232">
        <f>IF(AB$11=36,0,AB$181+AB$182+AB$185)</f>
        <v/>
      </c>
      <c r="AC186" s="232">
        <f>IF(AC$11=36,0,AC$181+AC$182+AC$185)</f>
        <v/>
      </c>
      <c r="AD186" s="232">
        <f>IF(AD$11=36,0,AD$181+AD$182+AD$185)</f>
        <v/>
      </c>
      <c r="AE186" s="232">
        <f>IF(AE$11=36,0,AE$181+AE$182+AE$185)</f>
        <v/>
      </c>
      <c r="AF186" s="232">
        <f>IF(AF$11=36,0,AF$181+AF$182+AF$185)</f>
        <v/>
      </c>
      <c r="AG186" s="232">
        <f>IF(AG$11=36,0,AG$181+AG$182+AG$185)</f>
        <v/>
      </c>
      <c r="AH186" s="232">
        <f>IF(AH$11=36,0,AH$181+AH$182+AH$185)</f>
        <v/>
      </c>
      <c r="AI186" s="232">
        <f>IF(AI$11=36,0,AI$181+AI$182+AI$185)</f>
        <v/>
      </c>
      <c r="AJ186" s="232">
        <f>IF(AJ$11=36,0,AJ$181+AJ$182+AJ$185)</f>
        <v/>
      </c>
      <c r="AK186" s="232">
        <f>IF(AK$11=36,0,AK$181+AK$182+AK$185)</f>
        <v/>
      </c>
      <c r="AL186" s="232">
        <f>IF(AL$11=36,0,AL$181+AL$182+AL$185)</f>
        <v/>
      </c>
      <c r="AM186" s="232">
        <f>IF(AM$11=36,0,AM$181+AM$182+AM$185)</f>
        <v/>
      </c>
      <c r="AN186" s="232">
        <f>IF(AN$11=36,0,AN$181+AN$182+AN$185)</f>
        <v/>
      </c>
      <c r="AO186" s="232">
        <f>IF(AO$11=36,0,AO$181+AO$182+AO$185)</f>
        <v/>
      </c>
      <c r="AP186" s="232">
        <f>IF(AP$11=36,0,AP$181+AP$182+AP$185)</f>
        <v/>
      </c>
      <c r="AQ186" s="232">
        <f>IF(AQ$11=36,0,AQ$181+AQ$182+AQ$185)</f>
        <v/>
      </c>
      <c r="AR186" s="232">
        <f>IF(AR$11=36,0,AR$181+AR$182+AR$185)</f>
        <v/>
      </c>
      <c r="AS186" s="232">
        <f>IF(AS$11=36,0,AS$181+AS$182+AS$185)</f>
        <v/>
      </c>
      <c r="AT186" s="232">
        <f>IF(AT$11=36,0,AT$181+AT$182+AT$185)</f>
        <v/>
      </c>
      <c r="AU186" s="232">
        <f>IF(AU$11=36,0,AU$181+AU$182+AU$185)</f>
        <v/>
      </c>
      <c r="AV186" s="232">
        <f>IF(AV$11=36,0,AV$181+AV$182+AV$185)</f>
        <v/>
      </c>
      <c r="AW186" s="232">
        <f>IF(AW$11=36,0,AW$181+AW$182+AW$185)</f>
        <v/>
      </c>
      <c r="AX186" s="232">
        <f>IF(AX$11=36,0,AX$181+AX$182+AX$185)</f>
        <v/>
      </c>
      <c r="AY186" s="232">
        <f>IF(AY$11=36,0,AY$181+AY$182+AY$185)</f>
        <v/>
      </c>
      <c r="AZ186" s="232">
        <f>IF(AZ$11=36,0,AZ$181+AZ$182+AZ$185)</f>
        <v/>
      </c>
      <c r="BA186" s="232">
        <f>IF(BA$11=36,0,BA$181+BA$182+BA$185)</f>
        <v/>
      </c>
      <c r="BB186" s="232">
        <f>IF(BB$11=36,0,BB$181+BB$182+BB$185)</f>
        <v/>
      </c>
      <c r="BC186" s="232">
        <f>IF(BC$11=36,0,BC$181+BC$182+BC$185)</f>
        <v/>
      </c>
      <c r="BD186" s="232">
        <f>IF(BD$11=36,0,BD$181+BD$182+BD$185)</f>
        <v/>
      </c>
      <c r="BE186" s="232">
        <f>IF(BE$11=36,0,BE$181+BE$182+BE$185)</f>
        <v/>
      </c>
      <c r="BF186" s="232">
        <f>IF(BF$11=36,0,BF$181+BF$182+BF$185)</f>
        <v/>
      </c>
      <c r="BG186" s="232">
        <f>IF(BG$11=36,0,BG$181+BG$182+BG$185)</f>
        <v/>
      </c>
      <c r="BH186" s="232">
        <f>IF(BH$11=36,0,BH$181+BH$182+BH$185)</f>
        <v/>
      </c>
      <c r="BI186" s="232">
        <f>IF(BI$11=36,0,BI$181+BI$182+BI$185)</f>
        <v/>
      </c>
      <c r="BJ186" s="232">
        <f>IF(BJ$11=36,0,BJ$181+BJ$182+BJ$185)</f>
        <v/>
      </c>
      <c r="BK186" s="232">
        <f>IF(BK$11=36,0,BK$181+BK$182+BK$185)</f>
        <v/>
      </c>
      <c r="BL186" s="232">
        <f>IF(BL$11=36,0,BL$181+BL$182+BL$185)</f>
        <v/>
      </c>
      <c r="BM186" s="232">
        <f>IF(BM$11=36,0,BM$181+BM$182+BM$185)</f>
        <v/>
      </c>
      <c r="BN186" s="232">
        <f>IF(BN$11=36,0,BN$181+BN$182+BN$185)</f>
        <v/>
      </c>
      <c r="BO186" s="232">
        <f>IF(BO$11=36,0,BO$181+BO$182+BO$185)</f>
        <v/>
      </c>
      <c r="BP186" s="232">
        <f>IF(BP$11=36,0,BP$181+BP$182+BP$185)</f>
        <v/>
      </c>
      <c r="BQ186" s="232">
        <f>IF(BQ$11=36,0,BQ$181+BQ$182+BQ$185)</f>
        <v/>
      </c>
      <c r="BR186" s="232">
        <f>IF(BR$11=36,0,BR$181+BR$182+BR$185)</f>
        <v/>
      </c>
      <c r="BS186" s="232">
        <f>IF(BS$11=36,0,BS$181+BS$182+BS$185)</f>
        <v/>
      </c>
      <c r="BT186" s="232">
        <f>IF(BT$11=36,0,BT$181+BT$182+BT$185)</f>
        <v/>
      </c>
      <c r="BU186" s="232">
        <f>IF(BU$11=36,0,BU$181+BU$182+BU$185)</f>
        <v/>
      </c>
      <c r="BV186" s="232">
        <f>IF(BV$11=36,0,BV$181+BV$182+BV$185)</f>
        <v/>
      </c>
      <c r="BW186" s="232">
        <f>IF(BW$11=36,0,BW$181+BW$182+BW$185)</f>
        <v/>
      </c>
      <c r="BX186" s="232">
        <f>IF(BX$11=36,0,BX$181+BX$182+BX$185)</f>
        <v/>
      </c>
      <c r="BY186" s="232">
        <f>IF(BY$11=36,0,BY$181+BY$182+BY$185)</f>
        <v/>
      </c>
      <c r="BZ186" s="232">
        <f>IF(BZ$11=36,0,BZ$181+BZ$182+BZ$185)</f>
        <v/>
      </c>
      <c r="CA186" s="232">
        <f>IF(CA$11=36,0,CA$181+CA$182+CA$185)</f>
        <v/>
      </c>
      <c r="CB186" s="232">
        <f>IF(CB$11=36,0,CB$181+CB$182+CB$185)</f>
        <v/>
      </c>
      <c r="CC186" s="232">
        <f>IF(CC$11=36,0,CC$181+CC$182+CC$185)</f>
        <v/>
      </c>
      <c r="CD186" s="232">
        <f>IF(CD$11=36,0,CD$181+CD$182+CD$185)</f>
        <v/>
      </c>
      <c r="CE186" s="232">
        <f>IF(CE$11=36,0,CE$181+CE$182+CE$185)</f>
        <v/>
      </c>
      <c r="CF186" s="232">
        <f>IF(CF$11=36,0,CF$181+CF$182+CF$185)</f>
        <v/>
      </c>
      <c r="CG186" s="232">
        <f>IF(CG$11=36,0,CG$181+CG$182+CG$185)</f>
        <v/>
      </c>
      <c r="CH186" s="232">
        <f>IF(CH$11=36,0,CH$181+CH$182+CH$185)</f>
        <v/>
      </c>
      <c r="CI186" s="232">
        <f>IF(CI$11=36,0,CI$181+CI$182+CI$185)</f>
        <v/>
      </c>
      <c r="CJ186" s="232">
        <f>IF(CJ$11=36,0,CJ$181+CJ$182+CJ$185)</f>
        <v/>
      </c>
      <c r="CK186" s="232">
        <f>IF(CK$11=36,0,CK$181+CK$182+CK$185)</f>
        <v/>
      </c>
      <c r="CL186" s="232">
        <f>IF(CL$11=36,0,CL$181+CL$182+CL$185)</f>
        <v/>
      </c>
      <c r="CM186" s="232">
        <f>IF(CM$11=36,0,CM$181+CM$182+CM$185)</f>
        <v/>
      </c>
      <c r="CN186" s="232">
        <f>IF(CN$11=36,0,CN$181+CN$182+CN$185)</f>
        <v/>
      </c>
      <c r="CO186" s="232">
        <f>IF(CO$11=36,0,CO$181+CO$182+CO$185)</f>
        <v/>
      </c>
      <c r="CP186" s="232">
        <f>IF(CP$11=36,0,CP$181+CP$182+CP$185)</f>
        <v/>
      </c>
      <c r="CQ186" s="232">
        <f>IF(CQ$11=36,0,CQ$181+CQ$182+CQ$185)</f>
        <v/>
      </c>
      <c r="CR186" s="232">
        <f>IF(CR$11=36,0,CR$181+CR$182+CR$185)</f>
        <v/>
      </c>
      <c r="CS186" s="232">
        <f>IF(CS$11=36,0,CS$181+CS$182+CS$185)</f>
        <v/>
      </c>
      <c r="CT186" s="232">
        <f>IF(CT$11=36,0,CT$181+CT$182+CT$185)</f>
        <v/>
      </c>
      <c r="CU186" s="232">
        <f>IF(CU$11=36,0,CU$181+CU$182+CU$185)</f>
        <v/>
      </c>
      <c r="CV186" s="232">
        <f>IF(CV$11=36,0,CV$181+CV$182+CV$185)</f>
        <v/>
      </c>
      <c r="CW186" s="232">
        <f>IF(CW$11=36,0,CW$181+CW$182+CW$185)</f>
        <v/>
      </c>
      <c r="CX186" s="232">
        <f>IF(CX$11=36,0,CX$181+CX$182+CX$185)</f>
        <v/>
      </c>
      <c r="CY186" s="232">
        <f>IF(CY$11=36,0,CY$181+CY$182+CY$185)</f>
        <v/>
      </c>
      <c r="CZ186" s="232">
        <f>IF(CZ$11=36,0,CZ$181+CZ$182+CZ$185)</f>
        <v/>
      </c>
      <c r="DA186" s="232">
        <f>IF(DA$11=36,0,DA$181+DA$182+DA$185)</f>
        <v/>
      </c>
      <c r="DB186" s="232">
        <f>IF(DB$11=36,0,DB$181+DB$182+DB$185)</f>
        <v/>
      </c>
      <c r="DC186" s="232">
        <f>IF(DC$11=36,0,DC$181+DC$182+DC$185)</f>
        <v/>
      </c>
      <c r="DD186" s="232">
        <f>IF(DD$11=36,0,DD$181+DD$182+DD$185)</f>
        <v/>
      </c>
      <c r="DE186" s="232">
        <f>IF(DE$11=36,0,DE$181+DE$182+DE$185)</f>
        <v/>
      </c>
      <c r="DF186" s="232">
        <f>IF(DF$11=36,0,DF$181+DF$182+DF$185)</f>
        <v/>
      </c>
      <c r="DG186" s="232">
        <f>IF(DG$11=36,0,DG$181+DG$182+DG$185)</f>
        <v/>
      </c>
      <c r="DH186" s="232">
        <f>IF(DH$11=36,0,DH$181+DH$182+DH$185)</f>
        <v/>
      </c>
      <c r="DI186" s="232">
        <f>IF(DI$11=36,0,DI$181+DI$182+DI$185)</f>
        <v/>
      </c>
      <c r="DJ186" s="232">
        <f>IF(DJ$11=36,0,DJ$181+DJ$182+DJ$185)</f>
        <v/>
      </c>
      <c r="DK186" s="232">
        <f>IF(DK$11=36,0,DK$181+DK$182+DK$185)</f>
        <v/>
      </c>
      <c r="DL186" s="232">
        <f>IF(DL$11=36,0,DL$181+DL$182+DL$185)</f>
        <v/>
      </c>
      <c r="DM186" s="232">
        <f>IF(DM$11=36,0,DM$181+DM$182+DM$185)</f>
        <v/>
      </c>
      <c r="DN186" s="232">
        <f>IF(DN$11=36,0,DN$181+DN$182+DN$185)</f>
        <v/>
      </c>
      <c r="DO186" s="232">
        <f>IF(DO$11=36,0,DO$181+DO$182+DO$185)</f>
        <v/>
      </c>
      <c r="DP186" s="232">
        <f>IF(DP$11=36,0,DP$181+DP$182+DP$185)</f>
        <v/>
      </c>
      <c r="DQ186" s="232">
        <f>IF(DQ$11=36,0,DQ$181+DQ$182+DQ$185)</f>
        <v/>
      </c>
      <c r="DR186" s="232">
        <f>IF(DR$11=36,0,DR$181+DR$182+DR$185)</f>
        <v/>
      </c>
      <c r="DS186" s="232">
        <f>IF(DS$11=36,0,DS$181+DS$182+DS$185)</f>
        <v/>
      </c>
      <c r="DT186" s="232">
        <f>IF(DT$11=36,0,DT$181+DT$182+DT$185)</f>
        <v/>
      </c>
    </row>
    <row r="187" ht="15" customHeight="1" s="148">
      <c r="A187" t="inlineStr">
        <is>
          <t>Acq Final Repay</t>
        </is>
      </c>
      <c r="D187" s="232">
        <f>IF(D$11=36,-(D$181+D$182+D$185),0)</f>
        <v/>
      </c>
      <c r="E187" s="232">
        <f>IF(E$11=36,-(E$181+E$182+E$185),0)</f>
        <v/>
      </c>
      <c r="F187" s="232">
        <f>IF(F$11=36,-(F$181+F$182+F$185),0)</f>
        <v/>
      </c>
      <c r="G187" s="232">
        <f>IF(G$11=36,-(G$181+G$182+G$185),0)</f>
        <v/>
      </c>
      <c r="H187" s="232">
        <f>IF(H$11=36,-(H$181+H$182+H$185),0)</f>
        <v/>
      </c>
      <c r="I187" s="232">
        <f>IF(I$11=36,-(I$181+I$182+I$185),0)</f>
        <v/>
      </c>
      <c r="J187" s="232">
        <f>IF(J$11=36,-(J$181+J$182+J$185),0)</f>
        <v/>
      </c>
      <c r="K187" s="232">
        <f>IF(K$11=36,-(K$181+K$182+K$185),0)</f>
        <v/>
      </c>
      <c r="L187" s="232">
        <f>IF(L$11=36,-(L$181+L$182+L$185),0)</f>
        <v/>
      </c>
      <c r="M187" s="232">
        <f>IF(M$11=36,-(M$181+M$182+M$185),0)</f>
        <v/>
      </c>
      <c r="N187" s="232">
        <f>IF(N$11=36,-(N$181+N$182+N$185),0)</f>
        <v/>
      </c>
      <c r="O187" s="232">
        <f>IF(O$11=36,-(O$181+O$182+O$185),0)</f>
        <v/>
      </c>
      <c r="P187" s="232">
        <f>IF(P$11=36,-(P$181+P$182+P$185),0)</f>
        <v/>
      </c>
      <c r="Q187" s="232">
        <f>IF(Q$11=36,-(Q$181+Q$182+Q$185),0)</f>
        <v/>
      </c>
      <c r="R187" s="232">
        <f>IF(R$11=36,-(R$181+R$182+R$185),0)</f>
        <v/>
      </c>
      <c r="S187" s="232">
        <f>IF(S$11=36,-(S$181+S$182+S$185),0)</f>
        <v/>
      </c>
      <c r="T187" s="232">
        <f>IF(T$11=36,-(T$181+T$182+T$185),0)</f>
        <v/>
      </c>
      <c r="U187" s="232">
        <f>IF(U$11=36,-(U$181+U$182+U$185),0)</f>
        <v/>
      </c>
      <c r="V187" s="232">
        <f>IF(V$11=36,-(V$181+V$182+V$185),0)</f>
        <v/>
      </c>
      <c r="W187" s="232">
        <f>IF(W$11=36,-(W$181+W$182+W$185),0)</f>
        <v/>
      </c>
      <c r="X187" s="232">
        <f>IF(X$11=36,-(X$181+X$182+X$185),0)</f>
        <v/>
      </c>
      <c r="Y187" s="232">
        <f>IF(Y$11=36,-(Y$181+Y$182+Y$185),0)</f>
        <v/>
      </c>
      <c r="Z187" s="232">
        <f>IF(Z$11=36,-(Z$181+Z$182+Z$185),0)</f>
        <v/>
      </c>
      <c r="AA187" s="232">
        <f>IF(AA$11=36,-(AA$181+AA$182+AA$185),0)</f>
        <v/>
      </c>
      <c r="AB187" s="232">
        <f>IF(AB$11=36,-(AB$181+AB$182+AB$185),0)</f>
        <v/>
      </c>
      <c r="AC187" s="232">
        <f>IF(AC$11=36,-(AC$181+AC$182+AC$185),0)</f>
        <v/>
      </c>
      <c r="AD187" s="232">
        <f>IF(AD$11=36,-(AD$181+AD$182+AD$185),0)</f>
        <v/>
      </c>
      <c r="AE187" s="232">
        <f>IF(AE$11=36,-(AE$181+AE$182+AE$185),0)</f>
        <v/>
      </c>
      <c r="AF187" s="232">
        <f>IF(AF$11=36,-(AF$181+AF$182+AF$185),0)</f>
        <v/>
      </c>
      <c r="AG187" s="232">
        <f>IF(AG$11=36,-(AG$181+AG$182+AG$185),0)</f>
        <v/>
      </c>
      <c r="AH187" s="232">
        <f>IF(AH$11=36,-(AH$181+AH$182+AH$185),0)</f>
        <v/>
      </c>
      <c r="AI187" s="232">
        <f>IF(AI$11=36,-(AI$181+AI$182+AI$185),0)</f>
        <v/>
      </c>
      <c r="AJ187" s="232">
        <f>IF(AJ$11=36,-(AJ$181+AJ$182+AJ$185),0)</f>
        <v/>
      </c>
      <c r="AK187" s="232">
        <f>IF(AK$11=36,-(AK$181+AK$182+AK$185),0)</f>
        <v/>
      </c>
      <c r="AL187" s="232">
        <f>IF(AL$11=36,-(AL$181+AL$182+AL$185),0)</f>
        <v/>
      </c>
      <c r="AM187" s="232">
        <f>IF(AM$11=36,-(AM$181+AM$182+AM$185),0)</f>
        <v/>
      </c>
      <c r="AN187" s="232">
        <f>IF(AN$11=36,-(AN$181+AN$182+AN$185),0)</f>
        <v/>
      </c>
      <c r="AO187" s="232">
        <f>IF(AO$11=36,-(AO$181+AO$182+AO$185),0)</f>
        <v/>
      </c>
      <c r="AP187" s="232">
        <f>IF(AP$11=36,-(AP$181+AP$182+AP$185),0)</f>
        <v/>
      </c>
      <c r="AQ187" s="232">
        <f>IF(AQ$11=36,-(AQ$181+AQ$182+AQ$185),0)</f>
        <v/>
      </c>
      <c r="AR187" s="232">
        <f>IF(AR$11=36,-(AR$181+AR$182+AR$185),0)</f>
        <v/>
      </c>
      <c r="AS187" s="232">
        <f>IF(AS$11=36,-(AS$181+AS$182+AS$185),0)</f>
        <v/>
      </c>
      <c r="AT187" s="232">
        <f>IF(AT$11=36,-(AT$181+AT$182+AT$185),0)</f>
        <v/>
      </c>
      <c r="AU187" s="232">
        <f>IF(AU$11=36,-(AU$181+AU$182+AU$185),0)</f>
        <v/>
      </c>
      <c r="AV187" s="232">
        <f>IF(AV$11=36,-(AV$181+AV$182+AV$185),0)</f>
        <v/>
      </c>
      <c r="AW187" s="232">
        <f>IF(AW$11=36,-(AW$181+AW$182+AW$185),0)</f>
        <v/>
      </c>
      <c r="AX187" s="232">
        <f>IF(AX$11=36,-(AX$181+AX$182+AX$185),0)</f>
        <v/>
      </c>
      <c r="AY187" s="232">
        <f>IF(AY$11=36,-(AY$181+AY$182+AY$185),0)</f>
        <v/>
      </c>
      <c r="AZ187" s="232">
        <f>IF(AZ$11=36,-(AZ$181+AZ$182+AZ$185),0)</f>
        <v/>
      </c>
      <c r="BA187" s="232">
        <f>IF(BA$11=36,-(BA$181+BA$182+BA$185),0)</f>
        <v/>
      </c>
      <c r="BB187" s="232">
        <f>IF(BB$11=36,-(BB$181+BB$182+BB$185),0)</f>
        <v/>
      </c>
      <c r="BC187" s="232">
        <f>IF(BC$11=36,-(BC$181+BC$182+BC$185),0)</f>
        <v/>
      </c>
      <c r="BD187" s="232">
        <f>IF(BD$11=36,-(BD$181+BD$182+BD$185),0)</f>
        <v/>
      </c>
      <c r="BE187" s="232">
        <f>IF(BE$11=36,-(BE$181+BE$182+BE$185),0)</f>
        <v/>
      </c>
      <c r="BF187" s="232">
        <f>IF(BF$11=36,-(BF$181+BF$182+BF$185),0)</f>
        <v/>
      </c>
      <c r="BG187" s="232">
        <f>IF(BG$11=36,-(BG$181+BG$182+BG$185),0)</f>
        <v/>
      </c>
      <c r="BH187" s="232">
        <f>IF(BH$11=36,-(BH$181+BH$182+BH$185),0)</f>
        <v/>
      </c>
      <c r="BI187" s="232">
        <f>IF(BI$11=36,-(BI$181+BI$182+BI$185),0)</f>
        <v/>
      </c>
      <c r="BJ187" s="232">
        <f>IF(BJ$11=36,-(BJ$181+BJ$182+BJ$185),0)</f>
        <v/>
      </c>
      <c r="BK187" s="232">
        <f>IF(BK$11=36,-(BK$181+BK$182+BK$185),0)</f>
        <v/>
      </c>
      <c r="BL187" s="232">
        <f>IF(BL$11=36,-(BL$181+BL$182+BL$185),0)</f>
        <v/>
      </c>
      <c r="BM187" s="232">
        <f>IF(BM$11=36,-(BM$181+BM$182+BM$185),0)</f>
        <v/>
      </c>
      <c r="BN187" s="232">
        <f>IF(BN$11=36,-(BN$181+BN$182+BN$185),0)</f>
        <v/>
      </c>
      <c r="BO187" s="232">
        <f>IF(BO$11=36,-(BO$181+BO$182+BO$185),0)</f>
        <v/>
      </c>
      <c r="BP187" s="232">
        <f>IF(BP$11=36,-(BP$181+BP$182+BP$185),0)</f>
        <v/>
      </c>
      <c r="BQ187" s="232">
        <f>IF(BQ$11=36,-(BQ$181+BQ$182+BQ$185),0)</f>
        <v/>
      </c>
      <c r="BR187" s="232">
        <f>IF(BR$11=36,-(BR$181+BR$182+BR$185),0)</f>
        <v/>
      </c>
      <c r="BS187" s="232">
        <f>IF(BS$11=36,-(BS$181+BS$182+BS$185),0)</f>
        <v/>
      </c>
      <c r="BT187" s="232">
        <f>IF(BT$11=36,-(BT$181+BT$182+BT$185),0)</f>
        <v/>
      </c>
      <c r="BU187" s="232">
        <f>IF(BU$11=36,-(BU$181+BU$182+BU$185),0)</f>
        <v/>
      </c>
      <c r="BV187" s="232">
        <f>IF(BV$11=36,-(BV$181+BV$182+BV$185),0)</f>
        <v/>
      </c>
      <c r="BW187" s="232">
        <f>IF(BW$11=36,-(BW$181+BW$182+BW$185),0)</f>
        <v/>
      </c>
      <c r="BX187" s="232">
        <f>IF(BX$11=36,-(BX$181+BX$182+BX$185),0)</f>
        <v/>
      </c>
      <c r="BY187" s="232">
        <f>IF(BY$11=36,-(BY$181+BY$182+BY$185),0)</f>
        <v/>
      </c>
      <c r="BZ187" s="232">
        <f>IF(BZ$11=36,-(BZ$181+BZ$182+BZ$185),0)</f>
        <v/>
      </c>
      <c r="CA187" s="232">
        <f>IF(CA$11=36,-(CA$181+CA$182+CA$185),0)</f>
        <v/>
      </c>
      <c r="CB187" s="232">
        <f>IF(CB$11=36,-(CB$181+CB$182+CB$185),0)</f>
        <v/>
      </c>
      <c r="CC187" s="232">
        <f>IF(CC$11=36,-(CC$181+CC$182+CC$185),0)</f>
        <v/>
      </c>
      <c r="CD187" s="232">
        <f>IF(CD$11=36,-(CD$181+CD$182+CD$185),0)</f>
        <v/>
      </c>
      <c r="CE187" s="232">
        <f>IF(CE$11=36,-(CE$181+CE$182+CE$185),0)</f>
        <v/>
      </c>
      <c r="CF187" s="232">
        <f>IF(CF$11=36,-(CF$181+CF$182+CF$185),0)</f>
        <v/>
      </c>
      <c r="CG187" s="232">
        <f>IF(CG$11=36,-(CG$181+CG$182+CG$185),0)</f>
        <v/>
      </c>
      <c r="CH187" s="232">
        <f>IF(CH$11=36,-(CH$181+CH$182+CH$185),0)</f>
        <v/>
      </c>
      <c r="CI187" s="232">
        <f>IF(CI$11=36,-(CI$181+CI$182+CI$185),0)</f>
        <v/>
      </c>
      <c r="CJ187" s="232">
        <f>IF(CJ$11=36,-(CJ$181+CJ$182+CJ$185),0)</f>
        <v/>
      </c>
      <c r="CK187" s="232">
        <f>IF(CK$11=36,-(CK$181+CK$182+CK$185),0)</f>
        <v/>
      </c>
      <c r="CL187" s="232">
        <f>IF(CL$11=36,-(CL$181+CL$182+CL$185),0)</f>
        <v/>
      </c>
      <c r="CM187" s="232">
        <f>IF(CM$11=36,-(CM$181+CM$182+CM$185),0)</f>
        <v/>
      </c>
      <c r="CN187" s="232">
        <f>IF(CN$11=36,-(CN$181+CN$182+CN$185),0)</f>
        <v/>
      </c>
      <c r="CO187" s="232">
        <f>IF(CO$11=36,-(CO$181+CO$182+CO$185),0)</f>
        <v/>
      </c>
      <c r="CP187" s="232">
        <f>IF(CP$11=36,-(CP$181+CP$182+CP$185),0)</f>
        <v/>
      </c>
      <c r="CQ187" s="232">
        <f>IF(CQ$11=36,-(CQ$181+CQ$182+CQ$185),0)</f>
        <v/>
      </c>
      <c r="CR187" s="232">
        <f>IF(CR$11=36,-(CR$181+CR$182+CR$185),0)</f>
        <v/>
      </c>
      <c r="CS187" s="232">
        <f>IF(CS$11=36,-(CS$181+CS$182+CS$185),0)</f>
        <v/>
      </c>
      <c r="CT187" s="232">
        <f>IF(CT$11=36,-(CT$181+CT$182+CT$185),0)</f>
        <v/>
      </c>
      <c r="CU187" s="232">
        <f>IF(CU$11=36,-(CU$181+CU$182+CU$185),0)</f>
        <v/>
      </c>
      <c r="CV187" s="232">
        <f>IF(CV$11=36,-(CV$181+CV$182+CV$185),0)</f>
        <v/>
      </c>
      <c r="CW187" s="232">
        <f>IF(CW$11=36,-(CW$181+CW$182+CW$185),0)</f>
        <v/>
      </c>
      <c r="CX187" s="232">
        <f>IF(CX$11=36,-(CX$181+CX$182+CX$185),0)</f>
        <v/>
      </c>
      <c r="CY187" s="232">
        <f>IF(CY$11=36,-(CY$181+CY$182+CY$185),0)</f>
        <v/>
      </c>
      <c r="CZ187" s="232">
        <f>IF(CZ$11=36,-(CZ$181+CZ$182+CZ$185),0)</f>
        <v/>
      </c>
      <c r="DA187" s="232">
        <f>IF(DA$11=36,-(DA$181+DA$182+DA$185),0)</f>
        <v/>
      </c>
      <c r="DB187" s="232">
        <f>IF(DB$11=36,-(DB$181+DB$182+DB$185),0)</f>
        <v/>
      </c>
      <c r="DC187" s="232">
        <f>IF(DC$11=36,-(DC$181+DC$182+DC$185),0)</f>
        <v/>
      </c>
      <c r="DD187" s="232">
        <f>IF(DD$11=36,-(DD$181+DD$182+DD$185),0)</f>
        <v/>
      </c>
      <c r="DE187" s="232">
        <f>IF(DE$11=36,-(DE$181+DE$182+DE$185),0)</f>
        <v/>
      </c>
      <c r="DF187" s="232">
        <f>IF(DF$11=36,-(DF$181+DF$182+DF$185),0)</f>
        <v/>
      </c>
      <c r="DG187" s="232">
        <f>IF(DG$11=36,-(DG$181+DG$182+DG$185),0)</f>
        <v/>
      </c>
      <c r="DH187" s="232">
        <f>IF(DH$11=36,-(DH$181+DH$182+DH$185),0)</f>
        <v/>
      </c>
      <c r="DI187" s="232">
        <f>IF(DI$11=36,-(DI$181+DI$182+DI$185),0)</f>
        <v/>
      </c>
      <c r="DJ187" s="232">
        <f>IF(DJ$11=36,-(DJ$181+DJ$182+DJ$185),0)</f>
        <v/>
      </c>
      <c r="DK187" s="232">
        <f>IF(DK$11=36,-(DK$181+DK$182+DK$185),0)</f>
        <v/>
      </c>
      <c r="DL187" s="232">
        <f>IF(DL$11=36,-(DL$181+DL$182+DL$185),0)</f>
        <v/>
      </c>
      <c r="DM187" s="232">
        <f>IF(DM$11=36,-(DM$181+DM$182+DM$185),0)</f>
        <v/>
      </c>
      <c r="DN187" s="232">
        <f>IF(DN$11=36,-(DN$181+DN$182+DN$185),0)</f>
        <v/>
      </c>
      <c r="DO187" s="232">
        <f>IF(DO$11=36,-(DO$181+DO$182+DO$185),0)</f>
        <v/>
      </c>
      <c r="DP187" s="232">
        <f>IF(DP$11=36,-(DP$181+DP$182+DP$185),0)</f>
        <v/>
      </c>
      <c r="DQ187" s="232">
        <f>IF(DQ$11=36,-(DQ$181+DQ$182+DQ$185),0)</f>
        <v/>
      </c>
      <c r="DR187" s="232">
        <f>IF(DR$11=36,-(DR$181+DR$182+DR$185),0)</f>
        <v/>
      </c>
      <c r="DS187" s="232">
        <f>IF(DS$11=36,-(DS$181+DS$182+DS$185),0)</f>
        <v/>
      </c>
      <c r="DT187" s="232">
        <f>IF(DT$11=36,-(DT$181+DT$182+DT$185),0)</f>
        <v/>
      </c>
    </row>
    <row r="189" ht="15" customHeight="1" s="148">
      <c r="A189" t="inlineStr">
        <is>
          <t>Refi Begin Bal</t>
        </is>
      </c>
      <c r="D189" s="232">
        <f>0</f>
        <v/>
      </c>
      <c r="E189" s="232">
        <f>D$194</f>
        <v/>
      </c>
      <c r="F189" s="232">
        <f>E$194</f>
        <v/>
      </c>
      <c r="G189" s="232">
        <f>F$194</f>
        <v/>
      </c>
      <c r="H189" s="232">
        <f>G$194</f>
        <v/>
      </c>
      <c r="I189" s="232">
        <f>H$194</f>
        <v/>
      </c>
      <c r="J189" s="232">
        <f>I$194</f>
        <v/>
      </c>
      <c r="K189" s="232">
        <f>J$194</f>
        <v/>
      </c>
      <c r="L189" s="232">
        <f>K$194</f>
        <v/>
      </c>
      <c r="M189" s="232">
        <f>L$194</f>
        <v/>
      </c>
      <c r="N189" s="232">
        <f>M$194</f>
        <v/>
      </c>
      <c r="O189" s="232">
        <f>N$194</f>
        <v/>
      </c>
      <c r="P189" s="232">
        <f>O$194</f>
        <v/>
      </c>
      <c r="Q189" s="232">
        <f>P$194</f>
        <v/>
      </c>
      <c r="R189" s="232">
        <f>Q$194</f>
        <v/>
      </c>
      <c r="S189" s="232">
        <f>R$194</f>
        <v/>
      </c>
      <c r="T189" s="232">
        <f>S$194</f>
        <v/>
      </c>
      <c r="U189" s="232">
        <f>T$194</f>
        <v/>
      </c>
      <c r="V189" s="232">
        <f>U$194</f>
        <v/>
      </c>
      <c r="W189" s="232">
        <f>V$194</f>
        <v/>
      </c>
      <c r="X189" s="232">
        <f>W$194</f>
        <v/>
      </c>
      <c r="Y189" s="232">
        <f>X$194</f>
        <v/>
      </c>
      <c r="Z189" s="232">
        <f>Y$194</f>
        <v/>
      </c>
      <c r="AA189" s="232">
        <f>Z$194</f>
        <v/>
      </c>
      <c r="AB189" s="232">
        <f>AA$194</f>
        <v/>
      </c>
      <c r="AC189" s="232">
        <f>AB$194</f>
        <v/>
      </c>
      <c r="AD189" s="232">
        <f>AC$194</f>
        <v/>
      </c>
      <c r="AE189" s="232">
        <f>AD$194</f>
        <v/>
      </c>
      <c r="AF189" s="232">
        <f>AE$194</f>
        <v/>
      </c>
      <c r="AG189" s="232">
        <f>AF$194</f>
        <v/>
      </c>
      <c r="AH189" s="232">
        <f>AG$194</f>
        <v/>
      </c>
      <c r="AI189" s="232">
        <f>AH$194</f>
        <v/>
      </c>
      <c r="AJ189" s="232">
        <f>AI$194</f>
        <v/>
      </c>
      <c r="AK189" s="232">
        <f>AJ$194</f>
        <v/>
      </c>
      <c r="AL189" s="232">
        <f>AK$194</f>
        <v/>
      </c>
      <c r="AM189" s="232">
        <f>AL$194</f>
        <v/>
      </c>
      <c r="AN189" s="232">
        <f>AM$194</f>
        <v/>
      </c>
      <c r="AO189" s="232">
        <f>AN$194</f>
        <v/>
      </c>
      <c r="AP189" s="232">
        <f>AO$194</f>
        <v/>
      </c>
      <c r="AQ189" s="232">
        <f>AP$194</f>
        <v/>
      </c>
      <c r="AR189" s="232">
        <f>AQ$194</f>
        <v/>
      </c>
      <c r="AS189" s="232">
        <f>AR$194</f>
        <v/>
      </c>
      <c r="AT189" s="232">
        <f>AS$194</f>
        <v/>
      </c>
      <c r="AU189" s="232">
        <f>AT$194</f>
        <v/>
      </c>
      <c r="AV189" s="232">
        <f>AU$194</f>
        <v/>
      </c>
      <c r="AW189" s="232">
        <f>AV$194</f>
        <v/>
      </c>
      <c r="AX189" s="232">
        <f>AW$194</f>
        <v/>
      </c>
      <c r="AY189" s="232">
        <f>AX$194</f>
        <v/>
      </c>
      <c r="AZ189" s="232">
        <f>AY$194</f>
        <v/>
      </c>
      <c r="BA189" s="232">
        <f>AZ$194</f>
        <v/>
      </c>
      <c r="BB189" s="232">
        <f>BA$194</f>
        <v/>
      </c>
      <c r="BC189" s="232">
        <f>BB$194</f>
        <v/>
      </c>
      <c r="BD189" s="232">
        <f>BC$194</f>
        <v/>
      </c>
      <c r="BE189" s="232">
        <f>BD$194</f>
        <v/>
      </c>
      <c r="BF189" s="232">
        <f>BE$194</f>
        <v/>
      </c>
      <c r="BG189" s="232">
        <f>BF$194</f>
        <v/>
      </c>
      <c r="BH189" s="232">
        <f>BG$194</f>
        <v/>
      </c>
      <c r="BI189" s="232">
        <f>BH$194</f>
        <v/>
      </c>
      <c r="BJ189" s="232">
        <f>BI$194</f>
        <v/>
      </c>
      <c r="BK189" s="232">
        <f>BJ$194</f>
        <v/>
      </c>
      <c r="BL189" s="232">
        <f>BK$194</f>
        <v/>
      </c>
      <c r="BM189" s="232">
        <f>BL$194</f>
        <v/>
      </c>
      <c r="BN189" s="232">
        <f>BM$194</f>
        <v/>
      </c>
      <c r="BO189" s="232">
        <f>BN$194</f>
        <v/>
      </c>
      <c r="BP189" s="232">
        <f>BO$194</f>
        <v/>
      </c>
      <c r="BQ189" s="232">
        <f>BP$194</f>
        <v/>
      </c>
      <c r="BR189" s="232">
        <f>BQ$194</f>
        <v/>
      </c>
      <c r="BS189" s="232">
        <f>BR$194</f>
        <v/>
      </c>
      <c r="BT189" s="232">
        <f>BS$194</f>
        <v/>
      </c>
      <c r="BU189" s="232">
        <f>BT$194</f>
        <v/>
      </c>
      <c r="BV189" s="232">
        <f>BU$194</f>
        <v/>
      </c>
      <c r="BW189" s="232">
        <f>BV$194</f>
        <v/>
      </c>
      <c r="BX189" s="232">
        <f>BW$194</f>
        <v/>
      </c>
      <c r="BY189" s="232">
        <f>BX$194</f>
        <v/>
      </c>
      <c r="BZ189" s="232">
        <f>BY$194</f>
        <v/>
      </c>
      <c r="CA189" s="232">
        <f>BZ$194</f>
        <v/>
      </c>
      <c r="CB189" s="232">
        <f>CA$194</f>
        <v/>
      </c>
      <c r="CC189" s="232">
        <f>CB$194</f>
        <v/>
      </c>
      <c r="CD189" s="232">
        <f>CC$194</f>
        <v/>
      </c>
      <c r="CE189" s="232">
        <f>CD$194</f>
        <v/>
      </c>
      <c r="CF189" s="232">
        <f>CE$194</f>
        <v/>
      </c>
      <c r="CG189" s="232">
        <f>CF$194</f>
        <v/>
      </c>
      <c r="CH189" s="232">
        <f>CG$194</f>
        <v/>
      </c>
      <c r="CI189" s="232">
        <f>CH$194</f>
        <v/>
      </c>
      <c r="CJ189" s="232">
        <f>CI$194</f>
        <v/>
      </c>
      <c r="CK189" s="232">
        <f>CJ$194</f>
        <v/>
      </c>
      <c r="CL189" s="232">
        <f>CK$194</f>
        <v/>
      </c>
      <c r="CM189" s="232">
        <f>CL$194</f>
        <v/>
      </c>
      <c r="CN189" s="232">
        <f>CM$194</f>
        <v/>
      </c>
      <c r="CO189" s="232">
        <f>CN$194</f>
        <v/>
      </c>
      <c r="CP189" s="232">
        <f>CO$194</f>
        <v/>
      </c>
      <c r="CQ189" s="232">
        <f>CP$194</f>
        <v/>
      </c>
      <c r="CR189" s="232">
        <f>CQ$194</f>
        <v/>
      </c>
      <c r="CS189" s="232">
        <f>CR$194</f>
        <v/>
      </c>
      <c r="CT189" s="232">
        <f>CS$194</f>
        <v/>
      </c>
      <c r="CU189" s="232">
        <f>CT$194</f>
        <v/>
      </c>
      <c r="CV189" s="232">
        <f>CU$194</f>
        <v/>
      </c>
      <c r="CW189" s="232">
        <f>CV$194</f>
        <v/>
      </c>
      <c r="CX189" s="232">
        <f>CW$194</f>
        <v/>
      </c>
      <c r="CY189" s="232">
        <f>CX$194</f>
        <v/>
      </c>
      <c r="CZ189" s="232">
        <f>CY$194</f>
        <v/>
      </c>
      <c r="DA189" s="232">
        <f>CZ$194</f>
        <v/>
      </c>
      <c r="DB189" s="232">
        <f>DA$194</f>
        <v/>
      </c>
      <c r="DC189" s="232">
        <f>DB$194</f>
        <v/>
      </c>
      <c r="DD189" s="232">
        <f>DC$194</f>
        <v/>
      </c>
      <c r="DE189" s="232">
        <f>DD$194</f>
        <v/>
      </c>
      <c r="DF189" s="232">
        <f>DE$194</f>
        <v/>
      </c>
      <c r="DG189" s="232">
        <f>DF$194</f>
        <v/>
      </c>
      <c r="DH189" s="232">
        <f>DG$194</f>
        <v/>
      </c>
      <c r="DI189" s="232">
        <f>DH$194</f>
        <v/>
      </c>
      <c r="DJ189" s="232">
        <f>DI$194</f>
        <v/>
      </c>
      <c r="DK189" s="232">
        <f>DJ$194</f>
        <v/>
      </c>
      <c r="DL189" s="232">
        <f>DK$194</f>
        <v/>
      </c>
      <c r="DM189" s="232">
        <f>DL$194</f>
        <v/>
      </c>
      <c r="DN189" s="232">
        <f>DM$194</f>
        <v/>
      </c>
      <c r="DO189" s="232">
        <f>DN$194</f>
        <v/>
      </c>
      <c r="DP189" s="232">
        <f>DO$194</f>
        <v/>
      </c>
      <c r="DQ189" s="232">
        <f>DP$194</f>
        <v/>
      </c>
      <c r="DR189" s="232">
        <f>DQ$194</f>
        <v/>
      </c>
      <c r="DS189" s="232">
        <f>DR$194</f>
        <v/>
      </c>
      <c r="DT189" s="232">
        <f>DS$194</f>
        <v/>
      </c>
    </row>
    <row r="190" ht="15" customHeight="1" s="148">
      <c r="A190" t="inlineStr">
        <is>
          <t>Refi Proceeds</t>
        </is>
      </c>
      <c r="D190" s="232">
        <f>IF(D$11=36,-D$187,0)+IF(AND(D$11&gt;=36,-(D$65+D$67)&gt;0),MIN(Assumptions!$Z$42,Assumptions!$AA$37*-(D$65+D$67)),0)</f>
        <v/>
      </c>
      <c r="E190" s="232">
        <f>IF(E$11=36,-E$187,0)+IF(AND(E$11&gt;=36,-(E$65+E$67)&gt;0),MIN(Assumptions!$Z$42,Assumptions!$AA$37*-(E$65+E$67)),0)</f>
        <v/>
      </c>
      <c r="F190" s="232">
        <f>IF(F$11=36,-F$187,0)+IF(AND(F$11&gt;=36,-(F$65+F$67)&gt;0),MIN(Assumptions!$Z$42,Assumptions!$AA$37*-(F$65+F$67)),0)</f>
        <v/>
      </c>
      <c r="G190" s="232">
        <f>IF(G$11=36,-G$187,0)+IF(AND(G$11&gt;=36,-(G$65+G$67)&gt;0),MIN(Assumptions!$Z$42,Assumptions!$AA$37*-(G$65+G$67)),0)</f>
        <v/>
      </c>
      <c r="H190" s="232">
        <f>IF(H$11=36,-H$187,0)+IF(AND(H$11&gt;=36,-(H$65+H$67)&gt;0),MIN(Assumptions!$Z$42,Assumptions!$AA$37*-(H$65+H$67)),0)</f>
        <v/>
      </c>
      <c r="I190" s="232">
        <f>IF(I$11=36,-I$187,0)+IF(AND(I$11&gt;=36,-(I$65+I$67)&gt;0),MIN(Assumptions!$Z$42,Assumptions!$AA$37*-(I$65+I$67)),0)</f>
        <v/>
      </c>
      <c r="J190" s="232">
        <f>IF(J$11=36,-J$187,0)+IF(AND(J$11&gt;=36,-(J$65+J$67)&gt;0),MIN(Assumptions!$Z$42,Assumptions!$AA$37*-(J$65+J$67)),0)</f>
        <v/>
      </c>
      <c r="K190" s="232">
        <f>IF(K$11=36,-K$187,0)+IF(AND(K$11&gt;=36,-(K$65+K$67)&gt;0),MIN(Assumptions!$Z$42,Assumptions!$AA$37*-(K$65+K$67)),0)</f>
        <v/>
      </c>
      <c r="L190" s="232">
        <f>IF(L$11=36,-L$187,0)+IF(AND(L$11&gt;=36,-(L$65+L$67)&gt;0),MIN(Assumptions!$Z$42,Assumptions!$AA$37*-(L$65+L$67)),0)</f>
        <v/>
      </c>
      <c r="M190" s="232">
        <f>IF(M$11=36,-M$187,0)+IF(AND(M$11&gt;=36,-(M$65+M$67)&gt;0),MIN(Assumptions!$Z$42,Assumptions!$AA$37*-(M$65+M$67)),0)</f>
        <v/>
      </c>
      <c r="N190" s="232">
        <f>IF(N$11=36,-N$187,0)+IF(AND(N$11&gt;=36,-(N$65+N$67)&gt;0),MIN(Assumptions!$Z$42,Assumptions!$AA$37*-(N$65+N$67)),0)</f>
        <v/>
      </c>
      <c r="O190" s="232">
        <f>IF(O$11=36,-O$187,0)+IF(AND(O$11&gt;=36,-(O$65+O$67)&gt;0),MIN(Assumptions!$Z$42,Assumptions!$AA$37*-(O$65+O$67)),0)</f>
        <v/>
      </c>
      <c r="P190" s="232">
        <f>IF(P$11=36,-P$187,0)+IF(AND(P$11&gt;=36,-(P$65+P$67)&gt;0),MIN(Assumptions!$Z$42,Assumptions!$AA$37*-(P$65+P$67)),0)</f>
        <v/>
      </c>
      <c r="Q190" s="232">
        <f>IF(Q$11=36,-Q$187,0)+IF(AND(Q$11&gt;=36,-(Q$65+Q$67)&gt;0),MIN(Assumptions!$Z$42,Assumptions!$AA$37*-(Q$65+Q$67)),0)</f>
        <v/>
      </c>
      <c r="R190" s="232">
        <f>IF(R$11=36,-R$187,0)+IF(AND(R$11&gt;=36,-(R$65+R$67)&gt;0),MIN(Assumptions!$Z$42,Assumptions!$AA$37*-(R$65+R$67)),0)</f>
        <v/>
      </c>
      <c r="S190" s="232">
        <f>IF(S$11=36,-S$187,0)+IF(AND(S$11&gt;=36,-(S$65+S$67)&gt;0),MIN(Assumptions!$Z$42,Assumptions!$AA$37*-(S$65+S$67)),0)</f>
        <v/>
      </c>
      <c r="T190" s="232">
        <f>IF(T$11=36,-T$187,0)+IF(AND(T$11&gt;=36,-(T$65+T$67)&gt;0),MIN(Assumptions!$Z$42,Assumptions!$AA$37*-(T$65+T$67)),0)</f>
        <v/>
      </c>
      <c r="U190" s="232">
        <f>IF(U$11=36,-U$187,0)+IF(AND(U$11&gt;=36,-(U$65+U$67)&gt;0),MIN(Assumptions!$Z$42,Assumptions!$AA$37*-(U$65+U$67)),0)</f>
        <v/>
      </c>
      <c r="V190" s="232">
        <f>IF(V$11=36,-V$187,0)+IF(AND(V$11&gt;=36,-(V$65+V$67)&gt;0),MIN(Assumptions!$Z$42,Assumptions!$AA$37*-(V$65+V$67)),0)</f>
        <v/>
      </c>
      <c r="W190" s="232">
        <f>IF(W$11=36,-W$187,0)+IF(AND(W$11&gt;=36,-(W$65+W$67)&gt;0),MIN(Assumptions!$Z$42,Assumptions!$AA$37*-(W$65+W$67)),0)</f>
        <v/>
      </c>
      <c r="X190" s="232">
        <f>IF(X$11=36,-X$187,0)+IF(AND(X$11&gt;=36,-(X$65+X$67)&gt;0),MIN(Assumptions!$Z$42,Assumptions!$AA$37*-(X$65+X$67)),0)</f>
        <v/>
      </c>
      <c r="Y190" s="232">
        <f>IF(Y$11=36,-Y$187,0)+IF(AND(Y$11&gt;=36,-(Y$65+Y$67)&gt;0),MIN(Assumptions!$Z$42,Assumptions!$AA$37*-(Y$65+Y$67)),0)</f>
        <v/>
      </c>
      <c r="Z190" s="232">
        <f>IF(Z$11=36,-Z$187,0)+IF(AND(Z$11&gt;=36,-(Z$65+Z$67)&gt;0),MIN(Assumptions!$Z$42,Assumptions!$AA$37*-(Z$65+Z$67)),0)</f>
        <v/>
      </c>
      <c r="AA190" s="232">
        <f>IF(AA$11=36,-AA$187,0)+IF(AND(AA$11&gt;=36,-(AA$65+AA$67)&gt;0),MIN(Assumptions!$Z$42,Assumptions!$AA$37*-(AA$65+AA$67)),0)</f>
        <v/>
      </c>
      <c r="AB190" s="232">
        <f>IF(AB$11=36,-AB$187,0)+IF(AND(AB$11&gt;=36,-(AB$65+AB$67)&gt;0),MIN(Assumptions!$Z$42,Assumptions!$AA$37*-(AB$65+AB$67)),0)</f>
        <v/>
      </c>
      <c r="AC190" s="232">
        <f>IF(AC$11=36,-AC$187,0)+IF(AND(AC$11&gt;=36,-(AC$65+AC$67)&gt;0),MIN(Assumptions!$Z$42,Assumptions!$AA$37*-(AC$65+AC$67)),0)</f>
        <v/>
      </c>
      <c r="AD190" s="232">
        <f>IF(AD$11=36,-AD$187,0)+IF(AND(AD$11&gt;=36,-(AD$65+AD$67)&gt;0),MIN(Assumptions!$Z$42,Assumptions!$AA$37*-(AD$65+AD$67)),0)</f>
        <v/>
      </c>
      <c r="AE190" s="232">
        <f>IF(AE$11=36,-AE$187,0)+IF(AND(AE$11&gt;=36,-(AE$65+AE$67)&gt;0),MIN(Assumptions!$Z$42,Assumptions!$AA$37*-(AE$65+AE$67)),0)</f>
        <v/>
      </c>
      <c r="AF190" s="232">
        <f>IF(AF$11=36,-AF$187,0)+IF(AND(AF$11&gt;=36,-(AF$65+AF$67)&gt;0),MIN(Assumptions!$Z$42,Assumptions!$AA$37*-(AF$65+AF$67)),0)</f>
        <v/>
      </c>
      <c r="AG190" s="232">
        <f>IF(AG$11=36,-AG$187,0)+IF(AND(AG$11&gt;=36,-(AG$65+AG$67)&gt;0),MIN(Assumptions!$Z$42,Assumptions!$AA$37*-(AG$65+AG$67)),0)</f>
        <v/>
      </c>
      <c r="AH190" s="232">
        <f>IF(AH$11=36,-AH$187,0)+IF(AND(AH$11&gt;=36,-(AH$65+AH$67)&gt;0),MIN(Assumptions!$Z$42,Assumptions!$AA$37*-(AH$65+AH$67)),0)</f>
        <v/>
      </c>
      <c r="AI190" s="232">
        <f>IF(AI$11=36,-AI$187,0)+IF(AND(AI$11&gt;=36,-(AI$65+AI$67)&gt;0),MIN(Assumptions!$Z$42,Assumptions!$AA$37*-(AI$65+AI$67)),0)</f>
        <v/>
      </c>
      <c r="AJ190" s="232">
        <f>IF(AJ$11=36,-AJ$187,0)+IF(AND(AJ$11&gt;=36,-(AJ$65+AJ$67)&gt;0),MIN(Assumptions!$Z$42,Assumptions!$AA$37*-(AJ$65+AJ$67)),0)</f>
        <v/>
      </c>
      <c r="AK190" s="232">
        <f>IF(AK$11=36,-AK$187,0)+IF(AND(AK$11&gt;=36,-(AK$65+AK$67)&gt;0),MIN(Assumptions!$Z$42,Assumptions!$AA$37*-(AK$65+AK$67)),0)</f>
        <v/>
      </c>
      <c r="AL190" s="232">
        <f>IF(AL$11=36,-AL$187,0)+IF(AND(AL$11&gt;=36,-(AL$65+AL$67)&gt;0),MIN(Assumptions!$Z$42,Assumptions!$AA$37*-(AL$65+AL$67)),0)</f>
        <v/>
      </c>
      <c r="AM190" s="232">
        <f>IF(AM$11=36,-AM$187,0)+IF(AND(AM$11&gt;=36,-(AM$65+AM$67)&gt;0),MIN(Assumptions!$Z$42,Assumptions!$AA$37*-(AM$65+AM$67)),0)</f>
        <v/>
      </c>
      <c r="AN190" s="232">
        <f>IF(AN$11=36,-AN$187,0)+IF(AND(AN$11&gt;=36,-(AN$65+AN$67)&gt;0),MIN(Assumptions!$Z$42,Assumptions!$AA$37*-(AN$65+AN$67)),0)</f>
        <v/>
      </c>
      <c r="AO190" s="232">
        <f>IF(AO$11=36,-AO$187,0)+IF(AND(AO$11&gt;=36,-(AO$65+AO$67)&gt;0),MIN(Assumptions!$Z$42,Assumptions!$AA$37*-(AO$65+AO$67)),0)</f>
        <v/>
      </c>
      <c r="AP190" s="232">
        <f>IF(AP$11=36,-AP$187,0)+IF(AND(AP$11&gt;=36,-(AP$65+AP$67)&gt;0),MIN(Assumptions!$Z$42,Assumptions!$AA$37*-(AP$65+AP$67)),0)</f>
        <v/>
      </c>
      <c r="AQ190" s="232">
        <f>IF(AQ$11=36,-AQ$187,0)+IF(AND(AQ$11&gt;=36,-(AQ$65+AQ$67)&gt;0),MIN(Assumptions!$Z$42,Assumptions!$AA$37*-(AQ$65+AQ$67)),0)</f>
        <v/>
      </c>
      <c r="AR190" s="232">
        <f>IF(AR$11=36,-AR$187,0)+IF(AND(AR$11&gt;=36,-(AR$65+AR$67)&gt;0),MIN(Assumptions!$Z$42,Assumptions!$AA$37*-(AR$65+AR$67)),0)</f>
        <v/>
      </c>
      <c r="AS190" s="232">
        <f>IF(AS$11=36,-AS$187,0)+IF(AND(AS$11&gt;=36,-(AS$65+AS$67)&gt;0),MIN(Assumptions!$Z$42,Assumptions!$AA$37*-(AS$65+AS$67)),0)</f>
        <v/>
      </c>
      <c r="AT190" s="232">
        <f>IF(AT$11=36,-AT$187,0)+IF(AND(AT$11&gt;=36,-(AT$65+AT$67)&gt;0),MIN(Assumptions!$Z$42,Assumptions!$AA$37*-(AT$65+AT$67)),0)</f>
        <v/>
      </c>
      <c r="AU190" s="232">
        <f>IF(AU$11=36,-AU$187,0)+IF(AND(AU$11&gt;=36,-(AU$65+AU$67)&gt;0),MIN(Assumptions!$Z$42,Assumptions!$AA$37*-(AU$65+AU$67)),0)</f>
        <v/>
      </c>
      <c r="AV190" s="232">
        <f>IF(AV$11=36,-AV$187,0)+IF(AND(AV$11&gt;=36,-(AV$65+AV$67)&gt;0),MIN(Assumptions!$Z$42,Assumptions!$AA$37*-(AV$65+AV$67)),0)</f>
        <v/>
      </c>
      <c r="AW190" s="232">
        <f>IF(AW$11=36,-AW$187,0)+IF(AND(AW$11&gt;=36,-(AW$65+AW$67)&gt;0),MIN(Assumptions!$Z$42,Assumptions!$AA$37*-(AW$65+AW$67)),0)</f>
        <v/>
      </c>
      <c r="AX190" s="232">
        <f>IF(AX$11=36,-AX$187,0)+IF(AND(AX$11&gt;=36,-(AX$65+AX$67)&gt;0),MIN(Assumptions!$Z$42,Assumptions!$AA$37*-(AX$65+AX$67)),0)</f>
        <v/>
      </c>
      <c r="AY190" s="232">
        <f>IF(AY$11=36,-AY$187,0)+IF(AND(AY$11&gt;=36,-(AY$65+AY$67)&gt;0),MIN(Assumptions!$Z$42,Assumptions!$AA$37*-(AY$65+AY$67)),0)</f>
        <v/>
      </c>
      <c r="AZ190" s="232">
        <f>IF(AZ$11=36,-AZ$187,0)+IF(AND(AZ$11&gt;=36,-(AZ$65+AZ$67)&gt;0),MIN(Assumptions!$Z$42,Assumptions!$AA$37*-(AZ$65+AZ$67)),0)</f>
        <v/>
      </c>
      <c r="BA190" s="232">
        <f>IF(BA$11=36,-BA$187,0)+IF(AND(BA$11&gt;=36,-(BA$65+BA$67)&gt;0),MIN(Assumptions!$Z$42,Assumptions!$AA$37*-(BA$65+BA$67)),0)</f>
        <v/>
      </c>
      <c r="BB190" s="232">
        <f>IF(BB$11=36,-BB$187,0)+IF(AND(BB$11&gt;=36,-(BB$65+BB$67)&gt;0),MIN(Assumptions!$Z$42,Assumptions!$AA$37*-(BB$65+BB$67)),0)</f>
        <v/>
      </c>
      <c r="BC190" s="232">
        <f>IF(BC$11=36,-BC$187,0)+IF(AND(BC$11&gt;=36,-(BC$65+BC$67)&gt;0),MIN(Assumptions!$Z$42,Assumptions!$AA$37*-(BC$65+BC$67)),0)</f>
        <v/>
      </c>
      <c r="BD190" s="232">
        <f>IF(BD$11=36,-BD$187,0)+IF(AND(BD$11&gt;=36,-(BD$65+BD$67)&gt;0),MIN(Assumptions!$Z$42,Assumptions!$AA$37*-(BD$65+BD$67)),0)</f>
        <v/>
      </c>
      <c r="BE190" s="232">
        <f>IF(BE$11=36,-BE$187,0)+IF(AND(BE$11&gt;=36,-(BE$65+BE$67)&gt;0),MIN(Assumptions!$Z$42,Assumptions!$AA$37*-(BE$65+BE$67)),0)</f>
        <v/>
      </c>
      <c r="BF190" s="232">
        <f>IF(BF$11=36,-BF$187,0)+IF(AND(BF$11&gt;=36,-(BF$65+BF$67)&gt;0),MIN(Assumptions!$Z$42,Assumptions!$AA$37*-(BF$65+BF$67)),0)</f>
        <v/>
      </c>
      <c r="BG190" s="232">
        <f>IF(BG$11=36,-BG$187,0)+IF(AND(BG$11&gt;=36,-(BG$65+BG$67)&gt;0),MIN(Assumptions!$Z$42,Assumptions!$AA$37*-(BG$65+BG$67)),0)</f>
        <v/>
      </c>
      <c r="BH190" s="232">
        <f>IF(BH$11=36,-BH$187,0)+IF(AND(BH$11&gt;=36,-(BH$65+BH$67)&gt;0),MIN(Assumptions!$Z$42,Assumptions!$AA$37*-(BH$65+BH$67)),0)</f>
        <v/>
      </c>
      <c r="BI190" s="232">
        <f>IF(BI$11=36,-BI$187,0)+IF(AND(BI$11&gt;=36,-(BI$65+BI$67)&gt;0),MIN(Assumptions!$Z$42,Assumptions!$AA$37*-(BI$65+BI$67)),0)</f>
        <v/>
      </c>
      <c r="BJ190" s="232">
        <f>IF(BJ$11=36,-BJ$187,0)+IF(AND(BJ$11&gt;=36,-(BJ$65+BJ$67)&gt;0),MIN(Assumptions!$Z$42,Assumptions!$AA$37*-(BJ$65+BJ$67)),0)</f>
        <v/>
      </c>
      <c r="BK190" s="232">
        <f>IF(BK$11=36,-BK$187,0)+IF(AND(BK$11&gt;=36,-(BK$65+BK$67)&gt;0),MIN(Assumptions!$Z$42,Assumptions!$AA$37*-(BK$65+BK$67)),0)</f>
        <v/>
      </c>
      <c r="BL190" s="232">
        <f>IF(BL$11=36,-BL$187,0)+IF(AND(BL$11&gt;=36,-(BL$65+BL$67)&gt;0),MIN(Assumptions!$Z$42,Assumptions!$AA$37*-(BL$65+BL$67)),0)</f>
        <v/>
      </c>
      <c r="BM190" s="232">
        <f>IF(BM$11=36,-BM$187,0)+IF(AND(BM$11&gt;=36,-(BM$65+BM$67)&gt;0),MIN(Assumptions!$Z$42,Assumptions!$AA$37*-(BM$65+BM$67)),0)</f>
        <v/>
      </c>
      <c r="BN190" s="232">
        <f>IF(BN$11=36,-BN$187,0)+IF(AND(BN$11&gt;=36,-(BN$65+BN$67)&gt;0),MIN(Assumptions!$Z$42,Assumptions!$AA$37*-(BN$65+BN$67)),0)</f>
        <v/>
      </c>
      <c r="BO190" s="232">
        <f>IF(BO$11=36,-BO$187,0)+IF(AND(BO$11&gt;=36,-(BO$65+BO$67)&gt;0),MIN(Assumptions!$Z$42,Assumptions!$AA$37*-(BO$65+BO$67)),0)</f>
        <v/>
      </c>
      <c r="BP190" s="232">
        <f>IF(BP$11=36,-BP$187,0)+IF(AND(BP$11&gt;=36,-(BP$65+BP$67)&gt;0),MIN(Assumptions!$Z$42,Assumptions!$AA$37*-(BP$65+BP$67)),0)</f>
        <v/>
      </c>
      <c r="BQ190" s="232">
        <f>IF(BQ$11=36,-BQ$187,0)+IF(AND(BQ$11&gt;=36,-(BQ$65+BQ$67)&gt;0),MIN(Assumptions!$Z$42,Assumptions!$AA$37*-(BQ$65+BQ$67)),0)</f>
        <v/>
      </c>
      <c r="BR190" s="232">
        <f>IF(BR$11=36,-BR$187,0)+IF(AND(BR$11&gt;=36,-(BR$65+BR$67)&gt;0),MIN(Assumptions!$Z$42,Assumptions!$AA$37*-(BR$65+BR$67)),0)</f>
        <v/>
      </c>
      <c r="BS190" s="232">
        <f>IF(BS$11=36,-BS$187,0)+IF(AND(BS$11&gt;=36,-(BS$65+BS$67)&gt;0),MIN(Assumptions!$Z$42,Assumptions!$AA$37*-(BS$65+BS$67)),0)</f>
        <v/>
      </c>
      <c r="BT190" s="232">
        <f>IF(BT$11=36,-BT$187,0)+IF(AND(BT$11&gt;=36,-(BT$65+BT$67)&gt;0),MIN(Assumptions!$Z$42,Assumptions!$AA$37*-(BT$65+BT$67)),0)</f>
        <v/>
      </c>
      <c r="BU190" s="232">
        <f>IF(BU$11=36,-BU$187,0)+IF(AND(BU$11&gt;=36,-(BU$65+BU$67)&gt;0),MIN(Assumptions!$Z$42,Assumptions!$AA$37*-(BU$65+BU$67)),0)</f>
        <v/>
      </c>
      <c r="BV190" s="232">
        <f>IF(BV$11=36,-BV$187,0)+IF(AND(BV$11&gt;=36,-(BV$65+BV$67)&gt;0),MIN(Assumptions!$Z$42,Assumptions!$AA$37*-(BV$65+BV$67)),0)</f>
        <v/>
      </c>
      <c r="BW190" s="232">
        <f>IF(BW$11=36,-BW$187,0)+IF(AND(BW$11&gt;=36,-(BW$65+BW$67)&gt;0),MIN(Assumptions!$Z$42,Assumptions!$AA$37*-(BW$65+BW$67)),0)</f>
        <v/>
      </c>
      <c r="BX190" s="232">
        <f>IF(BX$11=36,-BX$187,0)+IF(AND(BX$11&gt;=36,-(BX$65+BX$67)&gt;0),MIN(Assumptions!$Z$42,Assumptions!$AA$37*-(BX$65+BX$67)),0)</f>
        <v/>
      </c>
      <c r="BY190" s="232">
        <f>IF(BY$11=36,-BY$187,0)+IF(AND(BY$11&gt;=36,-(BY$65+BY$67)&gt;0),MIN(Assumptions!$Z$42,Assumptions!$AA$37*-(BY$65+BY$67)),0)</f>
        <v/>
      </c>
      <c r="BZ190" s="232">
        <f>IF(BZ$11=36,-BZ$187,0)+IF(AND(BZ$11&gt;=36,-(BZ$65+BZ$67)&gt;0),MIN(Assumptions!$Z$42,Assumptions!$AA$37*-(BZ$65+BZ$67)),0)</f>
        <v/>
      </c>
      <c r="CA190" s="232">
        <f>IF(CA$11=36,-CA$187,0)+IF(AND(CA$11&gt;=36,-(CA$65+CA$67)&gt;0),MIN(Assumptions!$Z$42,Assumptions!$AA$37*-(CA$65+CA$67)),0)</f>
        <v/>
      </c>
      <c r="CB190" s="232">
        <f>IF(CB$11=36,-CB$187,0)+IF(AND(CB$11&gt;=36,-(CB$65+CB$67)&gt;0),MIN(Assumptions!$Z$42,Assumptions!$AA$37*-(CB$65+CB$67)),0)</f>
        <v/>
      </c>
      <c r="CC190" s="232">
        <f>IF(CC$11=36,-CC$187,0)+IF(AND(CC$11&gt;=36,-(CC$65+CC$67)&gt;0),MIN(Assumptions!$Z$42,Assumptions!$AA$37*-(CC$65+CC$67)),0)</f>
        <v/>
      </c>
      <c r="CD190" s="232">
        <f>IF(CD$11=36,-CD$187,0)+IF(AND(CD$11&gt;=36,-(CD$65+CD$67)&gt;0),MIN(Assumptions!$Z$42,Assumptions!$AA$37*-(CD$65+CD$67)),0)</f>
        <v/>
      </c>
      <c r="CE190" s="232">
        <f>IF(CE$11=36,-CE$187,0)+IF(AND(CE$11&gt;=36,-(CE$65+CE$67)&gt;0),MIN(Assumptions!$Z$42,Assumptions!$AA$37*-(CE$65+CE$67)),0)</f>
        <v/>
      </c>
      <c r="CF190" s="232">
        <f>IF(CF$11=36,-CF$187,0)+IF(AND(CF$11&gt;=36,-(CF$65+CF$67)&gt;0),MIN(Assumptions!$Z$42,Assumptions!$AA$37*-(CF$65+CF$67)),0)</f>
        <v/>
      </c>
      <c r="CG190" s="232">
        <f>IF(CG$11=36,-CG$187,0)+IF(AND(CG$11&gt;=36,-(CG$65+CG$67)&gt;0),MIN(Assumptions!$Z$42,Assumptions!$AA$37*-(CG$65+CG$67)),0)</f>
        <v/>
      </c>
      <c r="CH190" s="232">
        <f>IF(CH$11=36,-CH$187,0)+IF(AND(CH$11&gt;=36,-(CH$65+CH$67)&gt;0),MIN(Assumptions!$Z$42,Assumptions!$AA$37*-(CH$65+CH$67)),0)</f>
        <v/>
      </c>
      <c r="CI190" s="232">
        <f>IF(CI$11=36,-CI$187,0)+IF(AND(CI$11&gt;=36,-(CI$65+CI$67)&gt;0),MIN(Assumptions!$Z$42,Assumptions!$AA$37*-(CI$65+CI$67)),0)</f>
        <v/>
      </c>
      <c r="CJ190" s="232">
        <f>IF(CJ$11=36,-CJ$187,0)+IF(AND(CJ$11&gt;=36,-(CJ$65+CJ$67)&gt;0),MIN(Assumptions!$Z$42,Assumptions!$AA$37*-(CJ$65+CJ$67)),0)</f>
        <v/>
      </c>
      <c r="CK190" s="232">
        <f>IF(CK$11=36,-CK$187,0)+IF(AND(CK$11&gt;=36,-(CK$65+CK$67)&gt;0),MIN(Assumptions!$Z$42,Assumptions!$AA$37*-(CK$65+CK$67)),0)</f>
        <v/>
      </c>
      <c r="CL190" s="232">
        <f>IF(CL$11=36,-CL$187,0)+IF(AND(CL$11&gt;=36,-(CL$65+CL$67)&gt;0),MIN(Assumptions!$Z$42,Assumptions!$AA$37*-(CL$65+CL$67)),0)</f>
        <v/>
      </c>
      <c r="CM190" s="232">
        <f>IF(CM$11=36,-CM$187,0)+IF(AND(CM$11&gt;=36,-(CM$65+CM$67)&gt;0),MIN(Assumptions!$Z$42,Assumptions!$AA$37*-(CM$65+CM$67)),0)</f>
        <v/>
      </c>
      <c r="CN190" s="232">
        <f>IF(CN$11=36,-CN$187,0)+IF(AND(CN$11&gt;=36,-(CN$65+CN$67)&gt;0),MIN(Assumptions!$Z$42,Assumptions!$AA$37*-(CN$65+CN$67)),0)</f>
        <v/>
      </c>
      <c r="CO190" s="232">
        <f>IF(CO$11=36,-CO$187,0)+IF(AND(CO$11&gt;=36,-(CO$65+CO$67)&gt;0),MIN(Assumptions!$Z$42,Assumptions!$AA$37*-(CO$65+CO$67)),0)</f>
        <v/>
      </c>
      <c r="CP190" s="232">
        <f>IF(CP$11=36,-CP$187,0)+IF(AND(CP$11&gt;=36,-(CP$65+CP$67)&gt;0),MIN(Assumptions!$Z$42,Assumptions!$AA$37*-(CP$65+CP$67)),0)</f>
        <v/>
      </c>
      <c r="CQ190" s="232">
        <f>IF(CQ$11=36,-CQ$187,0)+IF(AND(CQ$11&gt;=36,-(CQ$65+CQ$67)&gt;0),MIN(Assumptions!$Z$42,Assumptions!$AA$37*-(CQ$65+CQ$67)),0)</f>
        <v/>
      </c>
      <c r="CR190" s="232">
        <f>IF(CR$11=36,-CR$187,0)+IF(AND(CR$11&gt;=36,-(CR$65+CR$67)&gt;0),MIN(Assumptions!$Z$42,Assumptions!$AA$37*-(CR$65+CR$67)),0)</f>
        <v/>
      </c>
      <c r="CS190" s="232">
        <f>IF(CS$11=36,-CS$187,0)+IF(AND(CS$11&gt;=36,-(CS$65+CS$67)&gt;0),MIN(Assumptions!$Z$42,Assumptions!$AA$37*-(CS$65+CS$67)),0)</f>
        <v/>
      </c>
      <c r="CT190" s="232">
        <f>IF(CT$11=36,-CT$187,0)+IF(AND(CT$11&gt;=36,-(CT$65+CT$67)&gt;0),MIN(Assumptions!$Z$42,Assumptions!$AA$37*-(CT$65+CT$67)),0)</f>
        <v/>
      </c>
      <c r="CU190" s="232">
        <f>IF(CU$11=36,-CU$187,0)+IF(AND(CU$11&gt;=36,-(CU$65+CU$67)&gt;0),MIN(Assumptions!$Z$42,Assumptions!$AA$37*-(CU$65+CU$67)),0)</f>
        <v/>
      </c>
      <c r="CV190" s="232">
        <f>IF(CV$11=36,-CV$187,0)+IF(AND(CV$11&gt;=36,-(CV$65+CV$67)&gt;0),MIN(Assumptions!$Z$42,Assumptions!$AA$37*-(CV$65+CV$67)),0)</f>
        <v/>
      </c>
      <c r="CW190" s="232">
        <f>IF(CW$11=36,-CW$187,0)+IF(AND(CW$11&gt;=36,-(CW$65+CW$67)&gt;0),MIN(Assumptions!$Z$42,Assumptions!$AA$37*-(CW$65+CW$67)),0)</f>
        <v/>
      </c>
      <c r="CX190" s="232">
        <f>IF(CX$11=36,-CX$187,0)+IF(AND(CX$11&gt;=36,-(CX$65+CX$67)&gt;0),MIN(Assumptions!$Z$42,Assumptions!$AA$37*-(CX$65+CX$67)),0)</f>
        <v/>
      </c>
      <c r="CY190" s="232">
        <f>IF(CY$11=36,-CY$187,0)+IF(AND(CY$11&gt;=36,-(CY$65+CY$67)&gt;0),MIN(Assumptions!$Z$42,Assumptions!$AA$37*-(CY$65+CY$67)),0)</f>
        <v/>
      </c>
      <c r="CZ190" s="232">
        <f>IF(CZ$11=36,-CZ$187,0)+IF(AND(CZ$11&gt;=36,-(CZ$65+CZ$67)&gt;0),MIN(Assumptions!$Z$42,Assumptions!$AA$37*-(CZ$65+CZ$67)),0)</f>
        <v/>
      </c>
      <c r="DA190" s="232">
        <f>IF(DA$11=36,-DA$187,0)+IF(AND(DA$11&gt;=36,-(DA$65+DA$67)&gt;0),MIN(Assumptions!$Z$42,Assumptions!$AA$37*-(DA$65+DA$67)),0)</f>
        <v/>
      </c>
      <c r="DB190" s="232">
        <f>IF(DB$11=36,-DB$187,0)+IF(AND(DB$11&gt;=36,-(DB$65+DB$67)&gt;0),MIN(Assumptions!$Z$42,Assumptions!$AA$37*-(DB$65+DB$67)),0)</f>
        <v/>
      </c>
      <c r="DC190" s="232">
        <f>IF(DC$11=36,-DC$187,0)+IF(AND(DC$11&gt;=36,-(DC$65+DC$67)&gt;0),MIN(Assumptions!$Z$42,Assumptions!$AA$37*-(DC$65+DC$67)),0)</f>
        <v/>
      </c>
      <c r="DD190" s="232">
        <f>IF(DD$11=36,-DD$187,0)+IF(AND(DD$11&gt;=36,-(DD$65+DD$67)&gt;0),MIN(Assumptions!$Z$42,Assumptions!$AA$37*-(DD$65+DD$67)),0)</f>
        <v/>
      </c>
      <c r="DE190" s="232">
        <f>IF(DE$11=36,-DE$187,0)+IF(AND(DE$11&gt;=36,-(DE$65+DE$67)&gt;0),MIN(Assumptions!$Z$42,Assumptions!$AA$37*-(DE$65+DE$67)),0)</f>
        <v/>
      </c>
      <c r="DF190" s="232">
        <f>IF(DF$11=36,-DF$187,0)+IF(AND(DF$11&gt;=36,-(DF$65+DF$67)&gt;0),MIN(Assumptions!$Z$42,Assumptions!$AA$37*-(DF$65+DF$67)),0)</f>
        <v/>
      </c>
      <c r="DG190" s="232">
        <f>IF(DG$11=36,-DG$187,0)+IF(AND(DG$11&gt;=36,-(DG$65+DG$67)&gt;0),MIN(Assumptions!$Z$42,Assumptions!$AA$37*-(DG$65+DG$67)),0)</f>
        <v/>
      </c>
      <c r="DH190" s="232">
        <f>IF(DH$11=36,-DH$187,0)+IF(AND(DH$11&gt;=36,-(DH$65+DH$67)&gt;0),MIN(Assumptions!$Z$42,Assumptions!$AA$37*-(DH$65+DH$67)),0)</f>
        <v/>
      </c>
      <c r="DI190" s="232">
        <f>IF(DI$11=36,-DI$187,0)+IF(AND(DI$11&gt;=36,-(DI$65+DI$67)&gt;0),MIN(Assumptions!$Z$42,Assumptions!$AA$37*-(DI$65+DI$67)),0)</f>
        <v/>
      </c>
      <c r="DJ190" s="232">
        <f>IF(DJ$11=36,-DJ$187,0)+IF(AND(DJ$11&gt;=36,-(DJ$65+DJ$67)&gt;0),MIN(Assumptions!$Z$42,Assumptions!$AA$37*-(DJ$65+DJ$67)),0)</f>
        <v/>
      </c>
      <c r="DK190" s="232">
        <f>IF(DK$11=36,-DK$187,0)+IF(AND(DK$11&gt;=36,-(DK$65+DK$67)&gt;0),MIN(Assumptions!$Z$42,Assumptions!$AA$37*-(DK$65+DK$67)),0)</f>
        <v/>
      </c>
      <c r="DL190" s="232">
        <f>IF(DL$11=36,-DL$187,0)+IF(AND(DL$11&gt;=36,-(DL$65+DL$67)&gt;0),MIN(Assumptions!$Z$42,Assumptions!$AA$37*-(DL$65+DL$67)),0)</f>
        <v/>
      </c>
      <c r="DM190" s="232">
        <f>IF(DM$11=36,-DM$187,0)+IF(AND(DM$11&gt;=36,-(DM$65+DM$67)&gt;0),MIN(Assumptions!$Z$42,Assumptions!$AA$37*-(DM$65+DM$67)),0)</f>
        <v/>
      </c>
      <c r="DN190" s="232">
        <f>IF(DN$11=36,-DN$187,0)+IF(AND(DN$11&gt;=36,-(DN$65+DN$67)&gt;0),MIN(Assumptions!$Z$42,Assumptions!$AA$37*-(DN$65+DN$67)),0)</f>
        <v/>
      </c>
      <c r="DO190" s="232">
        <f>IF(DO$11=36,-DO$187,0)+IF(AND(DO$11&gt;=36,-(DO$65+DO$67)&gt;0),MIN(Assumptions!$Z$42,Assumptions!$AA$37*-(DO$65+DO$67)),0)</f>
        <v/>
      </c>
      <c r="DP190" s="232">
        <f>IF(DP$11=36,-DP$187,0)+IF(AND(DP$11&gt;=36,-(DP$65+DP$67)&gt;0),MIN(Assumptions!$Z$42,Assumptions!$AA$37*-(DP$65+DP$67)),0)</f>
        <v/>
      </c>
      <c r="DQ190" s="232">
        <f>IF(DQ$11=36,-DQ$187,0)+IF(AND(DQ$11&gt;=36,-(DQ$65+DQ$67)&gt;0),MIN(Assumptions!$Z$42,Assumptions!$AA$37*-(DQ$65+DQ$67)),0)</f>
        <v/>
      </c>
      <c r="DR190" s="232">
        <f>IF(DR$11=36,-DR$187,0)+IF(AND(DR$11&gt;=36,-(DR$65+DR$67)&gt;0),MIN(Assumptions!$Z$42,Assumptions!$AA$37*-(DR$65+DR$67)),0)</f>
        <v/>
      </c>
      <c r="DS190" s="232">
        <f>IF(DS$11=36,-DS$187,0)+IF(AND(DS$11&gt;=36,-(DS$65+DS$67)&gt;0),MIN(Assumptions!$Z$42,Assumptions!$AA$37*-(DS$65+DS$67)),0)</f>
        <v/>
      </c>
      <c r="DT190" s="232">
        <f>IF(DT$11=36,-DT$187,0)+IF(AND(DT$11&gt;=36,-(DT$65+DT$67)&gt;0),MIN(Assumptions!$Z$42,Assumptions!$AA$37*-(DT$65+DT$67)),0)</f>
        <v/>
      </c>
    </row>
    <row r="191" ht="15" customHeight="1" s="148">
      <c r="A191" t="inlineStr">
        <is>
          <t>Refi Payment</t>
        </is>
      </c>
      <c r="D191" s="232">
        <f>IF(D$11&lt;37,0,-ROUND(PMT(Assumptions!$AA$47/12,Assumptions!$AA$39*12,D$189+D$190),0))</f>
        <v/>
      </c>
      <c r="E191" s="232">
        <f>IF(E$11&lt;37,0,-ROUND(PMT(Assumptions!$AA$47/12,Assumptions!$AA$39*12,E$189+E$190),0))</f>
        <v/>
      </c>
      <c r="F191" s="232">
        <f>IF(F$11&lt;37,0,-ROUND(PMT(Assumptions!$AA$47/12,Assumptions!$AA$39*12,F$189+F$190),0))</f>
        <v/>
      </c>
      <c r="G191" s="232">
        <f>IF(G$11&lt;37,0,-ROUND(PMT(Assumptions!$AA$47/12,Assumptions!$AA$39*12,G$189+G$190),0))</f>
        <v/>
      </c>
      <c r="H191" s="232">
        <f>IF(H$11&lt;37,0,-ROUND(PMT(Assumptions!$AA$47/12,Assumptions!$AA$39*12,H$189+H$190),0))</f>
        <v/>
      </c>
      <c r="I191" s="232">
        <f>IF(I$11&lt;37,0,-ROUND(PMT(Assumptions!$AA$47/12,Assumptions!$AA$39*12,I$189+I$190),0))</f>
        <v/>
      </c>
      <c r="J191" s="232">
        <f>IF(J$11&lt;37,0,-ROUND(PMT(Assumptions!$AA$47/12,Assumptions!$AA$39*12,J$189+J$190),0))</f>
        <v/>
      </c>
      <c r="K191" s="232">
        <f>IF(K$11&lt;37,0,-ROUND(PMT(Assumptions!$AA$47/12,Assumptions!$AA$39*12,K$189+K$190),0))</f>
        <v/>
      </c>
      <c r="L191" s="232">
        <f>IF(L$11&lt;37,0,-ROUND(PMT(Assumptions!$AA$47/12,Assumptions!$AA$39*12,L$189+L$190),0))</f>
        <v/>
      </c>
      <c r="M191" s="232">
        <f>IF(M$11&lt;37,0,-ROUND(PMT(Assumptions!$AA$47/12,Assumptions!$AA$39*12,M$189+M$190),0))</f>
        <v/>
      </c>
      <c r="N191" s="232">
        <f>IF(N$11&lt;37,0,-ROUND(PMT(Assumptions!$AA$47/12,Assumptions!$AA$39*12,N$189+N$190),0))</f>
        <v/>
      </c>
      <c r="O191" s="232">
        <f>IF(O$11&lt;37,0,-ROUND(PMT(Assumptions!$AA$47/12,Assumptions!$AA$39*12,O$189+O$190),0))</f>
        <v/>
      </c>
      <c r="P191" s="232">
        <f>IF(P$11&lt;37,0,-ROUND(PMT(Assumptions!$AA$47/12,Assumptions!$AA$39*12,P$189+P$190),0))</f>
        <v/>
      </c>
      <c r="Q191" s="232">
        <f>IF(Q$11&lt;37,0,-ROUND(PMT(Assumptions!$AA$47/12,Assumptions!$AA$39*12,Q$189+Q$190),0))</f>
        <v/>
      </c>
      <c r="R191" s="232">
        <f>IF(R$11&lt;37,0,-ROUND(PMT(Assumptions!$AA$47/12,Assumptions!$AA$39*12,R$189+R$190),0))</f>
        <v/>
      </c>
      <c r="S191" s="232">
        <f>IF(S$11&lt;37,0,-ROUND(PMT(Assumptions!$AA$47/12,Assumptions!$AA$39*12,S$189+S$190),0))</f>
        <v/>
      </c>
      <c r="T191" s="232">
        <f>IF(T$11&lt;37,0,-ROUND(PMT(Assumptions!$AA$47/12,Assumptions!$AA$39*12,T$189+T$190),0))</f>
        <v/>
      </c>
      <c r="U191" s="232">
        <f>IF(U$11&lt;37,0,-ROUND(PMT(Assumptions!$AA$47/12,Assumptions!$AA$39*12,U$189+U$190),0))</f>
        <v/>
      </c>
      <c r="V191" s="232">
        <f>IF(V$11&lt;37,0,-ROUND(PMT(Assumptions!$AA$47/12,Assumptions!$AA$39*12,V$189+V$190),0))</f>
        <v/>
      </c>
      <c r="W191" s="232">
        <f>IF(W$11&lt;37,0,-ROUND(PMT(Assumptions!$AA$47/12,Assumptions!$AA$39*12,W$189+W$190),0))</f>
        <v/>
      </c>
      <c r="X191" s="232">
        <f>IF(X$11&lt;37,0,-ROUND(PMT(Assumptions!$AA$47/12,Assumptions!$AA$39*12,X$189+X$190),0))</f>
        <v/>
      </c>
      <c r="Y191" s="232">
        <f>IF(Y$11&lt;37,0,-ROUND(PMT(Assumptions!$AA$47/12,Assumptions!$AA$39*12,Y$189+Y$190),0))</f>
        <v/>
      </c>
      <c r="Z191" s="232">
        <f>IF(Z$11&lt;37,0,-ROUND(PMT(Assumptions!$AA$47/12,Assumptions!$AA$39*12,Z$189+Z$190),0))</f>
        <v/>
      </c>
      <c r="AA191" s="232">
        <f>IF(AA$11&lt;37,0,-ROUND(PMT(Assumptions!$AA$47/12,Assumptions!$AA$39*12,AA$189+AA$190),0))</f>
        <v/>
      </c>
      <c r="AB191" s="232">
        <f>IF(AB$11&lt;37,0,-ROUND(PMT(Assumptions!$AA$47/12,Assumptions!$AA$39*12,AB$189+AB$190),0))</f>
        <v/>
      </c>
      <c r="AC191" s="232">
        <f>IF(AC$11&lt;37,0,-ROUND(PMT(Assumptions!$AA$47/12,Assumptions!$AA$39*12,AC$189+AC$190),0))</f>
        <v/>
      </c>
      <c r="AD191" s="232">
        <f>IF(AD$11&lt;37,0,-ROUND(PMT(Assumptions!$AA$47/12,Assumptions!$AA$39*12,AD$189+AD$190),0))</f>
        <v/>
      </c>
      <c r="AE191" s="232">
        <f>IF(AE$11&lt;37,0,-ROUND(PMT(Assumptions!$AA$47/12,Assumptions!$AA$39*12,AE$189+AE$190),0))</f>
        <v/>
      </c>
      <c r="AF191" s="232">
        <f>IF(AF$11&lt;37,0,-ROUND(PMT(Assumptions!$AA$47/12,Assumptions!$AA$39*12,AF$189+AF$190),0))</f>
        <v/>
      </c>
      <c r="AG191" s="232">
        <f>IF(AG$11&lt;37,0,-ROUND(PMT(Assumptions!$AA$47/12,Assumptions!$AA$39*12,AG$189+AG$190),0))</f>
        <v/>
      </c>
      <c r="AH191" s="232">
        <f>IF(AH$11&lt;37,0,-ROUND(PMT(Assumptions!$AA$47/12,Assumptions!$AA$39*12,AH$189+AH$190),0))</f>
        <v/>
      </c>
      <c r="AI191" s="232">
        <f>IF(AI$11&lt;37,0,-ROUND(PMT(Assumptions!$AA$47/12,Assumptions!$AA$39*12,AI$189+AI$190),0))</f>
        <v/>
      </c>
      <c r="AJ191" s="232">
        <f>IF(AJ$11&lt;37,0,-ROUND(PMT(Assumptions!$AA$47/12,Assumptions!$AA$39*12,AJ$189+AJ$190),0))</f>
        <v/>
      </c>
      <c r="AK191" s="232">
        <f>IF(AK$11&lt;37,0,-ROUND(PMT(Assumptions!$AA$47/12,Assumptions!$AA$39*12,AK$189+AK$190),0))</f>
        <v/>
      </c>
      <c r="AL191" s="232">
        <f>IF(AL$11&lt;37,0,-ROUND(PMT(Assumptions!$AA$47/12,Assumptions!$AA$39*12,AL$189+AL$190),0))</f>
        <v/>
      </c>
      <c r="AM191" s="232">
        <f>IF(AM$11&lt;37,0,-ROUND(PMT(Assumptions!$AA$47/12,Assumptions!$AA$39*12,AM$189+AM$190),0))</f>
        <v/>
      </c>
      <c r="AN191" s="232">
        <f>IF(AN$11&lt;37,0,-ROUND(PMT(Assumptions!$AA$47/12,Assumptions!$AA$39*12,AN$189+AN$190),0))</f>
        <v/>
      </c>
      <c r="AO191" s="232">
        <f>IF(AO$11&lt;37,0,-ROUND(PMT(Assumptions!$AA$47/12,Assumptions!$AA$39*12,AO$189+AO$190),0))</f>
        <v/>
      </c>
      <c r="AP191" s="232">
        <f>IF(AP$11&lt;37,0,-ROUND(PMT(Assumptions!$AA$47/12,Assumptions!$AA$39*12,AP$189+AP$190),0))</f>
        <v/>
      </c>
      <c r="AQ191" s="232">
        <f>IF(AQ$11&lt;37,0,-ROUND(PMT(Assumptions!$AA$47/12,Assumptions!$AA$39*12,AQ$189+AQ$190),0))</f>
        <v/>
      </c>
      <c r="AR191" s="232">
        <f>IF(AR$11&lt;37,0,-ROUND(PMT(Assumptions!$AA$47/12,Assumptions!$AA$39*12,AR$189+AR$190),0))</f>
        <v/>
      </c>
      <c r="AS191" s="232">
        <f>IF(AS$11&lt;37,0,-ROUND(PMT(Assumptions!$AA$47/12,Assumptions!$AA$39*12,AS$189+AS$190),0))</f>
        <v/>
      </c>
      <c r="AT191" s="232">
        <f>IF(AT$11&lt;37,0,-ROUND(PMT(Assumptions!$AA$47/12,Assumptions!$AA$39*12,AT$189+AT$190),0))</f>
        <v/>
      </c>
      <c r="AU191" s="232">
        <f>IF(AU$11&lt;37,0,-ROUND(PMT(Assumptions!$AA$47/12,Assumptions!$AA$39*12,AU$189+AU$190),0))</f>
        <v/>
      </c>
      <c r="AV191" s="232">
        <f>IF(AV$11&lt;37,0,-ROUND(PMT(Assumptions!$AA$47/12,Assumptions!$AA$39*12,AV$189+AV$190),0))</f>
        <v/>
      </c>
      <c r="AW191" s="232">
        <f>IF(AW$11&lt;37,0,-ROUND(PMT(Assumptions!$AA$47/12,Assumptions!$AA$39*12,AW$189+AW$190),0))</f>
        <v/>
      </c>
      <c r="AX191" s="232">
        <f>IF(AX$11&lt;37,0,-ROUND(PMT(Assumptions!$AA$47/12,Assumptions!$AA$39*12,AX$189+AX$190),0))</f>
        <v/>
      </c>
      <c r="AY191" s="232">
        <f>IF(AY$11&lt;37,0,-ROUND(PMT(Assumptions!$AA$47/12,Assumptions!$AA$39*12,AY$189+AY$190),0))</f>
        <v/>
      </c>
      <c r="AZ191" s="232">
        <f>IF(AZ$11&lt;37,0,-ROUND(PMT(Assumptions!$AA$47/12,Assumptions!$AA$39*12,AZ$189+AZ$190),0))</f>
        <v/>
      </c>
      <c r="BA191" s="232">
        <f>IF(BA$11&lt;37,0,-ROUND(PMT(Assumptions!$AA$47/12,Assumptions!$AA$39*12,BA$189+BA$190),0))</f>
        <v/>
      </c>
      <c r="BB191" s="232">
        <f>IF(BB$11&lt;37,0,-ROUND(PMT(Assumptions!$AA$47/12,Assumptions!$AA$39*12,BB$189+BB$190),0))</f>
        <v/>
      </c>
      <c r="BC191" s="232">
        <f>IF(BC$11&lt;37,0,-ROUND(PMT(Assumptions!$AA$47/12,Assumptions!$AA$39*12,BC$189+BC$190),0))</f>
        <v/>
      </c>
      <c r="BD191" s="232">
        <f>IF(BD$11&lt;37,0,-ROUND(PMT(Assumptions!$AA$47/12,Assumptions!$AA$39*12,BD$189+BD$190),0))</f>
        <v/>
      </c>
      <c r="BE191" s="232">
        <f>IF(BE$11&lt;37,0,-ROUND(PMT(Assumptions!$AA$47/12,Assumptions!$AA$39*12,BE$189+BE$190),0))</f>
        <v/>
      </c>
      <c r="BF191" s="232">
        <f>IF(BF$11&lt;37,0,-ROUND(PMT(Assumptions!$AA$47/12,Assumptions!$AA$39*12,BF$189+BF$190),0))</f>
        <v/>
      </c>
      <c r="BG191" s="232">
        <f>IF(BG$11&lt;37,0,-ROUND(PMT(Assumptions!$AA$47/12,Assumptions!$AA$39*12,BG$189+BG$190),0))</f>
        <v/>
      </c>
      <c r="BH191" s="232">
        <f>IF(BH$11&lt;37,0,-ROUND(PMT(Assumptions!$AA$47/12,Assumptions!$AA$39*12,BH$189+BH$190),0))</f>
        <v/>
      </c>
      <c r="BI191" s="232">
        <f>IF(BI$11&lt;37,0,-ROUND(PMT(Assumptions!$AA$47/12,Assumptions!$AA$39*12,BI$189+BI$190),0))</f>
        <v/>
      </c>
      <c r="BJ191" s="232">
        <f>IF(BJ$11&lt;37,0,-ROUND(PMT(Assumptions!$AA$47/12,Assumptions!$AA$39*12,BJ$189+BJ$190),0))</f>
        <v/>
      </c>
      <c r="BK191" s="232">
        <f>IF(BK$11&lt;37,0,-ROUND(PMT(Assumptions!$AA$47/12,Assumptions!$AA$39*12,BK$189+BK$190),0))</f>
        <v/>
      </c>
      <c r="BL191" s="232">
        <f>IF(BL$11&lt;37,0,-ROUND(PMT(Assumptions!$AA$47/12,Assumptions!$AA$39*12,BL$189+BL$190),0))</f>
        <v/>
      </c>
      <c r="BM191" s="232">
        <f>IF(BM$11&lt;37,0,-ROUND(PMT(Assumptions!$AA$47/12,Assumptions!$AA$39*12,BM$189+BM$190),0))</f>
        <v/>
      </c>
      <c r="BN191" s="232">
        <f>IF(BN$11&lt;37,0,-ROUND(PMT(Assumptions!$AA$47/12,Assumptions!$AA$39*12,BN$189+BN$190),0))</f>
        <v/>
      </c>
      <c r="BO191" s="232">
        <f>IF(BO$11&lt;37,0,-ROUND(PMT(Assumptions!$AA$47/12,Assumptions!$AA$39*12,BO$189+BO$190),0))</f>
        <v/>
      </c>
      <c r="BP191" s="232">
        <f>IF(BP$11&lt;37,0,-ROUND(PMT(Assumptions!$AA$47/12,Assumptions!$AA$39*12,BP$189+BP$190),0))</f>
        <v/>
      </c>
      <c r="BQ191" s="232">
        <f>IF(BQ$11&lt;37,0,-ROUND(PMT(Assumptions!$AA$47/12,Assumptions!$AA$39*12,BQ$189+BQ$190),0))</f>
        <v/>
      </c>
      <c r="BR191" s="232">
        <f>IF(BR$11&lt;37,0,-ROUND(PMT(Assumptions!$AA$47/12,Assumptions!$AA$39*12,BR$189+BR$190),0))</f>
        <v/>
      </c>
      <c r="BS191" s="232">
        <f>IF(BS$11&lt;37,0,-ROUND(PMT(Assumptions!$AA$47/12,Assumptions!$AA$39*12,BS$189+BS$190),0))</f>
        <v/>
      </c>
      <c r="BT191" s="232">
        <f>IF(BT$11&lt;37,0,-ROUND(PMT(Assumptions!$AA$47/12,Assumptions!$AA$39*12,BT$189+BT$190),0))</f>
        <v/>
      </c>
      <c r="BU191" s="232">
        <f>IF(BU$11&lt;37,0,-ROUND(PMT(Assumptions!$AA$47/12,Assumptions!$AA$39*12,BU$189+BU$190),0))</f>
        <v/>
      </c>
      <c r="BV191" s="232">
        <f>IF(BV$11&lt;37,0,-ROUND(PMT(Assumptions!$AA$47/12,Assumptions!$AA$39*12,BV$189+BV$190),0))</f>
        <v/>
      </c>
      <c r="BW191" s="232">
        <f>IF(BW$11&lt;37,0,-ROUND(PMT(Assumptions!$AA$47/12,Assumptions!$AA$39*12,BW$189+BW$190),0))</f>
        <v/>
      </c>
      <c r="BX191" s="232">
        <f>IF(BX$11&lt;37,0,-ROUND(PMT(Assumptions!$AA$47/12,Assumptions!$AA$39*12,BX$189+BX$190),0))</f>
        <v/>
      </c>
      <c r="BY191" s="232">
        <f>IF(BY$11&lt;37,0,-ROUND(PMT(Assumptions!$AA$47/12,Assumptions!$AA$39*12,BY$189+BY$190),0))</f>
        <v/>
      </c>
      <c r="BZ191" s="232">
        <f>IF(BZ$11&lt;37,0,-ROUND(PMT(Assumptions!$AA$47/12,Assumptions!$AA$39*12,BZ$189+BZ$190),0))</f>
        <v/>
      </c>
      <c r="CA191" s="232">
        <f>IF(CA$11&lt;37,0,-ROUND(PMT(Assumptions!$AA$47/12,Assumptions!$AA$39*12,CA$189+CA$190),0))</f>
        <v/>
      </c>
      <c r="CB191" s="232">
        <f>IF(CB$11&lt;37,0,-ROUND(PMT(Assumptions!$AA$47/12,Assumptions!$AA$39*12,CB$189+CB$190),0))</f>
        <v/>
      </c>
      <c r="CC191" s="232">
        <f>IF(CC$11&lt;37,0,-ROUND(PMT(Assumptions!$AA$47/12,Assumptions!$AA$39*12,CC$189+CC$190),0))</f>
        <v/>
      </c>
      <c r="CD191" s="232">
        <f>IF(CD$11&lt;37,0,-ROUND(PMT(Assumptions!$AA$47/12,Assumptions!$AA$39*12,CD$189+CD$190),0))</f>
        <v/>
      </c>
      <c r="CE191" s="232">
        <f>IF(CE$11&lt;37,0,-ROUND(PMT(Assumptions!$AA$47/12,Assumptions!$AA$39*12,CE$189+CE$190),0))</f>
        <v/>
      </c>
      <c r="CF191" s="232">
        <f>IF(CF$11&lt;37,0,-ROUND(PMT(Assumptions!$AA$47/12,Assumptions!$AA$39*12,CF$189+CF$190),0))</f>
        <v/>
      </c>
      <c r="CG191" s="232">
        <f>IF(CG$11&lt;37,0,-ROUND(PMT(Assumptions!$AA$47/12,Assumptions!$AA$39*12,CG$189+CG$190),0))</f>
        <v/>
      </c>
      <c r="CH191" s="232">
        <f>IF(CH$11&lt;37,0,-ROUND(PMT(Assumptions!$AA$47/12,Assumptions!$AA$39*12,CH$189+CH$190),0))</f>
        <v/>
      </c>
      <c r="CI191" s="232">
        <f>IF(CI$11&lt;37,0,-ROUND(PMT(Assumptions!$AA$47/12,Assumptions!$AA$39*12,CI$189+CI$190),0))</f>
        <v/>
      </c>
      <c r="CJ191" s="232">
        <f>IF(CJ$11&lt;37,0,-ROUND(PMT(Assumptions!$AA$47/12,Assumptions!$AA$39*12,CJ$189+CJ$190),0))</f>
        <v/>
      </c>
      <c r="CK191" s="232">
        <f>IF(CK$11&lt;37,0,-ROUND(PMT(Assumptions!$AA$47/12,Assumptions!$AA$39*12,CK$189+CK$190),0))</f>
        <v/>
      </c>
      <c r="CL191" s="232">
        <f>IF(CL$11&lt;37,0,-ROUND(PMT(Assumptions!$AA$47/12,Assumptions!$AA$39*12,CL$189+CL$190),0))</f>
        <v/>
      </c>
      <c r="CM191" s="232">
        <f>IF(CM$11&lt;37,0,-ROUND(PMT(Assumptions!$AA$47/12,Assumptions!$AA$39*12,CM$189+CM$190),0))</f>
        <v/>
      </c>
      <c r="CN191" s="232">
        <f>IF(CN$11&lt;37,0,-ROUND(PMT(Assumptions!$AA$47/12,Assumptions!$AA$39*12,CN$189+CN$190),0))</f>
        <v/>
      </c>
      <c r="CO191" s="232">
        <f>IF(CO$11&lt;37,0,-ROUND(PMT(Assumptions!$AA$47/12,Assumptions!$AA$39*12,CO$189+CO$190),0))</f>
        <v/>
      </c>
      <c r="CP191" s="232">
        <f>IF(CP$11&lt;37,0,-ROUND(PMT(Assumptions!$AA$47/12,Assumptions!$AA$39*12,CP$189+CP$190),0))</f>
        <v/>
      </c>
      <c r="CQ191" s="232">
        <f>IF(CQ$11&lt;37,0,-ROUND(PMT(Assumptions!$AA$47/12,Assumptions!$AA$39*12,CQ$189+CQ$190),0))</f>
        <v/>
      </c>
      <c r="CR191" s="232">
        <f>IF(CR$11&lt;37,0,-ROUND(PMT(Assumptions!$AA$47/12,Assumptions!$AA$39*12,CR$189+CR$190),0))</f>
        <v/>
      </c>
      <c r="CS191" s="232">
        <f>IF(CS$11&lt;37,0,-ROUND(PMT(Assumptions!$AA$47/12,Assumptions!$AA$39*12,CS$189+CS$190),0))</f>
        <v/>
      </c>
      <c r="CT191" s="232">
        <f>IF(CT$11&lt;37,0,-ROUND(PMT(Assumptions!$AA$47/12,Assumptions!$AA$39*12,CT$189+CT$190),0))</f>
        <v/>
      </c>
      <c r="CU191" s="232">
        <f>IF(CU$11&lt;37,0,-ROUND(PMT(Assumptions!$AA$47/12,Assumptions!$AA$39*12,CU$189+CU$190),0))</f>
        <v/>
      </c>
      <c r="CV191" s="232">
        <f>IF(CV$11&lt;37,0,-ROUND(PMT(Assumptions!$AA$47/12,Assumptions!$AA$39*12,CV$189+CV$190),0))</f>
        <v/>
      </c>
      <c r="CW191" s="232">
        <f>IF(CW$11&lt;37,0,-ROUND(PMT(Assumptions!$AA$47/12,Assumptions!$AA$39*12,CW$189+CW$190),0))</f>
        <v/>
      </c>
      <c r="CX191" s="232">
        <f>IF(CX$11&lt;37,0,-ROUND(PMT(Assumptions!$AA$47/12,Assumptions!$AA$39*12,CX$189+CX$190),0))</f>
        <v/>
      </c>
      <c r="CY191" s="232">
        <f>IF(CY$11&lt;37,0,-ROUND(PMT(Assumptions!$AA$47/12,Assumptions!$AA$39*12,CY$189+CY$190),0))</f>
        <v/>
      </c>
      <c r="CZ191" s="232">
        <f>IF(CZ$11&lt;37,0,-ROUND(PMT(Assumptions!$AA$47/12,Assumptions!$AA$39*12,CZ$189+CZ$190),0))</f>
        <v/>
      </c>
      <c r="DA191" s="232">
        <f>IF(DA$11&lt;37,0,-ROUND(PMT(Assumptions!$AA$47/12,Assumptions!$AA$39*12,DA$189+DA$190),0))</f>
        <v/>
      </c>
      <c r="DB191" s="232">
        <f>IF(DB$11&lt;37,0,-ROUND(PMT(Assumptions!$AA$47/12,Assumptions!$AA$39*12,DB$189+DB$190),0))</f>
        <v/>
      </c>
      <c r="DC191" s="232">
        <f>IF(DC$11&lt;37,0,-ROUND(PMT(Assumptions!$AA$47/12,Assumptions!$AA$39*12,DC$189+DC$190),0))</f>
        <v/>
      </c>
      <c r="DD191" s="232">
        <f>IF(DD$11&lt;37,0,-ROUND(PMT(Assumptions!$AA$47/12,Assumptions!$AA$39*12,DD$189+DD$190),0))</f>
        <v/>
      </c>
      <c r="DE191" s="232">
        <f>IF(DE$11&lt;37,0,-ROUND(PMT(Assumptions!$AA$47/12,Assumptions!$AA$39*12,DE$189+DE$190),0))</f>
        <v/>
      </c>
      <c r="DF191" s="232">
        <f>IF(DF$11&lt;37,0,-ROUND(PMT(Assumptions!$AA$47/12,Assumptions!$AA$39*12,DF$189+DF$190),0))</f>
        <v/>
      </c>
      <c r="DG191" s="232">
        <f>IF(DG$11&lt;37,0,-ROUND(PMT(Assumptions!$AA$47/12,Assumptions!$AA$39*12,DG$189+DG$190),0))</f>
        <v/>
      </c>
      <c r="DH191" s="232">
        <f>IF(DH$11&lt;37,0,-ROUND(PMT(Assumptions!$AA$47/12,Assumptions!$AA$39*12,DH$189+DH$190),0))</f>
        <v/>
      </c>
      <c r="DI191" s="232">
        <f>IF(DI$11&lt;37,0,-ROUND(PMT(Assumptions!$AA$47/12,Assumptions!$AA$39*12,DI$189+DI$190),0))</f>
        <v/>
      </c>
      <c r="DJ191" s="232">
        <f>IF(DJ$11&lt;37,0,-ROUND(PMT(Assumptions!$AA$47/12,Assumptions!$AA$39*12,DJ$189+DJ$190),0))</f>
        <v/>
      </c>
      <c r="DK191" s="232">
        <f>IF(DK$11&lt;37,0,-ROUND(PMT(Assumptions!$AA$47/12,Assumptions!$AA$39*12,DK$189+DK$190),0))</f>
        <v/>
      </c>
      <c r="DL191" s="232">
        <f>IF(DL$11&lt;37,0,-ROUND(PMT(Assumptions!$AA$47/12,Assumptions!$AA$39*12,DL$189+DL$190),0))</f>
        <v/>
      </c>
      <c r="DM191" s="232">
        <f>IF(DM$11&lt;37,0,-ROUND(PMT(Assumptions!$AA$47/12,Assumptions!$AA$39*12,DM$189+DM$190),0))</f>
        <v/>
      </c>
      <c r="DN191" s="232">
        <f>IF(DN$11&lt;37,0,-ROUND(PMT(Assumptions!$AA$47/12,Assumptions!$AA$39*12,DN$189+DN$190),0))</f>
        <v/>
      </c>
      <c r="DO191" s="232">
        <f>IF(DO$11&lt;37,0,-ROUND(PMT(Assumptions!$AA$47/12,Assumptions!$AA$39*12,DO$189+DO$190),0))</f>
        <v/>
      </c>
      <c r="DP191" s="232">
        <f>IF(DP$11&lt;37,0,-ROUND(PMT(Assumptions!$AA$47/12,Assumptions!$AA$39*12,DP$189+DP$190),0))</f>
        <v/>
      </c>
      <c r="DQ191" s="232">
        <f>IF(DQ$11&lt;37,0,-ROUND(PMT(Assumptions!$AA$47/12,Assumptions!$AA$39*12,DQ$189+DQ$190),0))</f>
        <v/>
      </c>
      <c r="DR191" s="232">
        <f>IF(DR$11&lt;37,0,-ROUND(PMT(Assumptions!$AA$47/12,Assumptions!$AA$39*12,DR$189+DR$190),0))</f>
        <v/>
      </c>
      <c r="DS191" s="232">
        <f>IF(DS$11&lt;37,0,-ROUND(PMT(Assumptions!$AA$47/12,Assumptions!$AA$39*12,DS$189+DS$190),0))</f>
        <v/>
      </c>
      <c r="DT191" s="232">
        <f>IF(DT$11&lt;37,0,-ROUND(PMT(Assumptions!$AA$47/12,Assumptions!$AA$39*12,DT$189+DT$190),0))</f>
        <v/>
      </c>
    </row>
    <row r="192" ht="15" customHeight="1" s="148">
      <c r="A192" t="inlineStr">
        <is>
          <t>Refi Interest</t>
        </is>
      </c>
      <c r="D192" s="232">
        <f>IF(D$11&lt;37,0,-D$189*Assumptions!$AA$47/12)</f>
        <v/>
      </c>
      <c r="E192" s="232">
        <f>IF(E$11&lt;37,0,-E$189*Assumptions!$AA$47/12)</f>
        <v/>
      </c>
      <c r="F192" s="232">
        <f>IF(F$11&lt;37,0,-F$189*Assumptions!$AA$47/12)</f>
        <v/>
      </c>
      <c r="G192" s="232">
        <f>IF(G$11&lt;37,0,-G$189*Assumptions!$AA$47/12)</f>
        <v/>
      </c>
      <c r="H192" s="232">
        <f>IF(H$11&lt;37,0,-H$189*Assumptions!$AA$47/12)</f>
        <v/>
      </c>
      <c r="I192" s="232">
        <f>IF(I$11&lt;37,0,-I$189*Assumptions!$AA$47/12)</f>
        <v/>
      </c>
      <c r="J192" s="232">
        <f>IF(J$11&lt;37,0,-J$189*Assumptions!$AA$47/12)</f>
        <v/>
      </c>
      <c r="K192" s="232">
        <f>IF(K$11&lt;37,0,-K$189*Assumptions!$AA$47/12)</f>
        <v/>
      </c>
      <c r="L192" s="232">
        <f>IF(L$11&lt;37,0,-L$189*Assumptions!$AA$47/12)</f>
        <v/>
      </c>
      <c r="M192" s="232">
        <f>IF(M$11&lt;37,0,-M$189*Assumptions!$AA$47/12)</f>
        <v/>
      </c>
      <c r="N192" s="232">
        <f>IF(N$11&lt;37,0,-N$189*Assumptions!$AA$47/12)</f>
        <v/>
      </c>
      <c r="O192" s="232">
        <f>IF(O$11&lt;37,0,-O$189*Assumptions!$AA$47/12)</f>
        <v/>
      </c>
      <c r="P192" s="232">
        <f>IF(P$11&lt;37,0,-P$189*Assumptions!$AA$47/12)</f>
        <v/>
      </c>
      <c r="Q192" s="232">
        <f>IF(Q$11&lt;37,0,-Q$189*Assumptions!$AA$47/12)</f>
        <v/>
      </c>
      <c r="R192" s="232">
        <f>IF(R$11&lt;37,0,-R$189*Assumptions!$AA$47/12)</f>
        <v/>
      </c>
      <c r="S192" s="232">
        <f>IF(S$11&lt;37,0,-S$189*Assumptions!$AA$47/12)</f>
        <v/>
      </c>
      <c r="T192" s="232">
        <f>IF(T$11&lt;37,0,-T$189*Assumptions!$AA$47/12)</f>
        <v/>
      </c>
      <c r="U192" s="232">
        <f>IF(U$11&lt;37,0,-U$189*Assumptions!$AA$47/12)</f>
        <v/>
      </c>
      <c r="V192" s="232">
        <f>IF(V$11&lt;37,0,-V$189*Assumptions!$AA$47/12)</f>
        <v/>
      </c>
      <c r="W192" s="232">
        <f>IF(W$11&lt;37,0,-W$189*Assumptions!$AA$47/12)</f>
        <v/>
      </c>
      <c r="X192" s="232">
        <f>IF(X$11&lt;37,0,-X$189*Assumptions!$AA$47/12)</f>
        <v/>
      </c>
      <c r="Y192" s="232">
        <f>IF(Y$11&lt;37,0,-Y$189*Assumptions!$AA$47/12)</f>
        <v/>
      </c>
      <c r="Z192" s="232">
        <f>IF(Z$11&lt;37,0,-Z$189*Assumptions!$AA$47/12)</f>
        <v/>
      </c>
      <c r="AA192" s="232">
        <f>IF(AA$11&lt;37,0,-AA$189*Assumptions!$AA$47/12)</f>
        <v/>
      </c>
      <c r="AB192" s="232">
        <f>IF(AB$11&lt;37,0,-AB$189*Assumptions!$AA$47/12)</f>
        <v/>
      </c>
      <c r="AC192" s="232">
        <f>IF(AC$11&lt;37,0,-AC$189*Assumptions!$AA$47/12)</f>
        <v/>
      </c>
      <c r="AD192" s="232">
        <f>IF(AD$11&lt;37,0,-AD$189*Assumptions!$AA$47/12)</f>
        <v/>
      </c>
      <c r="AE192" s="232">
        <f>IF(AE$11&lt;37,0,-AE$189*Assumptions!$AA$47/12)</f>
        <v/>
      </c>
      <c r="AF192" s="232">
        <f>IF(AF$11&lt;37,0,-AF$189*Assumptions!$AA$47/12)</f>
        <v/>
      </c>
      <c r="AG192" s="232">
        <f>IF(AG$11&lt;37,0,-AG$189*Assumptions!$AA$47/12)</f>
        <v/>
      </c>
      <c r="AH192" s="232">
        <f>IF(AH$11&lt;37,0,-AH$189*Assumptions!$AA$47/12)</f>
        <v/>
      </c>
      <c r="AI192" s="232">
        <f>IF(AI$11&lt;37,0,-AI$189*Assumptions!$AA$47/12)</f>
        <v/>
      </c>
      <c r="AJ192" s="232">
        <f>IF(AJ$11&lt;37,0,-AJ$189*Assumptions!$AA$47/12)</f>
        <v/>
      </c>
      <c r="AK192" s="232">
        <f>IF(AK$11&lt;37,0,-AK$189*Assumptions!$AA$47/12)</f>
        <v/>
      </c>
      <c r="AL192" s="232">
        <f>IF(AL$11&lt;37,0,-AL$189*Assumptions!$AA$47/12)</f>
        <v/>
      </c>
      <c r="AM192" s="232">
        <f>IF(AM$11&lt;37,0,-AM$189*Assumptions!$AA$47/12)</f>
        <v/>
      </c>
      <c r="AN192" s="232">
        <f>IF(AN$11&lt;37,0,-AN$189*Assumptions!$AA$47/12)</f>
        <v/>
      </c>
      <c r="AO192" s="232">
        <f>IF(AO$11&lt;37,0,-AO$189*Assumptions!$AA$47/12)</f>
        <v/>
      </c>
      <c r="AP192" s="232">
        <f>IF(AP$11&lt;37,0,-AP$189*Assumptions!$AA$47/12)</f>
        <v/>
      </c>
      <c r="AQ192" s="232">
        <f>IF(AQ$11&lt;37,0,-AQ$189*Assumptions!$AA$47/12)</f>
        <v/>
      </c>
      <c r="AR192" s="232">
        <f>IF(AR$11&lt;37,0,-AR$189*Assumptions!$AA$47/12)</f>
        <v/>
      </c>
      <c r="AS192" s="232">
        <f>IF(AS$11&lt;37,0,-AS$189*Assumptions!$AA$47/12)</f>
        <v/>
      </c>
      <c r="AT192" s="232">
        <f>IF(AT$11&lt;37,0,-AT$189*Assumptions!$AA$47/12)</f>
        <v/>
      </c>
      <c r="AU192" s="232">
        <f>IF(AU$11&lt;37,0,-AU$189*Assumptions!$AA$47/12)</f>
        <v/>
      </c>
      <c r="AV192" s="232">
        <f>IF(AV$11&lt;37,0,-AV$189*Assumptions!$AA$47/12)</f>
        <v/>
      </c>
      <c r="AW192" s="232">
        <f>IF(AW$11&lt;37,0,-AW$189*Assumptions!$AA$47/12)</f>
        <v/>
      </c>
      <c r="AX192" s="232">
        <f>IF(AX$11&lt;37,0,-AX$189*Assumptions!$AA$47/12)</f>
        <v/>
      </c>
      <c r="AY192" s="232">
        <f>IF(AY$11&lt;37,0,-AY$189*Assumptions!$AA$47/12)</f>
        <v/>
      </c>
      <c r="AZ192" s="232">
        <f>IF(AZ$11&lt;37,0,-AZ$189*Assumptions!$AA$47/12)</f>
        <v/>
      </c>
      <c r="BA192" s="232">
        <f>IF(BA$11&lt;37,0,-BA$189*Assumptions!$AA$47/12)</f>
        <v/>
      </c>
      <c r="BB192" s="232">
        <f>IF(BB$11&lt;37,0,-BB$189*Assumptions!$AA$47/12)</f>
        <v/>
      </c>
      <c r="BC192" s="232">
        <f>IF(BC$11&lt;37,0,-BC$189*Assumptions!$AA$47/12)</f>
        <v/>
      </c>
      <c r="BD192" s="232">
        <f>IF(BD$11&lt;37,0,-BD$189*Assumptions!$AA$47/12)</f>
        <v/>
      </c>
      <c r="BE192" s="232">
        <f>IF(BE$11&lt;37,0,-BE$189*Assumptions!$AA$47/12)</f>
        <v/>
      </c>
      <c r="BF192" s="232">
        <f>IF(BF$11&lt;37,0,-BF$189*Assumptions!$AA$47/12)</f>
        <v/>
      </c>
      <c r="BG192" s="232">
        <f>IF(BG$11&lt;37,0,-BG$189*Assumptions!$AA$47/12)</f>
        <v/>
      </c>
      <c r="BH192" s="232">
        <f>IF(BH$11&lt;37,0,-BH$189*Assumptions!$AA$47/12)</f>
        <v/>
      </c>
      <c r="BI192" s="232">
        <f>IF(BI$11&lt;37,0,-BI$189*Assumptions!$AA$47/12)</f>
        <v/>
      </c>
      <c r="BJ192" s="232">
        <f>IF(BJ$11&lt;37,0,-BJ$189*Assumptions!$AA$47/12)</f>
        <v/>
      </c>
      <c r="BK192" s="232">
        <f>IF(BK$11&lt;37,0,-BK$189*Assumptions!$AA$47/12)</f>
        <v/>
      </c>
      <c r="BL192" s="232">
        <f>IF(BL$11&lt;37,0,-BL$189*Assumptions!$AA$47/12)</f>
        <v/>
      </c>
      <c r="BM192" s="232">
        <f>IF(BM$11&lt;37,0,-BM$189*Assumptions!$AA$47/12)</f>
        <v/>
      </c>
      <c r="BN192" s="232">
        <f>IF(BN$11&lt;37,0,-BN$189*Assumptions!$AA$47/12)</f>
        <v/>
      </c>
      <c r="BO192" s="232">
        <f>IF(BO$11&lt;37,0,-BO$189*Assumptions!$AA$47/12)</f>
        <v/>
      </c>
      <c r="BP192" s="232">
        <f>IF(BP$11&lt;37,0,-BP$189*Assumptions!$AA$47/12)</f>
        <v/>
      </c>
      <c r="BQ192" s="232">
        <f>IF(BQ$11&lt;37,0,-BQ$189*Assumptions!$AA$47/12)</f>
        <v/>
      </c>
      <c r="BR192" s="232">
        <f>IF(BR$11&lt;37,0,-BR$189*Assumptions!$AA$47/12)</f>
        <v/>
      </c>
      <c r="BS192" s="232">
        <f>IF(BS$11&lt;37,0,-BS$189*Assumptions!$AA$47/12)</f>
        <v/>
      </c>
      <c r="BT192" s="232">
        <f>IF(BT$11&lt;37,0,-BT$189*Assumptions!$AA$47/12)</f>
        <v/>
      </c>
      <c r="BU192" s="232">
        <f>IF(BU$11&lt;37,0,-BU$189*Assumptions!$AA$47/12)</f>
        <v/>
      </c>
      <c r="BV192" s="232">
        <f>IF(BV$11&lt;37,0,-BV$189*Assumptions!$AA$47/12)</f>
        <v/>
      </c>
      <c r="BW192" s="232">
        <f>IF(BW$11&lt;37,0,-BW$189*Assumptions!$AA$47/12)</f>
        <v/>
      </c>
      <c r="BX192" s="232">
        <f>IF(BX$11&lt;37,0,-BX$189*Assumptions!$AA$47/12)</f>
        <v/>
      </c>
      <c r="BY192" s="232">
        <f>IF(BY$11&lt;37,0,-BY$189*Assumptions!$AA$47/12)</f>
        <v/>
      </c>
      <c r="BZ192" s="232">
        <f>IF(BZ$11&lt;37,0,-BZ$189*Assumptions!$AA$47/12)</f>
        <v/>
      </c>
      <c r="CA192" s="232">
        <f>IF(CA$11&lt;37,0,-CA$189*Assumptions!$AA$47/12)</f>
        <v/>
      </c>
      <c r="CB192" s="232">
        <f>IF(CB$11&lt;37,0,-CB$189*Assumptions!$AA$47/12)</f>
        <v/>
      </c>
      <c r="CC192" s="232">
        <f>IF(CC$11&lt;37,0,-CC$189*Assumptions!$AA$47/12)</f>
        <v/>
      </c>
      <c r="CD192" s="232">
        <f>IF(CD$11&lt;37,0,-CD$189*Assumptions!$AA$47/12)</f>
        <v/>
      </c>
      <c r="CE192" s="232">
        <f>IF(CE$11&lt;37,0,-CE$189*Assumptions!$AA$47/12)</f>
        <v/>
      </c>
      <c r="CF192" s="232">
        <f>IF(CF$11&lt;37,0,-CF$189*Assumptions!$AA$47/12)</f>
        <v/>
      </c>
      <c r="CG192" s="232">
        <f>IF(CG$11&lt;37,0,-CG$189*Assumptions!$AA$47/12)</f>
        <v/>
      </c>
      <c r="CH192" s="232">
        <f>IF(CH$11&lt;37,0,-CH$189*Assumptions!$AA$47/12)</f>
        <v/>
      </c>
      <c r="CI192" s="232">
        <f>IF(CI$11&lt;37,0,-CI$189*Assumptions!$AA$47/12)</f>
        <v/>
      </c>
      <c r="CJ192" s="232">
        <f>IF(CJ$11&lt;37,0,-CJ$189*Assumptions!$AA$47/12)</f>
        <v/>
      </c>
      <c r="CK192" s="232">
        <f>IF(CK$11&lt;37,0,-CK$189*Assumptions!$AA$47/12)</f>
        <v/>
      </c>
      <c r="CL192" s="232">
        <f>IF(CL$11&lt;37,0,-CL$189*Assumptions!$AA$47/12)</f>
        <v/>
      </c>
      <c r="CM192" s="232">
        <f>IF(CM$11&lt;37,0,-CM$189*Assumptions!$AA$47/12)</f>
        <v/>
      </c>
      <c r="CN192" s="232">
        <f>IF(CN$11&lt;37,0,-CN$189*Assumptions!$AA$47/12)</f>
        <v/>
      </c>
      <c r="CO192" s="232">
        <f>IF(CO$11&lt;37,0,-CO$189*Assumptions!$AA$47/12)</f>
        <v/>
      </c>
      <c r="CP192" s="232">
        <f>IF(CP$11&lt;37,0,-CP$189*Assumptions!$AA$47/12)</f>
        <v/>
      </c>
      <c r="CQ192" s="232">
        <f>IF(CQ$11&lt;37,0,-CQ$189*Assumptions!$AA$47/12)</f>
        <v/>
      </c>
      <c r="CR192" s="232">
        <f>IF(CR$11&lt;37,0,-CR$189*Assumptions!$AA$47/12)</f>
        <v/>
      </c>
      <c r="CS192" s="232">
        <f>IF(CS$11&lt;37,0,-CS$189*Assumptions!$AA$47/12)</f>
        <v/>
      </c>
      <c r="CT192" s="232">
        <f>IF(CT$11&lt;37,0,-CT$189*Assumptions!$AA$47/12)</f>
        <v/>
      </c>
      <c r="CU192" s="232">
        <f>IF(CU$11&lt;37,0,-CU$189*Assumptions!$AA$47/12)</f>
        <v/>
      </c>
      <c r="CV192" s="232">
        <f>IF(CV$11&lt;37,0,-CV$189*Assumptions!$AA$47/12)</f>
        <v/>
      </c>
      <c r="CW192" s="232">
        <f>IF(CW$11&lt;37,0,-CW$189*Assumptions!$AA$47/12)</f>
        <v/>
      </c>
      <c r="CX192" s="232">
        <f>IF(CX$11&lt;37,0,-CX$189*Assumptions!$AA$47/12)</f>
        <v/>
      </c>
      <c r="CY192" s="232">
        <f>IF(CY$11&lt;37,0,-CY$189*Assumptions!$AA$47/12)</f>
        <v/>
      </c>
      <c r="CZ192" s="232">
        <f>IF(CZ$11&lt;37,0,-CZ$189*Assumptions!$AA$47/12)</f>
        <v/>
      </c>
      <c r="DA192" s="232">
        <f>IF(DA$11&lt;37,0,-DA$189*Assumptions!$AA$47/12)</f>
        <v/>
      </c>
      <c r="DB192" s="232">
        <f>IF(DB$11&lt;37,0,-DB$189*Assumptions!$AA$47/12)</f>
        <v/>
      </c>
      <c r="DC192" s="232">
        <f>IF(DC$11&lt;37,0,-DC$189*Assumptions!$AA$47/12)</f>
        <v/>
      </c>
      <c r="DD192" s="232">
        <f>IF(DD$11&lt;37,0,-DD$189*Assumptions!$AA$47/12)</f>
        <v/>
      </c>
      <c r="DE192" s="232">
        <f>IF(DE$11&lt;37,0,-DE$189*Assumptions!$AA$47/12)</f>
        <v/>
      </c>
      <c r="DF192" s="232">
        <f>IF(DF$11&lt;37,0,-DF$189*Assumptions!$AA$47/12)</f>
        <v/>
      </c>
      <c r="DG192" s="232">
        <f>IF(DG$11&lt;37,0,-DG$189*Assumptions!$AA$47/12)</f>
        <v/>
      </c>
      <c r="DH192" s="232">
        <f>IF(DH$11&lt;37,0,-DH$189*Assumptions!$AA$47/12)</f>
        <v/>
      </c>
      <c r="DI192" s="232">
        <f>IF(DI$11&lt;37,0,-DI$189*Assumptions!$AA$47/12)</f>
        <v/>
      </c>
      <c r="DJ192" s="232">
        <f>IF(DJ$11&lt;37,0,-DJ$189*Assumptions!$AA$47/12)</f>
        <v/>
      </c>
      <c r="DK192" s="232">
        <f>IF(DK$11&lt;37,0,-DK$189*Assumptions!$AA$47/12)</f>
        <v/>
      </c>
      <c r="DL192" s="232">
        <f>IF(DL$11&lt;37,0,-DL$189*Assumptions!$AA$47/12)</f>
        <v/>
      </c>
      <c r="DM192" s="232">
        <f>IF(DM$11&lt;37,0,-DM$189*Assumptions!$AA$47/12)</f>
        <v/>
      </c>
      <c r="DN192" s="232">
        <f>IF(DN$11&lt;37,0,-DN$189*Assumptions!$AA$47/12)</f>
        <v/>
      </c>
      <c r="DO192" s="232">
        <f>IF(DO$11&lt;37,0,-DO$189*Assumptions!$AA$47/12)</f>
        <v/>
      </c>
      <c r="DP192" s="232">
        <f>IF(DP$11&lt;37,0,-DP$189*Assumptions!$AA$47/12)</f>
        <v/>
      </c>
      <c r="DQ192" s="232">
        <f>IF(DQ$11&lt;37,0,-DQ$189*Assumptions!$AA$47/12)</f>
        <v/>
      </c>
      <c r="DR192" s="232">
        <f>IF(DR$11&lt;37,0,-DR$189*Assumptions!$AA$47/12)</f>
        <v/>
      </c>
      <c r="DS192" s="232">
        <f>IF(DS$11&lt;37,0,-DS$189*Assumptions!$AA$47/12)</f>
        <v/>
      </c>
      <c r="DT192" s="232">
        <f>IF(DT$11&lt;37,0,-DT$189*Assumptions!$AA$47/12)</f>
        <v/>
      </c>
    </row>
    <row r="193" ht="15" customHeight="1" s="148">
      <c r="A193" t="inlineStr">
        <is>
          <t>Refi Principal</t>
        </is>
      </c>
      <c r="D193" s="232">
        <f>D$191-D$192</f>
        <v/>
      </c>
      <c r="E193" s="232">
        <f>E$191-E$192</f>
        <v/>
      </c>
      <c r="F193" s="232">
        <f>F$191-F$192</f>
        <v/>
      </c>
      <c r="G193" s="232">
        <f>G$191-G$192</f>
        <v/>
      </c>
      <c r="H193" s="232">
        <f>H$191-H$192</f>
        <v/>
      </c>
      <c r="I193" s="232">
        <f>I$191-I$192</f>
        <v/>
      </c>
      <c r="J193" s="232">
        <f>J$191-J$192</f>
        <v/>
      </c>
      <c r="K193" s="232">
        <f>K$191-K$192</f>
        <v/>
      </c>
      <c r="L193" s="232">
        <f>L$191-L$192</f>
        <v/>
      </c>
      <c r="M193" s="232">
        <f>M$191-M$192</f>
        <v/>
      </c>
      <c r="N193" s="232">
        <f>N$191-N$192</f>
        <v/>
      </c>
      <c r="O193" s="232">
        <f>O$191-O$192</f>
        <v/>
      </c>
      <c r="P193" s="232">
        <f>P$191-P$192</f>
        <v/>
      </c>
      <c r="Q193" s="232">
        <f>Q$191-Q$192</f>
        <v/>
      </c>
      <c r="R193" s="232">
        <f>R$191-R$192</f>
        <v/>
      </c>
      <c r="S193" s="232">
        <f>S$191-S$192</f>
        <v/>
      </c>
      <c r="T193" s="232">
        <f>T$191-T$192</f>
        <v/>
      </c>
      <c r="U193" s="232">
        <f>U$191-U$192</f>
        <v/>
      </c>
      <c r="V193" s="232">
        <f>V$191-V$192</f>
        <v/>
      </c>
      <c r="W193" s="232">
        <f>W$191-W$192</f>
        <v/>
      </c>
      <c r="X193" s="232">
        <f>X$191-X$192</f>
        <v/>
      </c>
      <c r="Y193" s="232">
        <f>Y$191-Y$192</f>
        <v/>
      </c>
      <c r="Z193" s="232">
        <f>Z$191-Z$192</f>
        <v/>
      </c>
      <c r="AA193" s="232">
        <f>AA$191-AA$192</f>
        <v/>
      </c>
      <c r="AB193" s="232">
        <f>AB$191-AB$192</f>
        <v/>
      </c>
      <c r="AC193" s="232">
        <f>AC$191-AC$192</f>
        <v/>
      </c>
      <c r="AD193" s="232">
        <f>AD$191-AD$192</f>
        <v/>
      </c>
      <c r="AE193" s="232">
        <f>AE$191-AE$192</f>
        <v/>
      </c>
      <c r="AF193" s="232">
        <f>AF$191-AF$192</f>
        <v/>
      </c>
      <c r="AG193" s="232">
        <f>AG$191-AG$192</f>
        <v/>
      </c>
      <c r="AH193" s="232">
        <f>AH$191-AH$192</f>
        <v/>
      </c>
      <c r="AI193" s="232">
        <f>AI$191-AI$192</f>
        <v/>
      </c>
      <c r="AJ193" s="232">
        <f>AJ$191-AJ$192</f>
        <v/>
      </c>
      <c r="AK193" s="232">
        <f>AK$191-AK$192</f>
        <v/>
      </c>
      <c r="AL193" s="232">
        <f>AL$191-AL$192</f>
        <v/>
      </c>
      <c r="AM193" s="232">
        <f>AM$191-AM$192</f>
        <v/>
      </c>
      <c r="AN193" s="232">
        <f>AN$191-AN$192</f>
        <v/>
      </c>
      <c r="AO193" s="232">
        <f>AO$191-AO$192</f>
        <v/>
      </c>
      <c r="AP193" s="232">
        <f>AP$191-AP$192</f>
        <v/>
      </c>
      <c r="AQ193" s="232">
        <f>AQ$191-AQ$192</f>
        <v/>
      </c>
      <c r="AR193" s="232">
        <f>AR$191-AR$192</f>
        <v/>
      </c>
      <c r="AS193" s="232">
        <f>AS$191-AS$192</f>
        <v/>
      </c>
      <c r="AT193" s="232">
        <f>AT$191-AT$192</f>
        <v/>
      </c>
      <c r="AU193" s="232">
        <f>AU$191-AU$192</f>
        <v/>
      </c>
      <c r="AV193" s="232">
        <f>AV$191-AV$192</f>
        <v/>
      </c>
      <c r="AW193" s="232">
        <f>AW$191-AW$192</f>
        <v/>
      </c>
      <c r="AX193" s="232">
        <f>AX$191-AX$192</f>
        <v/>
      </c>
      <c r="AY193" s="232">
        <f>AY$191-AY$192</f>
        <v/>
      </c>
      <c r="AZ193" s="232">
        <f>AZ$191-AZ$192</f>
        <v/>
      </c>
      <c r="BA193" s="232">
        <f>BA$191-BA$192</f>
        <v/>
      </c>
      <c r="BB193" s="232">
        <f>BB$191-BB$192</f>
        <v/>
      </c>
      <c r="BC193" s="232">
        <f>BC$191-BC$192</f>
        <v/>
      </c>
      <c r="BD193" s="232">
        <f>BD$191-BD$192</f>
        <v/>
      </c>
      <c r="BE193" s="232">
        <f>BE$191-BE$192</f>
        <v/>
      </c>
      <c r="BF193" s="232">
        <f>BF$191-BF$192</f>
        <v/>
      </c>
      <c r="BG193" s="232">
        <f>BG$191-BG$192</f>
        <v/>
      </c>
      <c r="BH193" s="232">
        <f>BH$191-BH$192</f>
        <v/>
      </c>
      <c r="BI193" s="232">
        <f>BI$191-BI$192</f>
        <v/>
      </c>
      <c r="BJ193" s="232">
        <f>BJ$191-BJ$192</f>
        <v/>
      </c>
      <c r="BK193" s="232">
        <f>BK$191-BK$192</f>
        <v/>
      </c>
      <c r="BL193" s="232">
        <f>BL$191-BL$192</f>
        <v/>
      </c>
      <c r="BM193" s="232">
        <f>BM$191-BM$192</f>
        <v/>
      </c>
      <c r="BN193" s="232">
        <f>BN$191-BN$192</f>
        <v/>
      </c>
      <c r="BO193" s="232">
        <f>BO$191-BO$192</f>
        <v/>
      </c>
      <c r="BP193" s="232">
        <f>BP$191-BP$192</f>
        <v/>
      </c>
      <c r="BQ193" s="232">
        <f>BQ$191-BQ$192</f>
        <v/>
      </c>
      <c r="BR193" s="232">
        <f>BR$191-BR$192</f>
        <v/>
      </c>
      <c r="BS193" s="232">
        <f>BS$191-BS$192</f>
        <v/>
      </c>
      <c r="BT193" s="232">
        <f>BT$191-BT$192</f>
        <v/>
      </c>
      <c r="BU193" s="232">
        <f>BU$191-BU$192</f>
        <v/>
      </c>
      <c r="BV193" s="232">
        <f>BV$191-BV$192</f>
        <v/>
      </c>
      <c r="BW193" s="232">
        <f>BW$191-BW$192</f>
        <v/>
      </c>
      <c r="BX193" s="232">
        <f>BX$191-BX$192</f>
        <v/>
      </c>
      <c r="BY193" s="232">
        <f>BY$191-BY$192</f>
        <v/>
      </c>
      <c r="BZ193" s="232">
        <f>BZ$191-BZ$192</f>
        <v/>
      </c>
      <c r="CA193" s="232">
        <f>CA$191-CA$192</f>
        <v/>
      </c>
      <c r="CB193" s="232">
        <f>CB$191-CB$192</f>
        <v/>
      </c>
      <c r="CC193" s="232">
        <f>CC$191-CC$192</f>
        <v/>
      </c>
      <c r="CD193" s="232">
        <f>CD$191-CD$192</f>
        <v/>
      </c>
      <c r="CE193" s="232">
        <f>CE$191-CE$192</f>
        <v/>
      </c>
      <c r="CF193" s="232">
        <f>CF$191-CF$192</f>
        <v/>
      </c>
      <c r="CG193" s="232">
        <f>CG$191-CG$192</f>
        <v/>
      </c>
      <c r="CH193" s="232">
        <f>CH$191-CH$192</f>
        <v/>
      </c>
      <c r="CI193" s="232">
        <f>CI$191-CI$192</f>
        <v/>
      </c>
      <c r="CJ193" s="232">
        <f>CJ$191-CJ$192</f>
        <v/>
      </c>
      <c r="CK193" s="232">
        <f>CK$191-CK$192</f>
        <v/>
      </c>
      <c r="CL193" s="232">
        <f>CL$191-CL$192</f>
        <v/>
      </c>
      <c r="CM193" s="232">
        <f>CM$191-CM$192</f>
        <v/>
      </c>
      <c r="CN193" s="232">
        <f>CN$191-CN$192</f>
        <v/>
      </c>
      <c r="CO193" s="232">
        <f>CO$191-CO$192</f>
        <v/>
      </c>
      <c r="CP193" s="232">
        <f>CP$191-CP$192</f>
        <v/>
      </c>
      <c r="CQ193" s="232">
        <f>CQ$191-CQ$192</f>
        <v/>
      </c>
      <c r="CR193" s="232">
        <f>CR$191-CR$192</f>
        <v/>
      </c>
      <c r="CS193" s="232">
        <f>CS$191-CS$192</f>
        <v/>
      </c>
      <c r="CT193" s="232">
        <f>CT$191-CT$192</f>
        <v/>
      </c>
      <c r="CU193" s="232">
        <f>CU$191-CU$192</f>
        <v/>
      </c>
      <c r="CV193" s="232">
        <f>CV$191-CV$192</f>
        <v/>
      </c>
      <c r="CW193" s="232">
        <f>CW$191-CW$192</f>
        <v/>
      </c>
      <c r="CX193" s="232">
        <f>CX$191-CX$192</f>
        <v/>
      </c>
      <c r="CY193" s="232">
        <f>CY$191-CY$192</f>
        <v/>
      </c>
      <c r="CZ193" s="232">
        <f>CZ$191-CZ$192</f>
        <v/>
      </c>
      <c r="DA193" s="232">
        <f>DA$191-DA$192</f>
        <v/>
      </c>
      <c r="DB193" s="232">
        <f>DB$191-DB$192</f>
        <v/>
      </c>
      <c r="DC193" s="232">
        <f>DC$191-DC$192</f>
        <v/>
      </c>
      <c r="DD193" s="232">
        <f>DD$191-DD$192</f>
        <v/>
      </c>
      <c r="DE193" s="232">
        <f>DE$191-DE$192</f>
        <v/>
      </c>
      <c r="DF193" s="232">
        <f>DF$191-DF$192</f>
        <v/>
      </c>
      <c r="DG193" s="232">
        <f>DG$191-DG$192</f>
        <v/>
      </c>
      <c r="DH193" s="232">
        <f>DH$191-DH$192</f>
        <v/>
      </c>
      <c r="DI193" s="232">
        <f>DI$191-DI$192</f>
        <v/>
      </c>
      <c r="DJ193" s="232">
        <f>DJ$191-DJ$192</f>
        <v/>
      </c>
      <c r="DK193" s="232">
        <f>DK$191-DK$192</f>
        <v/>
      </c>
      <c r="DL193" s="232">
        <f>DL$191-DL$192</f>
        <v/>
      </c>
      <c r="DM193" s="232">
        <f>DM$191-DM$192</f>
        <v/>
      </c>
      <c r="DN193" s="232">
        <f>DN$191-DN$192</f>
        <v/>
      </c>
      <c r="DO193" s="232">
        <f>DO$191-DO$192</f>
        <v/>
      </c>
      <c r="DP193" s="232">
        <f>DP$191-DP$192</f>
        <v/>
      </c>
      <c r="DQ193" s="232">
        <f>DQ$191-DQ$192</f>
        <v/>
      </c>
      <c r="DR193" s="232">
        <f>DR$191-DR$192</f>
        <v/>
      </c>
      <c r="DS193" s="232">
        <f>DS$191-DS$192</f>
        <v/>
      </c>
      <c r="DT193" s="232">
        <f>DT$191-DT$192</f>
        <v/>
      </c>
    </row>
    <row r="194" ht="15" customHeight="1" s="148">
      <c r="A194" t="inlineStr">
        <is>
          <t>Refi End Bal</t>
        </is>
      </c>
      <c r="D194" s="232">
        <f>IF(D$11=Assumptions!$E$28,0,D$189+D$190+D$193)</f>
        <v/>
      </c>
      <c r="E194" s="232">
        <f>IF(E$11=Assumptions!$E$28,0,E$189+E$190+E$193)</f>
        <v/>
      </c>
      <c r="F194" s="232">
        <f>IF(F$11=Assumptions!$E$28,0,F$189+F$190+F$193)</f>
        <v/>
      </c>
      <c r="G194" s="232">
        <f>IF(G$11=Assumptions!$E$28,0,G$189+G$190+G$193)</f>
        <v/>
      </c>
      <c r="H194" s="232">
        <f>IF(H$11=Assumptions!$E$28,0,H$189+H$190+H$193)</f>
        <v/>
      </c>
      <c r="I194" s="232">
        <f>IF(I$11=Assumptions!$E$28,0,I$189+I$190+I$193)</f>
        <v/>
      </c>
      <c r="J194" s="232">
        <f>IF(J$11=Assumptions!$E$28,0,J$189+J$190+J$193)</f>
        <v/>
      </c>
      <c r="K194" s="232">
        <f>IF(K$11=Assumptions!$E$28,0,K$189+K$190+K$193)</f>
        <v/>
      </c>
      <c r="L194" s="232">
        <f>IF(L$11=Assumptions!$E$28,0,L$189+L$190+L$193)</f>
        <v/>
      </c>
      <c r="M194" s="232">
        <f>IF(M$11=Assumptions!$E$28,0,M$189+M$190+M$193)</f>
        <v/>
      </c>
      <c r="N194" s="232">
        <f>IF(N$11=Assumptions!$E$28,0,N$189+N$190+N$193)</f>
        <v/>
      </c>
      <c r="O194" s="232">
        <f>IF(O$11=Assumptions!$E$28,0,O$189+O$190+O$193)</f>
        <v/>
      </c>
      <c r="P194" s="232">
        <f>IF(P$11=Assumptions!$E$28,0,P$189+P$190+P$193)</f>
        <v/>
      </c>
      <c r="Q194" s="232">
        <f>IF(Q$11=Assumptions!$E$28,0,Q$189+Q$190+Q$193)</f>
        <v/>
      </c>
      <c r="R194" s="232">
        <f>IF(R$11=Assumptions!$E$28,0,R$189+R$190+R$193)</f>
        <v/>
      </c>
      <c r="S194" s="232">
        <f>IF(S$11=Assumptions!$E$28,0,S$189+S$190+S$193)</f>
        <v/>
      </c>
      <c r="T194" s="232">
        <f>IF(T$11=Assumptions!$E$28,0,T$189+T$190+T$193)</f>
        <v/>
      </c>
      <c r="U194" s="232">
        <f>IF(U$11=Assumptions!$E$28,0,U$189+U$190+U$193)</f>
        <v/>
      </c>
      <c r="V194" s="232">
        <f>IF(V$11=Assumptions!$E$28,0,V$189+V$190+V$193)</f>
        <v/>
      </c>
      <c r="W194" s="232">
        <f>IF(W$11=Assumptions!$E$28,0,W$189+W$190+W$193)</f>
        <v/>
      </c>
      <c r="X194" s="232">
        <f>IF(X$11=Assumptions!$E$28,0,X$189+X$190+X$193)</f>
        <v/>
      </c>
      <c r="Y194" s="232">
        <f>IF(Y$11=Assumptions!$E$28,0,Y$189+Y$190+Y$193)</f>
        <v/>
      </c>
      <c r="Z194" s="232">
        <f>IF(Z$11=Assumptions!$E$28,0,Z$189+Z$190+Z$193)</f>
        <v/>
      </c>
      <c r="AA194" s="232">
        <f>IF(AA$11=Assumptions!$E$28,0,AA$189+AA$190+AA$193)</f>
        <v/>
      </c>
      <c r="AB194" s="232">
        <f>IF(AB$11=Assumptions!$E$28,0,AB$189+AB$190+AB$193)</f>
        <v/>
      </c>
      <c r="AC194" s="232">
        <f>IF(AC$11=Assumptions!$E$28,0,AC$189+AC$190+AC$193)</f>
        <v/>
      </c>
      <c r="AD194" s="232">
        <f>IF(AD$11=Assumptions!$E$28,0,AD$189+AD$190+AD$193)</f>
        <v/>
      </c>
      <c r="AE194" s="232">
        <f>IF(AE$11=Assumptions!$E$28,0,AE$189+AE$190+AE$193)</f>
        <v/>
      </c>
      <c r="AF194" s="232">
        <f>IF(AF$11=Assumptions!$E$28,0,AF$189+AF$190+AF$193)</f>
        <v/>
      </c>
      <c r="AG194" s="232">
        <f>IF(AG$11=Assumptions!$E$28,0,AG$189+AG$190+AG$193)</f>
        <v/>
      </c>
      <c r="AH194" s="232">
        <f>IF(AH$11=Assumptions!$E$28,0,AH$189+AH$190+AH$193)</f>
        <v/>
      </c>
      <c r="AI194" s="232">
        <f>IF(AI$11=Assumptions!$E$28,0,AI$189+AI$190+AI$193)</f>
        <v/>
      </c>
      <c r="AJ194" s="232">
        <f>IF(AJ$11=Assumptions!$E$28,0,AJ$189+AJ$190+AJ$193)</f>
        <v/>
      </c>
      <c r="AK194" s="232">
        <f>IF(AK$11=Assumptions!$E$28,0,AK$189+AK$190+AK$193)</f>
        <v/>
      </c>
      <c r="AL194" s="232">
        <f>IF(AL$11=Assumptions!$E$28,0,AL$189+AL$190+AL$193)</f>
        <v/>
      </c>
      <c r="AM194" s="232">
        <f>IF(AM$11=Assumptions!$E$28,0,AM$189+AM$190+AM$193)</f>
        <v/>
      </c>
      <c r="AN194" s="232">
        <f>IF(AN$11=Assumptions!$E$28,0,AN$189+AN$190+AN$193)</f>
        <v/>
      </c>
      <c r="AO194" s="232">
        <f>IF(AO$11=Assumptions!$E$28,0,AO$189+AO$190+AO$193)</f>
        <v/>
      </c>
      <c r="AP194" s="232">
        <f>IF(AP$11=Assumptions!$E$28,0,AP$189+AP$190+AP$193)</f>
        <v/>
      </c>
      <c r="AQ194" s="232">
        <f>IF(AQ$11=Assumptions!$E$28,0,AQ$189+AQ$190+AQ$193)</f>
        <v/>
      </c>
      <c r="AR194" s="232">
        <f>IF(AR$11=Assumptions!$E$28,0,AR$189+AR$190+AR$193)</f>
        <v/>
      </c>
      <c r="AS194" s="232">
        <f>IF(AS$11=Assumptions!$E$28,0,AS$189+AS$190+AS$193)</f>
        <v/>
      </c>
      <c r="AT194" s="232">
        <f>IF(AT$11=Assumptions!$E$28,0,AT$189+AT$190+AT$193)</f>
        <v/>
      </c>
      <c r="AU194" s="232">
        <f>IF(AU$11=Assumptions!$E$28,0,AU$189+AU$190+AU$193)</f>
        <v/>
      </c>
      <c r="AV194" s="232">
        <f>IF(AV$11=Assumptions!$E$28,0,AV$189+AV$190+AV$193)</f>
        <v/>
      </c>
      <c r="AW194" s="232">
        <f>IF(AW$11=Assumptions!$E$28,0,AW$189+AW$190+AW$193)</f>
        <v/>
      </c>
      <c r="AX194" s="232">
        <f>IF(AX$11=Assumptions!$E$28,0,AX$189+AX$190+AX$193)</f>
        <v/>
      </c>
      <c r="AY194" s="232">
        <f>IF(AY$11=Assumptions!$E$28,0,AY$189+AY$190+AY$193)</f>
        <v/>
      </c>
      <c r="AZ194" s="232">
        <f>IF(AZ$11=Assumptions!$E$28,0,AZ$189+AZ$190+AZ$193)</f>
        <v/>
      </c>
      <c r="BA194" s="232">
        <f>IF(BA$11=Assumptions!$E$28,0,BA$189+BA$190+BA$193)</f>
        <v/>
      </c>
      <c r="BB194" s="232">
        <f>IF(BB$11=Assumptions!$E$28,0,BB$189+BB$190+BB$193)</f>
        <v/>
      </c>
      <c r="BC194" s="232">
        <f>IF(BC$11=Assumptions!$E$28,0,BC$189+BC$190+BC$193)</f>
        <v/>
      </c>
      <c r="BD194" s="232">
        <f>IF(BD$11=Assumptions!$E$28,0,BD$189+BD$190+BD$193)</f>
        <v/>
      </c>
      <c r="BE194" s="232">
        <f>IF(BE$11=Assumptions!$E$28,0,BE$189+BE$190+BE$193)</f>
        <v/>
      </c>
      <c r="BF194" s="232">
        <f>IF(BF$11=Assumptions!$E$28,0,BF$189+BF$190+BF$193)</f>
        <v/>
      </c>
      <c r="BG194" s="232">
        <f>IF(BG$11=Assumptions!$E$28,0,BG$189+BG$190+BG$193)</f>
        <v/>
      </c>
      <c r="BH194" s="232">
        <f>IF(BH$11=Assumptions!$E$28,0,BH$189+BH$190+BH$193)</f>
        <v/>
      </c>
      <c r="BI194" s="232">
        <f>IF(BI$11=Assumptions!$E$28,0,BI$189+BI$190+BI$193)</f>
        <v/>
      </c>
      <c r="BJ194" s="232">
        <f>IF(BJ$11=Assumptions!$E$28,0,BJ$189+BJ$190+BJ$193)</f>
        <v/>
      </c>
      <c r="BK194" s="232">
        <f>IF(BK$11=Assumptions!$E$28,0,BK$189+BK$190+BK$193)</f>
        <v/>
      </c>
      <c r="BL194" s="232">
        <f>IF(BL$11=Assumptions!$E$28,0,BL$189+BL$190+BL$193)</f>
        <v/>
      </c>
      <c r="BM194" s="232">
        <f>IF(BM$11=Assumptions!$E$28,0,BM$189+BM$190+BM$193)</f>
        <v/>
      </c>
      <c r="BN194" s="232">
        <f>IF(BN$11=Assumptions!$E$28,0,BN$189+BN$190+BN$193)</f>
        <v/>
      </c>
      <c r="BO194" s="232">
        <f>IF(BO$11=Assumptions!$E$28,0,BO$189+BO$190+BO$193)</f>
        <v/>
      </c>
      <c r="BP194" s="232">
        <f>IF(BP$11=Assumptions!$E$28,0,BP$189+BP$190+BP$193)</f>
        <v/>
      </c>
      <c r="BQ194" s="232">
        <f>IF(BQ$11=Assumptions!$E$28,0,BQ$189+BQ$190+BQ$193)</f>
        <v/>
      </c>
      <c r="BR194" s="232">
        <f>IF(BR$11=Assumptions!$E$28,0,BR$189+BR$190+BR$193)</f>
        <v/>
      </c>
      <c r="BS194" s="232">
        <f>IF(BS$11=Assumptions!$E$28,0,BS$189+BS$190+BS$193)</f>
        <v/>
      </c>
      <c r="BT194" s="232">
        <f>IF(BT$11=Assumptions!$E$28,0,BT$189+BT$190+BT$193)</f>
        <v/>
      </c>
      <c r="BU194" s="232">
        <f>IF(BU$11=Assumptions!$E$28,0,BU$189+BU$190+BU$193)</f>
        <v/>
      </c>
      <c r="BV194" s="232">
        <f>IF(BV$11=Assumptions!$E$28,0,BV$189+BV$190+BV$193)</f>
        <v/>
      </c>
      <c r="BW194" s="232">
        <f>IF(BW$11=Assumptions!$E$28,0,BW$189+BW$190+BW$193)</f>
        <v/>
      </c>
      <c r="BX194" s="232">
        <f>IF(BX$11=Assumptions!$E$28,0,BX$189+BX$190+BX$193)</f>
        <v/>
      </c>
      <c r="BY194" s="232">
        <f>IF(BY$11=Assumptions!$E$28,0,BY$189+BY$190+BY$193)</f>
        <v/>
      </c>
      <c r="BZ194" s="232">
        <f>IF(BZ$11=Assumptions!$E$28,0,BZ$189+BZ$190+BZ$193)</f>
        <v/>
      </c>
      <c r="CA194" s="232">
        <f>IF(CA$11=Assumptions!$E$28,0,CA$189+CA$190+CA$193)</f>
        <v/>
      </c>
      <c r="CB194" s="232">
        <f>IF(CB$11=Assumptions!$E$28,0,CB$189+CB$190+CB$193)</f>
        <v/>
      </c>
      <c r="CC194" s="232">
        <f>IF(CC$11=Assumptions!$E$28,0,CC$189+CC$190+CC$193)</f>
        <v/>
      </c>
      <c r="CD194" s="232">
        <f>IF(CD$11=Assumptions!$E$28,0,CD$189+CD$190+CD$193)</f>
        <v/>
      </c>
      <c r="CE194" s="232">
        <f>IF(CE$11=Assumptions!$E$28,0,CE$189+CE$190+CE$193)</f>
        <v/>
      </c>
      <c r="CF194" s="232">
        <f>IF(CF$11=Assumptions!$E$28,0,CF$189+CF$190+CF$193)</f>
        <v/>
      </c>
      <c r="CG194" s="232">
        <f>IF(CG$11=Assumptions!$E$28,0,CG$189+CG$190+CG$193)</f>
        <v/>
      </c>
      <c r="CH194" s="232">
        <f>IF(CH$11=Assumptions!$E$28,0,CH$189+CH$190+CH$193)</f>
        <v/>
      </c>
      <c r="CI194" s="232">
        <f>IF(CI$11=Assumptions!$E$28,0,CI$189+CI$190+CI$193)</f>
        <v/>
      </c>
      <c r="CJ194" s="232">
        <f>IF(CJ$11=Assumptions!$E$28,0,CJ$189+CJ$190+CJ$193)</f>
        <v/>
      </c>
      <c r="CK194" s="232">
        <f>IF(CK$11=Assumptions!$E$28,0,CK$189+CK$190+CK$193)</f>
        <v/>
      </c>
      <c r="CL194" s="232">
        <f>IF(CL$11=Assumptions!$E$28,0,CL$189+CL$190+CL$193)</f>
        <v/>
      </c>
      <c r="CM194" s="232">
        <f>IF(CM$11=Assumptions!$E$28,0,CM$189+CM$190+CM$193)</f>
        <v/>
      </c>
      <c r="CN194" s="232">
        <f>IF(CN$11=Assumptions!$E$28,0,CN$189+CN$190+CN$193)</f>
        <v/>
      </c>
      <c r="CO194" s="232">
        <f>IF(CO$11=Assumptions!$E$28,0,CO$189+CO$190+CO$193)</f>
        <v/>
      </c>
      <c r="CP194" s="232">
        <f>IF(CP$11=Assumptions!$E$28,0,CP$189+CP$190+CP$193)</f>
        <v/>
      </c>
      <c r="CQ194" s="232">
        <f>IF(CQ$11=Assumptions!$E$28,0,CQ$189+CQ$190+CQ$193)</f>
        <v/>
      </c>
      <c r="CR194" s="232">
        <f>IF(CR$11=Assumptions!$E$28,0,CR$189+CR$190+CR$193)</f>
        <v/>
      </c>
      <c r="CS194" s="232">
        <f>IF(CS$11=Assumptions!$E$28,0,CS$189+CS$190+CS$193)</f>
        <v/>
      </c>
      <c r="CT194" s="232">
        <f>IF(CT$11=Assumptions!$E$28,0,CT$189+CT$190+CT$193)</f>
        <v/>
      </c>
      <c r="CU194" s="232">
        <f>IF(CU$11=Assumptions!$E$28,0,CU$189+CU$190+CU$193)</f>
        <v/>
      </c>
      <c r="CV194" s="232">
        <f>IF(CV$11=Assumptions!$E$28,0,CV$189+CV$190+CV$193)</f>
        <v/>
      </c>
      <c r="CW194" s="232">
        <f>IF(CW$11=Assumptions!$E$28,0,CW$189+CW$190+CW$193)</f>
        <v/>
      </c>
      <c r="CX194" s="232">
        <f>IF(CX$11=Assumptions!$E$28,0,CX$189+CX$190+CX$193)</f>
        <v/>
      </c>
      <c r="CY194" s="232">
        <f>IF(CY$11=Assumptions!$E$28,0,CY$189+CY$190+CY$193)</f>
        <v/>
      </c>
      <c r="CZ194" s="232">
        <f>IF(CZ$11=Assumptions!$E$28,0,CZ$189+CZ$190+CZ$193)</f>
        <v/>
      </c>
      <c r="DA194" s="232">
        <f>IF(DA$11=Assumptions!$E$28,0,DA$189+DA$190+DA$193)</f>
        <v/>
      </c>
      <c r="DB194" s="232">
        <f>IF(DB$11=Assumptions!$E$28,0,DB$189+DB$190+DB$193)</f>
        <v/>
      </c>
      <c r="DC194" s="232">
        <f>IF(DC$11=Assumptions!$E$28,0,DC$189+DC$190+DC$193)</f>
        <v/>
      </c>
      <c r="DD194" s="232">
        <f>IF(DD$11=Assumptions!$E$28,0,DD$189+DD$190+DD$193)</f>
        <v/>
      </c>
      <c r="DE194" s="232">
        <f>IF(DE$11=Assumptions!$E$28,0,DE$189+DE$190+DE$193)</f>
        <v/>
      </c>
      <c r="DF194" s="232">
        <f>IF(DF$11=Assumptions!$E$28,0,DF$189+DF$190+DF$193)</f>
        <v/>
      </c>
      <c r="DG194" s="232">
        <f>IF(DG$11=Assumptions!$E$28,0,DG$189+DG$190+DG$193)</f>
        <v/>
      </c>
      <c r="DH194" s="232">
        <f>IF(DH$11=Assumptions!$E$28,0,DH$189+DH$190+DH$193)</f>
        <v/>
      </c>
      <c r="DI194" s="232">
        <f>IF(DI$11=Assumptions!$E$28,0,DI$189+DI$190+DI$193)</f>
        <v/>
      </c>
      <c r="DJ194" s="232">
        <f>IF(DJ$11=Assumptions!$E$28,0,DJ$189+DJ$190+DJ$193)</f>
        <v/>
      </c>
      <c r="DK194" s="232">
        <f>IF(DK$11=Assumptions!$E$28,0,DK$189+DK$190+DK$193)</f>
        <v/>
      </c>
      <c r="DL194" s="232">
        <f>IF(DL$11=Assumptions!$E$28,0,DL$189+DL$190+DL$193)</f>
        <v/>
      </c>
      <c r="DM194" s="232">
        <f>IF(DM$11=Assumptions!$E$28,0,DM$189+DM$190+DM$193)</f>
        <v/>
      </c>
      <c r="DN194" s="232">
        <f>IF(DN$11=Assumptions!$E$28,0,DN$189+DN$190+DN$193)</f>
        <v/>
      </c>
      <c r="DO194" s="232">
        <f>IF(DO$11=Assumptions!$E$28,0,DO$189+DO$190+DO$193)</f>
        <v/>
      </c>
      <c r="DP194" s="232">
        <f>IF(DP$11=Assumptions!$E$28,0,DP$189+DP$190+DP$193)</f>
        <v/>
      </c>
      <c r="DQ194" s="232">
        <f>IF(DQ$11=Assumptions!$E$28,0,DQ$189+DQ$190+DQ$193)</f>
        <v/>
      </c>
      <c r="DR194" s="232">
        <f>IF(DR$11=Assumptions!$E$28,0,DR$189+DR$190+DR$193)</f>
        <v/>
      </c>
      <c r="DS194" s="232">
        <f>IF(DS$11=Assumptions!$E$28,0,DS$189+DS$190+DS$193)</f>
        <v/>
      </c>
      <c r="DT194" s="232">
        <f>IF(DT$11=Assumptions!$E$28,0,DT$189+DT$190+DT$193)</f>
        <v/>
      </c>
    </row>
    <row r="195" ht="15" customHeight="1" s="148">
      <c r="A195" t="inlineStr">
        <is>
          <t>Refi Final Repay</t>
        </is>
      </c>
      <c r="D195" s="232">
        <f>IF(D$11=Assumptions!$E$28,-(D$189+D$190+D$193),0)</f>
        <v/>
      </c>
      <c r="E195" s="232">
        <f>IF(E$11=Assumptions!$E$28,-(E$189+E$190+E$193),0)</f>
        <v/>
      </c>
      <c r="F195" s="232">
        <f>IF(F$11=Assumptions!$E$28,-(F$189+F$190+F$193),0)</f>
        <v/>
      </c>
      <c r="G195" s="232">
        <f>IF(G$11=Assumptions!$E$28,-(G$189+G$190+G$193),0)</f>
        <v/>
      </c>
      <c r="H195" s="232">
        <f>IF(H$11=Assumptions!$E$28,-(H$189+H$190+H$193),0)</f>
        <v/>
      </c>
      <c r="I195" s="232">
        <f>IF(I$11=Assumptions!$E$28,-(I$189+I$190+I$193),0)</f>
        <v/>
      </c>
      <c r="J195" s="232">
        <f>IF(J$11=Assumptions!$E$28,-(J$189+J$190+J$193),0)</f>
        <v/>
      </c>
      <c r="K195" s="232">
        <f>IF(K$11=Assumptions!$E$28,-(K$189+K$190+K$193),0)</f>
        <v/>
      </c>
      <c r="L195" s="232">
        <f>IF(L$11=Assumptions!$E$28,-(L$189+L$190+L$193),0)</f>
        <v/>
      </c>
      <c r="M195" s="232">
        <f>IF(M$11=Assumptions!$E$28,-(M$189+M$190+M$193),0)</f>
        <v/>
      </c>
      <c r="N195" s="232">
        <f>IF(N$11=Assumptions!$E$28,-(N$189+N$190+N$193),0)</f>
        <v/>
      </c>
      <c r="O195" s="232">
        <f>IF(O$11=Assumptions!$E$28,-(O$189+O$190+O$193),0)</f>
        <v/>
      </c>
      <c r="P195" s="232">
        <f>IF(P$11=Assumptions!$E$28,-(P$189+P$190+P$193),0)</f>
        <v/>
      </c>
      <c r="Q195" s="232">
        <f>IF(Q$11=Assumptions!$E$28,-(Q$189+Q$190+Q$193),0)</f>
        <v/>
      </c>
      <c r="R195" s="232">
        <f>IF(R$11=Assumptions!$E$28,-(R$189+R$190+R$193),0)</f>
        <v/>
      </c>
      <c r="S195" s="232">
        <f>IF(S$11=Assumptions!$E$28,-(S$189+S$190+S$193),0)</f>
        <v/>
      </c>
      <c r="T195" s="232">
        <f>IF(T$11=Assumptions!$E$28,-(T$189+T$190+T$193),0)</f>
        <v/>
      </c>
      <c r="U195" s="232">
        <f>IF(U$11=Assumptions!$E$28,-(U$189+U$190+U$193),0)</f>
        <v/>
      </c>
      <c r="V195" s="232">
        <f>IF(V$11=Assumptions!$E$28,-(V$189+V$190+V$193),0)</f>
        <v/>
      </c>
      <c r="W195" s="232">
        <f>IF(W$11=Assumptions!$E$28,-(W$189+W$190+W$193),0)</f>
        <v/>
      </c>
      <c r="X195" s="232">
        <f>IF(X$11=Assumptions!$E$28,-(X$189+X$190+X$193),0)</f>
        <v/>
      </c>
      <c r="Y195" s="232">
        <f>IF(Y$11=Assumptions!$E$28,-(Y$189+Y$190+Y$193),0)</f>
        <v/>
      </c>
      <c r="Z195" s="232">
        <f>IF(Z$11=Assumptions!$E$28,-(Z$189+Z$190+Z$193),0)</f>
        <v/>
      </c>
      <c r="AA195" s="232">
        <f>IF(AA$11=Assumptions!$E$28,-(AA$189+AA$190+AA$193),0)</f>
        <v/>
      </c>
      <c r="AB195" s="232">
        <f>IF(AB$11=Assumptions!$E$28,-(AB$189+AB$190+AB$193),0)</f>
        <v/>
      </c>
      <c r="AC195" s="232">
        <f>IF(AC$11=Assumptions!$E$28,-(AC$189+AC$190+AC$193),0)</f>
        <v/>
      </c>
      <c r="AD195" s="232">
        <f>IF(AD$11=Assumptions!$E$28,-(AD$189+AD$190+AD$193),0)</f>
        <v/>
      </c>
      <c r="AE195" s="232">
        <f>IF(AE$11=Assumptions!$E$28,-(AE$189+AE$190+AE$193),0)</f>
        <v/>
      </c>
      <c r="AF195" s="232">
        <f>IF(AF$11=Assumptions!$E$28,-(AF$189+AF$190+AF$193),0)</f>
        <v/>
      </c>
      <c r="AG195" s="232">
        <f>IF(AG$11=Assumptions!$E$28,-(AG$189+AG$190+AG$193),0)</f>
        <v/>
      </c>
      <c r="AH195" s="232">
        <f>IF(AH$11=Assumptions!$E$28,-(AH$189+AH$190+AH$193),0)</f>
        <v/>
      </c>
      <c r="AI195" s="232">
        <f>IF(AI$11=Assumptions!$E$28,-(AI$189+AI$190+AI$193),0)</f>
        <v/>
      </c>
      <c r="AJ195" s="232">
        <f>IF(AJ$11=Assumptions!$E$28,-(AJ$189+AJ$190+AJ$193),0)</f>
        <v/>
      </c>
      <c r="AK195" s="232">
        <f>IF(AK$11=Assumptions!$E$28,-(AK$189+AK$190+AK$193),0)</f>
        <v/>
      </c>
      <c r="AL195" s="232">
        <f>IF(AL$11=Assumptions!$E$28,-(AL$189+AL$190+AL$193),0)</f>
        <v/>
      </c>
      <c r="AM195" s="232">
        <f>IF(AM$11=Assumptions!$E$28,-(AM$189+AM$190+AM$193),0)</f>
        <v/>
      </c>
      <c r="AN195" s="232">
        <f>IF(AN$11=Assumptions!$E$28,-(AN$189+AN$190+AN$193),0)</f>
        <v/>
      </c>
      <c r="AO195" s="232">
        <f>IF(AO$11=Assumptions!$E$28,-(AO$189+AO$190+AO$193),0)</f>
        <v/>
      </c>
      <c r="AP195" s="232">
        <f>IF(AP$11=Assumptions!$E$28,-(AP$189+AP$190+AP$193),0)</f>
        <v/>
      </c>
      <c r="AQ195" s="232">
        <f>IF(AQ$11=Assumptions!$E$28,-(AQ$189+AQ$190+AQ$193),0)</f>
        <v/>
      </c>
      <c r="AR195" s="232">
        <f>IF(AR$11=Assumptions!$E$28,-(AR$189+AR$190+AR$193),0)</f>
        <v/>
      </c>
      <c r="AS195" s="232">
        <f>IF(AS$11=Assumptions!$E$28,-(AS$189+AS$190+AS$193),0)</f>
        <v/>
      </c>
      <c r="AT195" s="232">
        <f>IF(AT$11=Assumptions!$E$28,-(AT$189+AT$190+AT$193),0)</f>
        <v/>
      </c>
      <c r="AU195" s="232">
        <f>IF(AU$11=Assumptions!$E$28,-(AU$189+AU$190+AU$193),0)</f>
        <v/>
      </c>
      <c r="AV195" s="232">
        <f>IF(AV$11=Assumptions!$E$28,-(AV$189+AV$190+AV$193),0)</f>
        <v/>
      </c>
      <c r="AW195" s="232">
        <f>IF(AW$11=Assumptions!$E$28,-(AW$189+AW$190+AW$193),0)</f>
        <v/>
      </c>
      <c r="AX195" s="232">
        <f>IF(AX$11=Assumptions!$E$28,-(AX$189+AX$190+AX$193),0)</f>
        <v/>
      </c>
      <c r="AY195" s="232">
        <f>IF(AY$11=Assumptions!$E$28,-(AY$189+AY$190+AY$193),0)</f>
        <v/>
      </c>
      <c r="AZ195" s="232">
        <f>IF(AZ$11=Assumptions!$E$28,-(AZ$189+AZ$190+AZ$193),0)</f>
        <v/>
      </c>
      <c r="BA195" s="232">
        <f>IF(BA$11=Assumptions!$E$28,-(BA$189+BA$190+BA$193),0)</f>
        <v/>
      </c>
      <c r="BB195" s="232">
        <f>IF(BB$11=Assumptions!$E$28,-(BB$189+BB$190+BB$193),0)</f>
        <v/>
      </c>
      <c r="BC195" s="232">
        <f>IF(BC$11=Assumptions!$E$28,-(BC$189+BC$190+BC$193),0)</f>
        <v/>
      </c>
      <c r="BD195" s="232">
        <f>IF(BD$11=Assumptions!$E$28,-(BD$189+BD$190+BD$193),0)</f>
        <v/>
      </c>
      <c r="BE195" s="232">
        <f>IF(BE$11=Assumptions!$E$28,-(BE$189+BE$190+BE$193),0)</f>
        <v/>
      </c>
      <c r="BF195" s="232">
        <f>IF(BF$11=Assumptions!$E$28,-(BF$189+BF$190+BF$193),0)</f>
        <v/>
      </c>
      <c r="BG195" s="232">
        <f>IF(BG$11=Assumptions!$E$28,-(BG$189+BG$190+BG$193),0)</f>
        <v/>
      </c>
      <c r="BH195" s="232">
        <f>IF(BH$11=Assumptions!$E$28,-(BH$189+BH$190+BH$193),0)</f>
        <v/>
      </c>
      <c r="BI195" s="232">
        <f>IF(BI$11=Assumptions!$E$28,-(BI$189+BI$190+BI$193),0)</f>
        <v/>
      </c>
      <c r="BJ195" s="232">
        <f>IF(BJ$11=Assumptions!$E$28,-(BJ$189+BJ$190+BJ$193),0)</f>
        <v/>
      </c>
      <c r="BK195" s="232">
        <f>IF(BK$11=Assumptions!$E$28,-(BK$189+BK$190+BK$193),0)</f>
        <v/>
      </c>
      <c r="BL195" s="232">
        <f>IF(BL$11=Assumptions!$E$28,-(BL$189+BL$190+BL$193),0)</f>
        <v/>
      </c>
      <c r="BM195" s="232">
        <f>IF(BM$11=Assumptions!$E$28,-(BM$189+BM$190+BM$193),0)</f>
        <v/>
      </c>
      <c r="BN195" s="232">
        <f>IF(BN$11=Assumptions!$E$28,-(BN$189+BN$190+BN$193),0)</f>
        <v/>
      </c>
      <c r="BO195" s="232">
        <f>IF(BO$11=Assumptions!$E$28,-(BO$189+BO$190+BO$193),0)</f>
        <v/>
      </c>
      <c r="BP195" s="232">
        <f>IF(BP$11=Assumptions!$E$28,-(BP$189+BP$190+BP$193),0)</f>
        <v/>
      </c>
      <c r="BQ195" s="232">
        <f>IF(BQ$11=Assumptions!$E$28,-(BQ$189+BQ$190+BQ$193),0)</f>
        <v/>
      </c>
      <c r="BR195" s="232">
        <f>IF(BR$11=Assumptions!$E$28,-(BR$189+BR$190+BR$193),0)</f>
        <v/>
      </c>
      <c r="BS195" s="232">
        <f>IF(BS$11=Assumptions!$E$28,-(BS$189+BS$190+BS$193),0)</f>
        <v/>
      </c>
      <c r="BT195" s="232">
        <f>IF(BT$11=Assumptions!$E$28,-(BT$189+BT$190+BT$193),0)</f>
        <v/>
      </c>
      <c r="BU195" s="232">
        <f>IF(BU$11=Assumptions!$E$28,-(BU$189+BU$190+BU$193),0)</f>
        <v/>
      </c>
      <c r="BV195" s="232">
        <f>IF(BV$11=Assumptions!$E$28,-(BV$189+BV$190+BV$193),0)</f>
        <v/>
      </c>
      <c r="BW195" s="232">
        <f>IF(BW$11=Assumptions!$E$28,-(BW$189+BW$190+BW$193),0)</f>
        <v/>
      </c>
      <c r="BX195" s="232">
        <f>IF(BX$11=Assumptions!$E$28,-(BX$189+BX$190+BX$193),0)</f>
        <v/>
      </c>
      <c r="BY195" s="232">
        <f>IF(BY$11=Assumptions!$E$28,-(BY$189+BY$190+BY$193),0)</f>
        <v/>
      </c>
      <c r="BZ195" s="232">
        <f>IF(BZ$11=Assumptions!$E$28,-(BZ$189+BZ$190+BZ$193),0)</f>
        <v/>
      </c>
      <c r="CA195" s="232">
        <f>IF(CA$11=Assumptions!$E$28,-(CA$189+CA$190+CA$193),0)</f>
        <v/>
      </c>
      <c r="CB195" s="232">
        <f>IF(CB$11=Assumptions!$E$28,-(CB$189+CB$190+CB$193),0)</f>
        <v/>
      </c>
      <c r="CC195" s="232">
        <f>IF(CC$11=Assumptions!$E$28,-(CC$189+CC$190+CC$193),0)</f>
        <v/>
      </c>
      <c r="CD195" s="232">
        <f>IF(CD$11=Assumptions!$E$28,-(CD$189+CD$190+CD$193),0)</f>
        <v/>
      </c>
      <c r="CE195" s="232">
        <f>IF(CE$11=Assumptions!$E$28,-(CE$189+CE$190+CE$193),0)</f>
        <v/>
      </c>
      <c r="CF195" s="232">
        <f>IF(CF$11=Assumptions!$E$28,-(CF$189+CF$190+CF$193),0)</f>
        <v/>
      </c>
      <c r="CG195" s="232">
        <f>IF(CG$11=Assumptions!$E$28,-(CG$189+CG$190+CG$193),0)</f>
        <v/>
      </c>
      <c r="CH195" s="232">
        <f>IF(CH$11=Assumptions!$E$28,-(CH$189+CH$190+CH$193),0)</f>
        <v/>
      </c>
      <c r="CI195" s="232">
        <f>IF(CI$11=Assumptions!$E$28,-(CI$189+CI$190+CI$193),0)</f>
        <v/>
      </c>
      <c r="CJ195" s="232">
        <f>IF(CJ$11=Assumptions!$E$28,-(CJ$189+CJ$190+CJ$193),0)</f>
        <v/>
      </c>
      <c r="CK195" s="232">
        <f>IF(CK$11=Assumptions!$E$28,-(CK$189+CK$190+CK$193),0)</f>
        <v/>
      </c>
      <c r="CL195" s="232">
        <f>IF(CL$11=Assumptions!$E$28,-(CL$189+CL$190+CL$193),0)</f>
        <v/>
      </c>
      <c r="CM195" s="232">
        <f>IF(CM$11=Assumptions!$E$28,-(CM$189+CM$190+CM$193),0)</f>
        <v/>
      </c>
      <c r="CN195" s="232">
        <f>IF(CN$11=Assumptions!$E$28,-(CN$189+CN$190+CN$193),0)</f>
        <v/>
      </c>
      <c r="CO195" s="232">
        <f>IF(CO$11=Assumptions!$E$28,-(CO$189+CO$190+CO$193),0)</f>
        <v/>
      </c>
      <c r="CP195" s="232">
        <f>IF(CP$11=Assumptions!$E$28,-(CP$189+CP$190+CP$193),0)</f>
        <v/>
      </c>
      <c r="CQ195" s="232">
        <f>IF(CQ$11=Assumptions!$E$28,-(CQ$189+CQ$190+CQ$193),0)</f>
        <v/>
      </c>
      <c r="CR195" s="232">
        <f>IF(CR$11=Assumptions!$E$28,-(CR$189+CR$190+CR$193),0)</f>
        <v/>
      </c>
      <c r="CS195" s="232">
        <f>IF(CS$11=Assumptions!$E$28,-(CS$189+CS$190+CS$193),0)</f>
        <v/>
      </c>
      <c r="CT195" s="232">
        <f>IF(CT$11=Assumptions!$E$28,-(CT$189+CT$190+CT$193),0)</f>
        <v/>
      </c>
      <c r="CU195" s="232">
        <f>IF(CU$11=Assumptions!$E$28,-(CU$189+CU$190+CU$193),0)</f>
        <v/>
      </c>
      <c r="CV195" s="232">
        <f>IF(CV$11=Assumptions!$E$28,-(CV$189+CV$190+CV$193),0)</f>
        <v/>
      </c>
      <c r="CW195" s="232">
        <f>IF(CW$11=Assumptions!$E$28,-(CW$189+CW$190+CW$193),0)</f>
        <v/>
      </c>
      <c r="CX195" s="232">
        <f>IF(CX$11=Assumptions!$E$28,-(CX$189+CX$190+CX$193),0)</f>
        <v/>
      </c>
      <c r="CY195" s="232">
        <f>IF(CY$11=Assumptions!$E$28,-(CY$189+CY$190+CY$193),0)</f>
        <v/>
      </c>
      <c r="CZ195" s="232">
        <f>IF(CZ$11=Assumptions!$E$28,-(CZ$189+CZ$190+CZ$193),0)</f>
        <v/>
      </c>
      <c r="DA195" s="232">
        <f>IF(DA$11=Assumptions!$E$28,-(DA$189+DA$190+DA$193),0)</f>
        <v/>
      </c>
      <c r="DB195" s="232">
        <f>IF(DB$11=Assumptions!$E$28,-(DB$189+DB$190+DB$193),0)</f>
        <v/>
      </c>
      <c r="DC195" s="232">
        <f>IF(DC$11=Assumptions!$E$28,-(DC$189+DC$190+DC$193),0)</f>
        <v/>
      </c>
      <c r="DD195" s="232">
        <f>IF(DD$11=Assumptions!$E$28,-(DD$189+DD$190+DD$193),0)</f>
        <v/>
      </c>
      <c r="DE195" s="232">
        <f>IF(DE$11=Assumptions!$E$28,-(DE$189+DE$190+DE$193),0)</f>
        <v/>
      </c>
      <c r="DF195" s="232">
        <f>IF(DF$11=Assumptions!$E$28,-(DF$189+DF$190+DF$193),0)</f>
        <v/>
      </c>
      <c r="DG195" s="232">
        <f>IF(DG$11=Assumptions!$E$28,-(DG$189+DG$190+DG$193),0)</f>
        <v/>
      </c>
      <c r="DH195" s="232">
        <f>IF(DH$11=Assumptions!$E$28,-(DH$189+DH$190+DH$193),0)</f>
        <v/>
      </c>
      <c r="DI195" s="232">
        <f>IF(DI$11=Assumptions!$E$28,-(DI$189+DI$190+DI$193),0)</f>
        <v/>
      </c>
      <c r="DJ195" s="232">
        <f>IF(DJ$11=Assumptions!$E$28,-(DJ$189+DJ$190+DJ$193),0)</f>
        <v/>
      </c>
      <c r="DK195" s="232">
        <f>IF(DK$11=Assumptions!$E$28,-(DK$189+DK$190+DK$193),0)</f>
        <v/>
      </c>
      <c r="DL195" s="232">
        <f>IF(DL$11=Assumptions!$E$28,-(DL$189+DL$190+DL$193),0)</f>
        <v/>
      </c>
      <c r="DM195" s="232">
        <f>IF(DM$11=Assumptions!$E$28,-(DM$189+DM$190+DM$193),0)</f>
        <v/>
      </c>
      <c r="DN195" s="232">
        <f>IF(DN$11=Assumptions!$E$28,-(DN$189+DN$190+DN$193),0)</f>
        <v/>
      </c>
      <c r="DO195" s="232">
        <f>IF(DO$11=Assumptions!$E$28,-(DO$189+DO$190+DO$193),0)</f>
        <v/>
      </c>
      <c r="DP195" s="232">
        <f>IF(DP$11=Assumptions!$E$28,-(DP$189+DP$190+DP$193),0)</f>
        <v/>
      </c>
      <c r="DQ195" s="232">
        <f>IF(DQ$11=Assumptions!$E$28,-(DQ$189+DQ$190+DQ$193),0)</f>
        <v/>
      </c>
      <c r="DR195" s="232">
        <f>IF(DR$11=Assumptions!$E$28,-(DR$189+DR$190+DR$193),0)</f>
        <v/>
      </c>
      <c r="DS195" s="232">
        <f>IF(DS$11=Assumptions!$E$28,-(DS$189+DS$190+DS$193),0)</f>
        <v/>
      </c>
      <c r="DT195" s="232">
        <f>IF(DT$11=Assumptions!$E$28,-(DT$189+DT$190+DT$193),0)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5"/>
  <sheetViews>
    <sheetView showGridLines="0" workbookViewId="0">
      <selection activeCell="C54" sqref="C54"/>
    </sheetView>
  </sheetViews>
  <sheetFormatPr baseColWidth="10" defaultColWidth="8.6640625" defaultRowHeight="13"/>
  <cols>
    <col width="40" customWidth="1" style="148" min="1" max="1"/>
    <col width="2" customWidth="1" style="148" min="2" max="2"/>
    <col width="14" customWidth="1" style="148" min="3" max="3"/>
    <col width="12" customWidth="1" style="148" min="4" max="15"/>
  </cols>
  <sheetData>
    <row r="1" ht="15" customHeight="1" s="148">
      <c r="A1" s="100" t="inlineStr">
        <is>
          <t>Project Name</t>
        </is>
      </c>
      <c r="B1" s="101">
        <f>Assumptions!$F$7</f>
        <v/>
      </c>
    </row>
    <row r="2" ht="15" customHeight="1" s="148">
      <c r="A2" s="100" t="inlineStr">
        <is>
          <t>City, State</t>
        </is>
      </c>
      <c r="B2" s="101">
        <f>Assumptions!$F$8</f>
        <v/>
      </c>
    </row>
    <row r="4" ht="15" customHeight="1" s="148">
      <c r="A4" s="100" t="inlineStr">
        <is>
          <t>Annual CF</t>
        </is>
      </c>
    </row>
    <row r="6" ht="15" customHeight="1" s="148">
      <c r="A6" s="102" t="inlineStr">
        <is>
          <t>Circular Break</t>
        </is>
      </c>
      <c r="B6" s="94" t="n"/>
      <c r="C6" s="103" t="inlineStr">
        <is>
          <t>No</t>
        </is>
      </c>
    </row>
    <row r="7" ht="15" customHeight="1" s="148">
      <c r="B7" s="104" t="inlineStr">
        <is>
          <t>Investment Held?</t>
        </is>
      </c>
      <c r="C7" s="105" t="n"/>
      <c r="D7" s="106">
        <f>IFERROR(IF(D$9=0,1,IF(D$9*12&lt;=Assumptions!$E$28,1,0)),0)</f>
        <v/>
      </c>
      <c r="E7" s="106">
        <f>IFERROR(IF(E$9=0,1,IF(E$9*12&lt;=Assumptions!$E$28,1,0)),0)</f>
        <v/>
      </c>
      <c r="F7" s="106">
        <f>IFERROR(IF(F$9=0,1,IF(F$9*12&lt;=Assumptions!$E$28,1,0)),0)</f>
        <v/>
      </c>
      <c r="G7" s="106">
        <f>IFERROR(IF(G$9=0,1,IF(G$9*12&lt;=Assumptions!$E$28,1,0)),0)</f>
        <v/>
      </c>
      <c r="H7" s="106">
        <f>IFERROR(IF(H$9=0,1,IF(H$9*12&lt;=Assumptions!$E$28,1,0)),0)</f>
        <v/>
      </c>
      <c r="I7" s="106">
        <f>IFERROR(IF(I$9=0,1,IF(I$9*12&lt;=Assumptions!$E$28,1,0)),0)</f>
        <v/>
      </c>
      <c r="J7" s="106">
        <f>IFERROR(IF(J$9=0,1,IF(J$9*12&lt;=Assumptions!$E$28,1,0)),0)</f>
        <v/>
      </c>
      <c r="K7" s="106">
        <f>IFERROR(IF(K$9=0,1,IF(K$9*12&lt;=Assumptions!$E$28,1,0)),0)</f>
        <v/>
      </c>
      <c r="L7" s="106">
        <f>IFERROR(IF(L$9=0,1,IF(L$9*12&lt;=Assumptions!$E$28,1,0)),0)</f>
        <v/>
      </c>
      <c r="M7" s="106">
        <f>IFERROR(IF(M$9=0,1,IF(M$9*12&lt;=Assumptions!$E$28,1,0)),0)</f>
        <v/>
      </c>
      <c r="N7" s="106">
        <f>IFERROR(IF(N$9=0,1,IF(N$9*12&lt;=Assumptions!$E$28,1,0)),0)</f>
        <v/>
      </c>
      <c r="O7" s="106">
        <f>IFERROR(IF(O$9=0,1,IF(O$9*12&lt;=Assumptions!$E$28,1,0)),0)</f>
        <v/>
      </c>
    </row>
    <row r="8" ht="15" customHeight="1" s="148">
      <c r="B8" s="104" t="inlineStr">
        <is>
          <t>Year</t>
        </is>
      </c>
      <c r="C8" s="105" t="n"/>
      <c r="D8" s="106">
        <f>YEAR(D$12)</f>
        <v/>
      </c>
      <c r="E8" s="106">
        <f>YEAR(E$12)</f>
        <v/>
      </c>
      <c r="F8" s="106">
        <f>YEAR(F$12)</f>
        <v/>
      </c>
      <c r="G8" s="106">
        <f>YEAR(G$12)</f>
        <v/>
      </c>
      <c r="H8" s="106">
        <f>YEAR(H$12)</f>
        <v/>
      </c>
      <c r="I8" s="106">
        <f>YEAR(I$12)</f>
        <v/>
      </c>
      <c r="J8" s="106">
        <f>YEAR(J$12)</f>
        <v/>
      </c>
      <c r="K8" s="106">
        <f>YEAR(K$12)</f>
        <v/>
      </c>
      <c r="L8" s="106">
        <f>YEAR(L$12)</f>
        <v/>
      </c>
      <c r="M8" s="106">
        <f>YEAR(M$12)</f>
        <v/>
      </c>
      <c r="N8" s="106">
        <f>YEAR(N$12)</f>
        <v/>
      </c>
      <c r="O8" s="106">
        <f>YEAR(O$12)</f>
        <v/>
      </c>
    </row>
    <row r="9" ht="15" customHeight="1" s="148">
      <c r="B9" s="104" t="inlineStr">
        <is>
          <t>Annual CF Year #</t>
        </is>
      </c>
      <c r="C9" s="105" t="n"/>
      <c r="D9" s="106" t="n">
        <v>0</v>
      </c>
      <c r="E9" s="106" t="n">
        <v>1</v>
      </c>
      <c r="F9" s="106" t="n">
        <v>2</v>
      </c>
      <c r="G9" s="106" t="n">
        <v>3</v>
      </c>
      <c r="H9" s="106" t="n">
        <v>4</v>
      </c>
      <c r="I9" s="106" t="n">
        <v>5</v>
      </c>
      <c r="J9" s="106" t="n">
        <v>6</v>
      </c>
      <c r="K9" s="106" t="n">
        <v>7</v>
      </c>
      <c r="L9" s="106" t="n">
        <v>8</v>
      </c>
      <c r="M9" s="106" t="n">
        <v>9</v>
      </c>
      <c r="N9" s="106" t="n">
        <v>10</v>
      </c>
      <c r="O9" s="106" t="n">
        <v>11</v>
      </c>
    </row>
    <row r="10" ht="15" customHeight="1" s="148">
      <c r="B10" s="104" t="n"/>
      <c r="C10" s="105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</row>
    <row r="11" ht="15" customHeight="1" s="148">
      <c r="B11" s="104" t="n"/>
      <c r="C11" s="105" t="n"/>
      <c r="D11" s="106" t="n"/>
      <c r="E11" s="106" t="n"/>
      <c r="F11" s="106" t="n"/>
      <c r="G11" s="106" t="n"/>
      <c r="H11" s="106" t="n"/>
      <c r="I11" s="106" t="n"/>
      <c r="J11" s="106" t="n"/>
      <c r="K11" s="106" t="n"/>
      <c r="L11" s="106" t="n"/>
      <c r="M11" s="106" t="n"/>
      <c r="N11" s="106" t="n"/>
      <c r="O11" s="106" t="n"/>
    </row>
    <row r="12" ht="18" customHeight="1" s="148">
      <c r="A12" s="107" t="inlineStr">
        <is>
          <t>Date</t>
        </is>
      </c>
      <c r="C12" s="108" t="inlineStr">
        <is>
          <t>TOTAL</t>
        </is>
      </c>
      <c r="D12">
        <f>EOMONTH(Assumptions!$F$11,D$9*12+11)</f>
        <v/>
      </c>
      <c r="E12">
        <f>EOMONTH(Assumptions!$F$11,E$9*12+11)</f>
        <v/>
      </c>
      <c r="F12">
        <f>EOMONTH(Assumptions!$F$11,F$9*12+11)</f>
        <v/>
      </c>
      <c r="G12">
        <f>EOMONTH(Assumptions!$F$11,G$9*12+11)</f>
        <v/>
      </c>
      <c r="H12">
        <f>EOMONTH(Assumptions!$F$11,H$9*12+11)</f>
        <v/>
      </c>
      <c r="I12">
        <f>EOMONTH(Assumptions!$F$11,I$9*12+11)</f>
        <v/>
      </c>
      <c r="J12">
        <f>EOMONTH(Assumptions!$F$11,J$9*12+11)</f>
        <v/>
      </c>
      <c r="K12">
        <f>EOMONTH(Assumptions!$F$11,K$9*12+11)</f>
        <v/>
      </c>
      <c r="L12">
        <f>EOMONTH(Assumptions!$F$11,L$9*12+11)</f>
        <v/>
      </c>
      <c r="M12">
        <f>EOMONTH(Assumptions!$F$11,M$9*12+11)</f>
        <v/>
      </c>
      <c r="N12">
        <f>EOMONTH(Assumptions!$F$11,N$9*12+11)</f>
        <v/>
      </c>
      <c r="O12">
        <f>EOMONTH(Assumptions!$F$11,O$9*12+11)</f>
        <v/>
      </c>
    </row>
    <row r="14" ht="15" customHeight="1" s="148">
      <c r="A14" s="110" t="inlineStr">
        <is>
          <t>General Property Information:</t>
        </is>
      </c>
      <c r="C14" s="111">
        <f>SUM(D14:O14)</f>
        <v/>
      </c>
      <c r="D14" s="111" t="n"/>
      <c r="E14" s="111" t="n"/>
      <c r="F14" s="111" t="n"/>
      <c r="G14" s="111" t="n"/>
      <c r="H14" s="111" t="n"/>
      <c r="I14" s="111" t="n"/>
      <c r="J14" s="111" t="n"/>
      <c r="K14" s="111" t="n"/>
      <c r="L14" s="111" t="n"/>
      <c r="M14" s="111" t="n"/>
      <c r="N14" s="111" t="n"/>
      <c r="O14" s="111" t="n"/>
    </row>
    <row r="15" ht="15" customHeight="1" s="148">
      <c r="A15" s="112" t="inlineStr">
        <is>
          <t>Total Occupied SF</t>
        </is>
      </c>
      <c r="C15" s="111">
        <f>SUM(D15:O15)</f>
        <v/>
      </c>
      <c r="D15" s="111">
        <f>IFERROR(SUMIF('Monthly CF'!$D$9:$DT$9,D$9,'Monthly CF'!$D$15:$DT$15)/IF(D$9=0,1,12),0)</f>
        <v/>
      </c>
      <c r="E15" s="111">
        <f>IFERROR(SUMIF('Monthly CF'!$D$9:$DT$9,E$9,'Monthly CF'!$D$15:$DT$15)/IF(E$9=0,1,12),0)</f>
        <v/>
      </c>
      <c r="F15" s="111">
        <f>IFERROR(SUMIF('Monthly CF'!$D$9:$DT$9,F$9,'Monthly CF'!$D$15:$DT$15)/IF(F$9=0,1,12),0)</f>
        <v/>
      </c>
      <c r="G15" s="111">
        <f>IFERROR(SUMIF('Monthly CF'!$D$9:$DT$9,G$9,'Monthly CF'!$D$15:$DT$15)/IF(G$9=0,1,12),0)</f>
        <v/>
      </c>
      <c r="H15" s="111">
        <f>IFERROR(SUMIF('Monthly CF'!$D$9:$DT$9,H$9,'Monthly CF'!$D$15:$DT$15)/IF(H$9=0,1,12),0)</f>
        <v/>
      </c>
      <c r="I15" s="111">
        <f>IFERROR(SUMIF('Monthly CF'!$D$9:$DT$9,I$9,'Monthly CF'!$D$15:$DT$15)/IF(I$9=0,1,12),0)</f>
        <v/>
      </c>
      <c r="J15" s="111">
        <f>IFERROR(SUMIF('Monthly CF'!$D$9:$DT$9,J$9,'Monthly CF'!$D$15:$DT$15)/IF(J$9=0,1,12),0)</f>
        <v/>
      </c>
      <c r="K15" s="111">
        <f>IFERROR(SUMIF('Monthly CF'!$D$9:$DT$9,K$9,'Monthly CF'!$D$15:$DT$15)/IF(K$9=0,1,12),0)</f>
        <v/>
      </c>
      <c r="L15" s="111">
        <f>IFERROR(SUMIF('Monthly CF'!$D$9:$DT$9,L$9,'Monthly CF'!$D$15:$DT$15)/IF(L$9=0,1,12),0)</f>
        <v/>
      </c>
      <c r="M15" s="111">
        <f>IFERROR(SUMIF('Monthly CF'!$D$9:$DT$9,M$9,'Monthly CF'!$D$15:$DT$15)/IF(M$9=0,1,12),0)</f>
        <v/>
      </c>
      <c r="N15" s="111">
        <f>IFERROR(SUMIF('Monthly CF'!$D$9:$DT$9,N$9,'Monthly CF'!$D$15:$DT$15)/IF(N$9=0,1,12),0)</f>
        <v/>
      </c>
      <c r="O15" s="111">
        <f>IFERROR(SUMIF('Monthly CF'!$D$9:$DT$9,O$9,'Monthly CF'!$D$15:$DT$15)/IF(O$9=0,1,12),0)</f>
        <v/>
      </c>
    </row>
    <row r="16" ht="15" customHeight="1" s="148">
      <c r="A16" s="112" t="inlineStr">
        <is>
          <t>Average Occupancy - Leasable SF</t>
        </is>
      </c>
      <c r="C16" s="113">
        <f>SUM(D16:O16)</f>
        <v/>
      </c>
      <c r="D16" s="113">
        <f>IF(Assumptions!$F$13=0,0,D$15/Assumptions!$F$13)</f>
        <v/>
      </c>
      <c r="E16" s="113">
        <f>IF(Assumptions!$F$13=0,0,E$15/Assumptions!$F$13)</f>
        <v/>
      </c>
      <c r="F16" s="113">
        <f>IF(Assumptions!$F$13=0,0,F$15/Assumptions!$F$13)</f>
        <v/>
      </c>
      <c r="G16" s="113">
        <f>IF(Assumptions!$F$13=0,0,G$15/Assumptions!$F$13)</f>
        <v/>
      </c>
      <c r="H16" s="113">
        <f>IF(Assumptions!$F$13=0,0,H$15/Assumptions!$F$13)</f>
        <v/>
      </c>
      <c r="I16" s="113">
        <f>IF(Assumptions!$F$13=0,0,I$15/Assumptions!$F$13)</f>
        <v/>
      </c>
      <c r="J16" s="113">
        <f>IF(Assumptions!$F$13=0,0,J$15/Assumptions!$F$13)</f>
        <v/>
      </c>
      <c r="K16" s="113">
        <f>IF(Assumptions!$F$13=0,0,K$15/Assumptions!$F$13)</f>
        <v/>
      </c>
      <c r="L16" s="113">
        <f>IF(Assumptions!$F$13=0,0,L$15/Assumptions!$F$13)</f>
        <v/>
      </c>
      <c r="M16" s="113">
        <f>IF(Assumptions!$F$13=0,0,M$15/Assumptions!$F$13)</f>
        <v/>
      </c>
      <c r="N16" s="113">
        <f>IF(Assumptions!$F$13=0,0,N$15/Assumptions!$F$13)</f>
        <v/>
      </c>
      <c r="O16" s="113">
        <f>IF(Assumptions!$F$13=0,0,O$15/Assumptions!$F$13)</f>
        <v/>
      </c>
    </row>
    <row r="17" ht="15" customHeight="1" s="148">
      <c r="A17" s="112" t="inlineStr">
        <is>
          <t>Leases Expiring - SF</t>
        </is>
      </c>
      <c r="C17" s="111">
        <f>SUM(D17:O17)</f>
        <v/>
      </c>
      <c r="D17" s="111">
        <f>SUMIF('Monthly CF'!$D$9:$DT$9,D$9,'Monthly CF'!$D$17:$DT$17)</f>
        <v/>
      </c>
      <c r="E17" s="111">
        <f>SUMIF('Monthly CF'!$D$9:$DT$9,E$9,'Monthly CF'!$D$17:$DT$17)</f>
        <v/>
      </c>
      <c r="F17" s="111">
        <f>SUMIF('Monthly CF'!$D$9:$DT$9,F$9,'Monthly CF'!$D$17:$DT$17)</f>
        <v/>
      </c>
      <c r="G17" s="111">
        <f>SUMIF('Monthly CF'!$D$9:$DT$9,G$9,'Monthly CF'!$D$17:$DT$17)</f>
        <v/>
      </c>
      <c r="H17" s="111">
        <f>SUMIF('Monthly CF'!$D$9:$DT$9,H$9,'Monthly CF'!$D$17:$DT$17)</f>
        <v/>
      </c>
      <c r="I17" s="111">
        <f>SUMIF('Monthly CF'!$D$9:$DT$9,I$9,'Monthly CF'!$D$17:$DT$17)</f>
        <v/>
      </c>
      <c r="J17" s="111">
        <f>SUMIF('Monthly CF'!$D$9:$DT$9,J$9,'Monthly CF'!$D$17:$DT$17)</f>
        <v/>
      </c>
      <c r="K17" s="111">
        <f>SUMIF('Monthly CF'!$D$9:$DT$9,K$9,'Monthly CF'!$D$17:$DT$17)</f>
        <v/>
      </c>
      <c r="L17" s="111">
        <f>SUMIF('Monthly CF'!$D$9:$DT$9,L$9,'Monthly CF'!$D$17:$DT$17)</f>
        <v/>
      </c>
      <c r="M17" s="111">
        <f>SUMIF('Monthly CF'!$D$9:$DT$9,M$9,'Monthly CF'!$D$17:$DT$17)</f>
        <v/>
      </c>
      <c r="N17" s="111">
        <f>SUMIF('Monthly CF'!$D$9:$DT$9,N$9,'Monthly CF'!$D$17:$DT$17)</f>
        <v/>
      </c>
      <c r="O17" s="111">
        <f>SUMIF('Monthly CF'!$D$9:$DT$9,O$9,'Monthly CF'!$D$17:$DT$17)</f>
        <v/>
      </c>
    </row>
    <row r="18" ht="15" customHeight="1" s="148">
      <c r="A18" s="112" t="inlineStr">
        <is>
          <t>Leases Expiring - % (Remeasured)</t>
        </is>
      </c>
      <c r="C18" s="113">
        <f>SUM(D18:O18)</f>
        <v/>
      </c>
      <c r="D18" s="113">
        <f>IF(Assumptions!$F$13=0,0,D$17/Assumptions!$F$13)</f>
        <v/>
      </c>
      <c r="E18" s="113">
        <f>IF(Assumptions!$F$13=0,0,E$17/Assumptions!$F$13)</f>
        <v/>
      </c>
      <c r="F18" s="113">
        <f>IF(Assumptions!$F$13=0,0,F$17/Assumptions!$F$13)</f>
        <v/>
      </c>
      <c r="G18" s="113">
        <f>IF(Assumptions!$F$13=0,0,G$17/Assumptions!$F$13)</f>
        <v/>
      </c>
      <c r="H18" s="113">
        <f>IF(Assumptions!$F$13=0,0,H$17/Assumptions!$F$13)</f>
        <v/>
      </c>
      <c r="I18" s="113">
        <f>IF(Assumptions!$F$13=0,0,I$17/Assumptions!$F$13)</f>
        <v/>
      </c>
      <c r="J18" s="113">
        <f>IF(Assumptions!$F$13=0,0,J$17/Assumptions!$F$13)</f>
        <v/>
      </c>
      <c r="K18" s="113">
        <f>IF(Assumptions!$F$13=0,0,K$17/Assumptions!$F$13)</f>
        <v/>
      </c>
      <c r="L18" s="113">
        <f>IF(Assumptions!$F$13=0,0,L$17/Assumptions!$F$13)</f>
        <v/>
      </c>
      <c r="M18" s="113">
        <f>IF(Assumptions!$F$13=0,0,M$17/Assumptions!$F$13)</f>
        <v/>
      </c>
      <c r="N18" s="113">
        <f>IF(Assumptions!$F$13=0,0,N$17/Assumptions!$F$13)</f>
        <v/>
      </c>
      <c r="O18" s="113">
        <f>IF(Assumptions!$F$13=0,0,O$17/Assumptions!$F$13)</f>
        <v/>
      </c>
    </row>
    <row r="19" ht="15" customHeight="1" s="148">
      <c r="C19">
        <f>SUM(D19:O19)</f>
        <v/>
      </c>
    </row>
    <row r="20" ht="15" customHeight="1" s="148">
      <c r="A20" s="110" t="inlineStr">
        <is>
          <t>Inflation</t>
        </is>
      </c>
      <c r="C20" s="111">
        <f>SUM(D20:O20)</f>
        <v/>
      </c>
      <c r="D20" s="111" t="n"/>
      <c r="E20" s="111" t="n"/>
      <c r="F20" s="111" t="n"/>
      <c r="G20" s="111" t="n"/>
      <c r="H20" s="111" t="n"/>
      <c r="I20" s="111" t="n"/>
      <c r="J20" s="111" t="n"/>
      <c r="K20" s="111" t="n"/>
      <c r="L20" s="111" t="n"/>
      <c r="M20" s="111" t="n"/>
      <c r="N20" s="111" t="n"/>
      <c r="O20" s="111" t="n"/>
    </row>
    <row r="21" ht="15" customHeight="1" s="148">
      <c r="C21">
        <f>SUM(D21:O21)</f>
        <v/>
      </c>
    </row>
    <row r="22" ht="15" customHeight="1" s="148">
      <c r="A22" s="110" t="inlineStr">
        <is>
          <t>Rent Revenue</t>
        </is>
      </c>
      <c r="C22" s="111">
        <f>SUM(D22:O22)</f>
        <v/>
      </c>
      <c r="D22" s="111" t="n"/>
      <c r="E22" s="111" t="n"/>
      <c r="F22" s="111" t="n"/>
      <c r="G22" s="111" t="n"/>
      <c r="H22" s="111" t="n"/>
      <c r="I22" s="111" t="n"/>
      <c r="J22" s="111" t="n"/>
      <c r="K22" s="111" t="n"/>
      <c r="L22" s="111" t="n"/>
      <c r="M22" s="111" t="n"/>
      <c r="N22" s="111" t="n"/>
      <c r="O22" s="111" t="n"/>
    </row>
    <row r="23" ht="15" customHeight="1" s="148">
      <c r="A23" s="112" t="inlineStr">
        <is>
          <t>Potential Base Rent</t>
        </is>
      </c>
      <c r="C23" s="228">
        <f>SUM(D23:O23)</f>
        <v/>
      </c>
      <c r="D23" s="228">
        <f>SUMIF('Monthly CF'!$D$9:$DT$9,D$9,'Monthly CF'!$D$23:$DT$23)</f>
        <v/>
      </c>
      <c r="E23" s="228">
        <f>SUMIF('Monthly CF'!$D$9:$DT$9,E$9,'Monthly CF'!$D$23:$DT$23)</f>
        <v/>
      </c>
      <c r="F23" s="228">
        <f>SUMIF('Monthly CF'!$D$9:$DT$9,F$9,'Monthly CF'!$D$23:$DT$23)</f>
        <v/>
      </c>
      <c r="G23" s="228">
        <f>SUMIF('Monthly CF'!$D$9:$DT$9,G$9,'Monthly CF'!$D$23:$DT$23)</f>
        <v/>
      </c>
      <c r="H23" s="228">
        <f>SUMIF('Monthly CF'!$D$9:$DT$9,H$9,'Monthly CF'!$D$23:$DT$23)</f>
        <v/>
      </c>
      <c r="I23" s="228">
        <f>SUMIF('Monthly CF'!$D$9:$DT$9,I$9,'Monthly CF'!$D$23:$DT$23)</f>
        <v/>
      </c>
      <c r="J23" s="228">
        <f>SUMIF('Monthly CF'!$D$9:$DT$9,J$9,'Monthly CF'!$D$23:$DT$23)</f>
        <v/>
      </c>
      <c r="K23" s="228">
        <f>SUMIF('Monthly CF'!$D$9:$DT$9,K$9,'Monthly CF'!$D$23:$DT$23)</f>
        <v/>
      </c>
      <c r="L23" s="228">
        <f>SUMIF('Monthly CF'!$D$9:$DT$9,L$9,'Monthly CF'!$D$23:$DT$23)</f>
        <v/>
      </c>
      <c r="M23" s="228">
        <f>SUMIF('Monthly CF'!$D$9:$DT$9,M$9,'Monthly CF'!$D$23:$DT$23)</f>
        <v/>
      </c>
      <c r="N23" s="228">
        <f>SUMIF('Monthly CF'!$D$9:$DT$9,N$9,'Monthly CF'!$D$23:$DT$23)</f>
        <v/>
      </c>
      <c r="O23" s="228">
        <f>SUMIF('Monthly CF'!$D$9:$DT$9,O$9,'Monthly CF'!$D$23:$DT$23)</f>
        <v/>
      </c>
    </row>
    <row r="24" ht="15" customHeight="1" s="148">
      <c r="A24" s="112" t="inlineStr">
        <is>
          <t>Scheduled Market Base Rent</t>
        </is>
      </c>
      <c r="C24" s="228">
        <f>SUM(D24:O24)</f>
        <v/>
      </c>
      <c r="D24" s="228">
        <f>SUMIF('Monthly CF'!$D$9:$DT$9,D$9,'Monthly CF'!$D$24:$DT$24)</f>
        <v/>
      </c>
      <c r="E24" s="228">
        <f>SUMIF('Monthly CF'!$D$9:$DT$9,E$9,'Monthly CF'!$D$24:$DT$24)</f>
        <v/>
      </c>
      <c r="F24" s="228">
        <f>SUMIF('Monthly CF'!$D$9:$DT$9,F$9,'Monthly CF'!$D$24:$DT$24)</f>
        <v/>
      </c>
      <c r="G24" s="228">
        <f>SUMIF('Monthly CF'!$D$9:$DT$9,G$9,'Monthly CF'!$D$24:$DT$24)</f>
        <v/>
      </c>
      <c r="H24" s="228">
        <f>SUMIF('Monthly CF'!$D$9:$DT$9,H$9,'Monthly CF'!$D$24:$DT$24)</f>
        <v/>
      </c>
      <c r="I24" s="228">
        <f>SUMIF('Monthly CF'!$D$9:$DT$9,I$9,'Monthly CF'!$D$24:$DT$24)</f>
        <v/>
      </c>
      <c r="J24" s="228">
        <f>SUMIF('Monthly CF'!$D$9:$DT$9,J$9,'Monthly CF'!$D$24:$DT$24)</f>
        <v/>
      </c>
      <c r="K24" s="228">
        <f>SUMIF('Monthly CF'!$D$9:$DT$9,K$9,'Monthly CF'!$D$24:$DT$24)</f>
        <v/>
      </c>
      <c r="L24" s="228">
        <f>SUMIF('Monthly CF'!$D$9:$DT$9,L$9,'Monthly CF'!$D$24:$DT$24)</f>
        <v/>
      </c>
      <c r="M24" s="228">
        <f>SUMIF('Monthly CF'!$D$9:$DT$9,M$9,'Monthly CF'!$D$24:$DT$24)</f>
        <v/>
      </c>
      <c r="N24" s="228">
        <f>SUMIF('Monthly CF'!$D$9:$DT$9,N$9,'Monthly CF'!$D$24:$DT$24)</f>
        <v/>
      </c>
      <c r="O24" s="228">
        <f>SUMIF('Monthly CF'!$D$9:$DT$9,O$9,'Monthly CF'!$D$24:$DT$24)</f>
        <v/>
      </c>
    </row>
    <row r="25" ht="15" customHeight="1" s="148">
      <c r="A25" s="110" t="inlineStr">
        <is>
          <t>Total Tenant Revenue</t>
        </is>
      </c>
      <c r="C25" s="228">
        <f>SUM(D25:O25)</f>
        <v/>
      </c>
      <c r="D25" s="228">
        <f>SUMIF('Monthly CF'!$D$9:$DT$9,D$9,'Monthly CF'!$D$25:$DT$25)</f>
        <v/>
      </c>
      <c r="E25" s="228">
        <f>SUMIF('Monthly CF'!$D$9:$DT$9,E$9,'Monthly CF'!$D$25:$DT$25)</f>
        <v/>
      </c>
      <c r="F25" s="228">
        <f>SUMIF('Monthly CF'!$D$9:$DT$9,F$9,'Monthly CF'!$D$25:$DT$25)</f>
        <v/>
      </c>
      <c r="G25" s="228">
        <f>SUMIF('Monthly CF'!$D$9:$DT$9,G$9,'Monthly CF'!$D$25:$DT$25)</f>
        <v/>
      </c>
      <c r="H25" s="228">
        <f>SUMIF('Monthly CF'!$D$9:$DT$9,H$9,'Monthly CF'!$D$25:$DT$25)</f>
        <v/>
      </c>
      <c r="I25" s="228">
        <f>SUMIF('Monthly CF'!$D$9:$DT$9,I$9,'Monthly CF'!$D$25:$DT$25)</f>
        <v/>
      </c>
      <c r="J25" s="228">
        <f>SUMIF('Monthly CF'!$D$9:$DT$9,J$9,'Monthly CF'!$D$25:$DT$25)</f>
        <v/>
      </c>
      <c r="K25" s="228">
        <f>SUMIF('Monthly CF'!$D$9:$DT$9,K$9,'Monthly CF'!$D$25:$DT$25)</f>
        <v/>
      </c>
      <c r="L25" s="228">
        <f>SUMIF('Monthly CF'!$D$9:$DT$9,L$9,'Monthly CF'!$D$25:$DT$25)</f>
        <v/>
      </c>
      <c r="M25" s="228">
        <f>SUMIF('Monthly CF'!$D$9:$DT$9,M$9,'Monthly CF'!$D$25:$DT$25)</f>
        <v/>
      </c>
      <c r="N25" s="228">
        <f>SUMIF('Monthly CF'!$D$9:$DT$9,N$9,'Monthly CF'!$D$25:$DT$25)</f>
        <v/>
      </c>
      <c r="O25" s="228">
        <f>SUMIF('Monthly CF'!$D$9:$DT$9,O$9,'Monthly CF'!$D$25:$DT$25)</f>
        <v/>
      </c>
    </row>
    <row r="26" ht="15" customHeight="1" s="148">
      <c r="C26">
        <f>SUM(D26:O26)</f>
        <v/>
      </c>
    </row>
    <row r="27" ht="15" customHeight="1" s="148">
      <c r="A27" s="112" t="inlineStr">
        <is>
          <t>Total Base Expense Recoveries</t>
        </is>
      </c>
      <c r="C27" s="228">
        <f>SUM(D27:O27)</f>
        <v/>
      </c>
      <c r="D27" s="228">
        <f>SUMIF('Monthly CF'!$D$9:$DT$9,D$9,'Monthly CF'!$D$27:$DT$27)</f>
        <v/>
      </c>
      <c r="E27" s="228">
        <f>SUMIF('Monthly CF'!$D$9:$DT$9,E$9,'Monthly CF'!$D$27:$DT$27)</f>
        <v/>
      </c>
      <c r="F27" s="228">
        <f>SUMIF('Monthly CF'!$D$9:$DT$9,F$9,'Monthly CF'!$D$27:$DT$27)</f>
        <v/>
      </c>
      <c r="G27" s="228">
        <f>SUMIF('Monthly CF'!$D$9:$DT$9,G$9,'Monthly CF'!$D$27:$DT$27)</f>
        <v/>
      </c>
      <c r="H27" s="228">
        <f>SUMIF('Monthly CF'!$D$9:$DT$9,H$9,'Monthly CF'!$D$27:$DT$27)</f>
        <v/>
      </c>
      <c r="I27" s="228">
        <f>SUMIF('Monthly CF'!$D$9:$DT$9,I$9,'Monthly CF'!$D$27:$DT$27)</f>
        <v/>
      </c>
      <c r="J27" s="228">
        <f>SUMIF('Monthly CF'!$D$9:$DT$9,J$9,'Monthly CF'!$D$27:$DT$27)</f>
        <v/>
      </c>
      <c r="K27" s="228">
        <f>SUMIF('Monthly CF'!$D$9:$DT$9,K$9,'Monthly CF'!$D$27:$DT$27)</f>
        <v/>
      </c>
      <c r="L27" s="228">
        <f>SUMIF('Monthly CF'!$D$9:$DT$9,L$9,'Monthly CF'!$D$27:$DT$27)</f>
        <v/>
      </c>
      <c r="M27" s="228">
        <f>SUMIF('Monthly CF'!$D$9:$DT$9,M$9,'Monthly CF'!$D$27:$DT$27)</f>
        <v/>
      </c>
      <c r="N27" s="228">
        <f>SUMIF('Monthly CF'!$D$9:$DT$9,N$9,'Monthly CF'!$D$27:$DT$27)</f>
        <v/>
      </c>
      <c r="O27" s="228">
        <f>SUMIF('Monthly CF'!$D$9:$DT$9,O$9,'Monthly CF'!$D$27:$DT$27)</f>
        <v/>
      </c>
    </row>
    <row r="28" ht="15" customHeight="1" s="148">
      <c r="A28" s="112" t="inlineStr">
        <is>
          <t>Total Market Expense Recoveries</t>
        </is>
      </c>
      <c r="C28" s="228">
        <f>SUM(D28:O28)</f>
        <v/>
      </c>
      <c r="D28" s="228">
        <f>SUMIF('Monthly CF'!$D$9:$DT$9,D$9,'Monthly CF'!$D$28:$DT$28)</f>
        <v/>
      </c>
      <c r="E28" s="228">
        <f>SUMIF('Monthly CF'!$D$9:$DT$9,E$9,'Monthly CF'!$D$28:$DT$28)</f>
        <v/>
      </c>
      <c r="F28" s="228">
        <f>SUMIF('Monthly CF'!$D$9:$DT$9,F$9,'Monthly CF'!$D$28:$DT$28)</f>
        <v/>
      </c>
      <c r="G28" s="228">
        <f>SUMIF('Monthly CF'!$D$9:$DT$9,G$9,'Monthly CF'!$D$28:$DT$28)</f>
        <v/>
      </c>
      <c r="H28" s="228">
        <f>SUMIF('Monthly CF'!$D$9:$DT$9,H$9,'Monthly CF'!$D$28:$DT$28)</f>
        <v/>
      </c>
      <c r="I28" s="228">
        <f>SUMIF('Monthly CF'!$D$9:$DT$9,I$9,'Monthly CF'!$D$28:$DT$28)</f>
        <v/>
      </c>
      <c r="J28" s="228">
        <f>SUMIF('Monthly CF'!$D$9:$DT$9,J$9,'Monthly CF'!$D$28:$DT$28)</f>
        <v/>
      </c>
      <c r="K28" s="228">
        <f>SUMIF('Monthly CF'!$D$9:$DT$9,K$9,'Monthly CF'!$D$28:$DT$28)</f>
        <v/>
      </c>
      <c r="L28" s="228">
        <f>SUMIF('Monthly CF'!$D$9:$DT$9,L$9,'Monthly CF'!$D$28:$DT$28)</f>
        <v/>
      </c>
      <c r="M28" s="228">
        <f>SUMIF('Monthly CF'!$D$9:$DT$9,M$9,'Monthly CF'!$D$28:$DT$28)</f>
        <v/>
      </c>
      <c r="N28" s="228">
        <f>SUMIF('Monthly CF'!$D$9:$DT$9,N$9,'Monthly CF'!$D$28:$DT$28)</f>
        <v/>
      </c>
      <c r="O28" s="228">
        <f>SUMIF('Monthly CF'!$D$9:$DT$9,O$9,'Monthly CF'!$D$28:$DT$28)</f>
        <v/>
      </c>
    </row>
    <row r="29" ht="15" customHeight="1" s="148">
      <c r="A29" s="110" t="inlineStr">
        <is>
          <t>Total Expense Recoveries</t>
        </is>
      </c>
      <c r="C29" s="228">
        <f>SUM(D29:O29)</f>
        <v/>
      </c>
      <c r="D29" s="228">
        <f>SUMIF('Monthly CF'!$D$9:$DT$9,D$9,'Monthly CF'!$D$29:$DT$29)</f>
        <v/>
      </c>
      <c r="E29" s="228">
        <f>SUMIF('Monthly CF'!$D$9:$DT$9,E$9,'Monthly CF'!$D$29:$DT$29)</f>
        <v/>
      </c>
      <c r="F29" s="228">
        <f>SUMIF('Monthly CF'!$D$9:$DT$9,F$9,'Monthly CF'!$D$29:$DT$29)</f>
        <v/>
      </c>
      <c r="G29" s="228">
        <f>SUMIF('Monthly CF'!$D$9:$DT$9,G$9,'Monthly CF'!$D$29:$DT$29)</f>
        <v/>
      </c>
      <c r="H29" s="228">
        <f>SUMIF('Monthly CF'!$D$9:$DT$9,H$9,'Monthly CF'!$D$29:$DT$29)</f>
        <v/>
      </c>
      <c r="I29" s="228">
        <f>SUMIF('Monthly CF'!$D$9:$DT$9,I$9,'Monthly CF'!$D$29:$DT$29)</f>
        <v/>
      </c>
      <c r="J29" s="228">
        <f>SUMIF('Monthly CF'!$D$9:$DT$9,J$9,'Monthly CF'!$D$29:$DT$29)</f>
        <v/>
      </c>
      <c r="K29" s="228">
        <f>SUMIF('Monthly CF'!$D$9:$DT$9,K$9,'Monthly CF'!$D$29:$DT$29)</f>
        <v/>
      </c>
      <c r="L29" s="228">
        <f>SUMIF('Monthly CF'!$D$9:$DT$9,L$9,'Monthly CF'!$D$29:$DT$29)</f>
        <v/>
      </c>
      <c r="M29" s="228">
        <f>SUMIF('Monthly CF'!$D$9:$DT$9,M$9,'Monthly CF'!$D$29:$DT$29)</f>
        <v/>
      </c>
      <c r="N29" s="228">
        <f>SUMIF('Monthly CF'!$D$9:$DT$9,N$9,'Monthly CF'!$D$29:$DT$29)</f>
        <v/>
      </c>
      <c r="O29" s="228">
        <f>SUMIF('Monthly CF'!$D$9:$DT$9,O$9,'Monthly CF'!$D$29:$DT$29)</f>
        <v/>
      </c>
    </row>
    <row r="30" ht="15" customHeight="1" s="148">
      <c r="A30" s="110" t="inlineStr">
        <is>
          <t>Total Other Revenue</t>
        </is>
      </c>
      <c r="C30" s="228">
        <f>SUM(D30:O30)</f>
        <v/>
      </c>
      <c r="D30" s="228">
        <f>SUMIF('Monthly CF'!$D$9:$DT$9,D$9,'Monthly CF'!$D$30:$DT$30)</f>
        <v/>
      </c>
      <c r="E30" s="228">
        <f>SUMIF('Monthly CF'!$D$9:$DT$9,E$9,'Monthly CF'!$D$30:$DT$30)</f>
        <v/>
      </c>
      <c r="F30" s="228">
        <f>SUMIF('Monthly CF'!$D$9:$DT$9,F$9,'Monthly CF'!$D$30:$DT$30)</f>
        <v/>
      </c>
      <c r="G30" s="228">
        <f>SUMIF('Monthly CF'!$D$9:$DT$9,G$9,'Monthly CF'!$D$30:$DT$30)</f>
        <v/>
      </c>
      <c r="H30" s="228">
        <f>SUMIF('Monthly CF'!$D$9:$DT$9,H$9,'Monthly CF'!$D$30:$DT$30)</f>
        <v/>
      </c>
      <c r="I30" s="228">
        <f>SUMIF('Monthly CF'!$D$9:$DT$9,I$9,'Monthly CF'!$D$30:$DT$30)</f>
        <v/>
      </c>
      <c r="J30" s="228">
        <f>SUMIF('Monthly CF'!$D$9:$DT$9,J$9,'Monthly CF'!$D$30:$DT$30)</f>
        <v/>
      </c>
      <c r="K30" s="228">
        <f>SUMIF('Monthly CF'!$D$9:$DT$9,K$9,'Monthly CF'!$D$30:$DT$30)</f>
        <v/>
      </c>
      <c r="L30" s="228">
        <f>SUMIF('Monthly CF'!$D$9:$DT$9,L$9,'Monthly CF'!$D$30:$DT$30)</f>
        <v/>
      </c>
      <c r="M30" s="228">
        <f>SUMIF('Monthly CF'!$D$9:$DT$9,M$9,'Monthly CF'!$D$30:$DT$30)</f>
        <v/>
      </c>
      <c r="N30" s="228">
        <f>SUMIF('Monthly CF'!$D$9:$DT$9,N$9,'Monthly CF'!$D$30:$DT$30)</f>
        <v/>
      </c>
      <c r="O30" s="228">
        <f>SUMIF('Monthly CF'!$D$9:$DT$9,O$9,'Monthly CF'!$D$30:$DT$30)</f>
        <v/>
      </c>
    </row>
    <row r="31" ht="15" customHeight="1" s="148">
      <c r="A31" s="110" t="inlineStr">
        <is>
          <t>Gross Rental Revenue</t>
        </is>
      </c>
      <c r="C31" s="228">
        <f>SUM(D31:O31)</f>
        <v/>
      </c>
      <c r="D31" s="228">
        <f>SUMIF('Monthly CF'!$D$9:$DT$9,D$9,'Monthly CF'!$D$31:$DT$31)</f>
        <v/>
      </c>
      <c r="E31" s="228">
        <f>SUMIF('Monthly CF'!$D$9:$DT$9,E$9,'Monthly CF'!$D$31:$DT$31)</f>
        <v/>
      </c>
      <c r="F31" s="228">
        <f>SUMIF('Monthly CF'!$D$9:$DT$9,F$9,'Monthly CF'!$D$31:$DT$31)</f>
        <v/>
      </c>
      <c r="G31" s="228">
        <f>SUMIF('Monthly CF'!$D$9:$DT$9,G$9,'Monthly CF'!$D$31:$DT$31)</f>
        <v/>
      </c>
      <c r="H31" s="228">
        <f>SUMIF('Monthly CF'!$D$9:$DT$9,H$9,'Monthly CF'!$D$31:$DT$31)</f>
        <v/>
      </c>
      <c r="I31" s="228">
        <f>SUMIF('Monthly CF'!$D$9:$DT$9,I$9,'Monthly CF'!$D$31:$DT$31)</f>
        <v/>
      </c>
      <c r="J31" s="228">
        <f>SUMIF('Monthly CF'!$D$9:$DT$9,J$9,'Monthly CF'!$D$31:$DT$31)</f>
        <v/>
      </c>
      <c r="K31" s="228">
        <f>SUMIF('Monthly CF'!$D$9:$DT$9,K$9,'Monthly CF'!$D$31:$DT$31)</f>
        <v/>
      </c>
      <c r="L31" s="228">
        <f>SUMIF('Monthly CF'!$D$9:$DT$9,L$9,'Monthly CF'!$D$31:$DT$31)</f>
        <v/>
      </c>
      <c r="M31" s="228">
        <f>SUMIF('Monthly CF'!$D$9:$DT$9,M$9,'Monthly CF'!$D$31:$DT$31)</f>
        <v/>
      </c>
      <c r="N31" s="228">
        <f>SUMIF('Monthly CF'!$D$9:$DT$9,N$9,'Monthly CF'!$D$31:$DT$31)</f>
        <v/>
      </c>
      <c r="O31" s="228">
        <f>SUMIF('Monthly CF'!$D$9:$DT$9,O$9,'Monthly CF'!$D$31:$DT$31)</f>
        <v/>
      </c>
    </row>
    <row r="32" ht="15" customHeight="1" s="148">
      <c r="C32">
        <f>SUM(D32:O32)</f>
        <v/>
      </c>
    </row>
    <row r="33" ht="15" customHeight="1" s="148">
      <c r="A33" s="112" t="inlineStr">
        <is>
          <t>General Vacancy</t>
        </is>
      </c>
      <c r="C33" s="228">
        <f>SUM(D33:O33)</f>
        <v/>
      </c>
      <c r="D33" s="228">
        <f>SUMIF('Monthly CF'!$D$9:$DT$9,D$9,'Monthly CF'!$D$33:$DT$33)</f>
        <v/>
      </c>
      <c r="E33" s="228">
        <f>SUMIF('Monthly CF'!$D$9:$DT$9,E$9,'Monthly CF'!$D$33:$DT$33)</f>
        <v/>
      </c>
      <c r="F33" s="228">
        <f>SUMIF('Monthly CF'!$D$9:$DT$9,F$9,'Monthly CF'!$D$33:$DT$33)</f>
        <v/>
      </c>
      <c r="G33" s="228">
        <f>SUMIF('Monthly CF'!$D$9:$DT$9,G$9,'Monthly CF'!$D$33:$DT$33)</f>
        <v/>
      </c>
      <c r="H33" s="228">
        <f>SUMIF('Monthly CF'!$D$9:$DT$9,H$9,'Monthly CF'!$D$33:$DT$33)</f>
        <v/>
      </c>
      <c r="I33" s="228">
        <f>SUMIF('Monthly CF'!$D$9:$DT$9,I$9,'Monthly CF'!$D$33:$DT$33)</f>
        <v/>
      </c>
      <c r="J33" s="228">
        <f>SUMIF('Monthly CF'!$D$9:$DT$9,J$9,'Monthly CF'!$D$33:$DT$33)</f>
        <v/>
      </c>
      <c r="K33" s="228">
        <f>SUMIF('Monthly CF'!$D$9:$DT$9,K$9,'Monthly CF'!$D$33:$DT$33)</f>
        <v/>
      </c>
      <c r="L33" s="228">
        <f>SUMIF('Monthly CF'!$D$9:$DT$9,L$9,'Monthly CF'!$D$33:$DT$33)</f>
        <v/>
      </c>
      <c r="M33" s="228">
        <f>SUMIF('Monthly CF'!$D$9:$DT$9,M$9,'Monthly CF'!$D$33:$DT$33)</f>
        <v/>
      </c>
      <c r="N33" s="228">
        <f>SUMIF('Monthly CF'!$D$9:$DT$9,N$9,'Monthly CF'!$D$33:$DT$33)</f>
        <v/>
      </c>
      <c r="O33" s="228">
        <f>SUMIF('Monthly CF'!$D$9:$DT$9,O$9,'Monthly CF'!$D$33:$DT$33)</f>
        <v/>
      </c>
    </row>
    <row r="34" ht="15" customHeight="1" s="148">
      <c r="A34" s="112" t="inlineStr">
        <is>
          <t>Credit &amp; Collections Loss</t>
        </is>
      </c>
      <c r="C34" s="228">
        <f>SUM(D34:O34)</f>
        <v/>
      </c>
      <c r="D34" s="228">
        <f>SUMIF('Monthly CF'!$D$9:$DT$9,D$9,'Monthly CF'!$D$34:$DT$34)</f>
        <v/>
      </c>
      <c r="E34" s="228">
        <f>SUMIF('Monthly CF'!$D$9:$DT$9,E$9,'Monthly CF'!$D$34:$DT$34)</f>
        <v/>
      </c>
      <c r="F34" s="228">
        <f>SUMIF('Monthly CF'!$D$9:$DT$9,F$9,'Monthly CF'!$D$34:$DT$34)</f>
        <v/>
      </c>
      <c r="G34" s="228">
        <f>SUMIF('Monthly CF'!$D$9:$DT$9,G$9,'Monthly CF'!$D$34:$DT$34)</f>
        <v/>
      </c>
      <c r="H34" s="228">
        <f>SUMIF('Monthly CF'!$D$9:$DT$9,H$9,'Monthly CF'!$D$34:$DT$34)</f>
        <v/>
      </c>
      <c r="I34" s="228">
        <f>SUMIF('Monthly CF'!$D$9:$DT$9,I$9,'Monthly CF'!$D$34:$DT$34)</f>
        <v/>
      </c>
      <c r="J34" s="228">
        <f>SUMIF('Monthly CF'!$D$9:$DT$9,J$9,'Monthly CF'!$D$34:$DT$34)</f>
        <v/>
      </c>
      <c r="K34" s="228">
        <f>SUMIF('Monthly CF'!$D$9:$DT$9,K$9,'Monthly CF'!$D$34:$DT$34)</f>
        <v/>
      </c>
      <c r="L34" s="228">
        <f>SUMIF('Monthly CF'!$D$9:$DT$9,L$9,'Monthly CF'!$D$34:$DT$34)</f>
        <v/>
      </c>
      <c r="M34" s="228">
        <f>SUMIF('Monthly CF'!$D$9:$DT$9,M$9,'Monthly CF'!$D$34:$DT$34)</f>
        <v/>
      </c>
      <c r="N34" s="228">
        <f>SUMIF('Monthly CF'!$D$9:$DT$9,N$9,'Monthly CF'!$D$34:$DT$34)</f>
        <v/>
      </c>
      <c r="O34" s="228">
        <f>SUMIF('Monthly CF'!$D$9:$DT$9,O$9,'Monthly CF'!$D$34:$DT$34)</f>
        <v/>
      </c>
    </row>
    <row r="35" ht="15" customHeight="1" s="148">
      <c r="A35" s="110" t="inlineStr">
        <is>
          <t>Effective Gross Income</t>
        </is>
      </c>
      <c r="C35" s="228">
        <f>SUM(D35:O35)</f>
        <v/>
      </c>
      <c r="D35" s="228">
        <f>SUMIF('Monthly CF'!$D$9:$DT$9,D$9,'Monthly CF'!$D$35:$DT$35)</f>
        <v/>
      </c>
      <c r="E35" s="228">
        <f>SUMIF('Monthly CF'!$D$9:$DT$9,E$9,'Monthly CF'!$D$35:$DT$35)</f>
        <v/>
      </c>
      <c r="F35" s="228">
        <f>SUMIF('Monthly CF'!$D$9:$DT$9,F$9,'Monthly CF'!$D$35:$DT$35)</f>
        <v/>
      </c>
      <c r="G35" s="228">
        <f>SUMIF('Monthly CF'!$D$9:$DT$9,G$9,'Monthly CF'!$D$35:$DT$35)</f>
        <v/>
      </c>
      <c r="H35" s="228">
        <f>SUMIF('Monthly CF'!$D$9:$DT$9,H$9,'Monthly CF'!$D$35:$DT$35)</f>
        <v/>
      </c>
      <c r="I35" s="228">
        <f>SUMIF('Monthly CF'!$D$9:$DT$9,I$9,'Monthly CF'!$D$35:$DT$35)</f>
        <v/>
      </c>
      <c r="J35" s="228">
        <f>SUMIF('Monthly CF'!$D$9:$DT$9,J$9,'Monthly CF'!$D$35:$DT$35)</f>
        <v/>
      </c>
      <c r="K35" s="228">
        <f>SUMIF('Monthly CF'!$D$9:$DT$9,K$9,'Monthly CF'!$D$35:$DT$35)</f>
        <v/>
      </c>
      <c r="L35" s="228">
        <f>SUMIF('Monthly CF'!$D$9:$DT$9,L$9,'Monthly CF'!$D$35:$DT$35)</f>
        <v/>
      </c>
      <c r="M35" s="228">
        <f>SUMIF('Monthly CF'!$D$9:$DT$9,M$9,'Monthly CF'!$D$35:$DT$35)</f>
        <v/>
      </c>
      <c r="N35" s="228">
        <f>SUMIF('Monthly CF'!$D$9:$DT$9,N$9,'Monthly CF'!$D$35:$DT$35)</f>
        <v/>
      </c>
      <c r="O35" s="228">
        <f>SUMIF('Monthly CF'!$D$9:$DT$9,O$9,'Monthly CF'!$D$35:$DT$35)</f>
        <v/>
      </c>
    </row>
    <row r="36" ht="15" customHeight="1" s="148">
      <c r="C36">
        <f>SUM(D36:O36)</f>
        <v/>
      </c>
    </row>
    <row r="37" ht="15" customHeight="1" s="148">
      <c r="A37" s="110" t="inlineStr">
        <is>
          <t>Operating Expenses</t>
        </is>
      </c>
      <c r="C37" s="228">
        <f>SUM(D37:O37)</f>
        <v/>
      </c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228" t="n"/>
      <c r="M37" s="228" t="n"/>
      <c r="N37" s="228" t="n"/>
      <c r="O37" s="228" t="n"/>
    </row>
    <row r="38" ht="15" customHeight="1" s="148">
      <c r="A38" s="112" t="inlineStr">
        <is>
          <t>Management Fee (Annual)</t>
        </is>
      </c>
      <c r="C38" s="228">
        <f>SUM(D38:O38)</f>
        <v/>
      </c>
      <c r="D38" s="228">
        <f>SUMIF('Monthly CF'!$D$9:$DT$9,D$9,'Monthly CF'!$D$38:$DT$38)</f>
        <v/>
      </c>
      <c r="E38" s="228">
        <f>SUMIF('Monthly CF'!$D$9:$DT$9,E$9,'Monthly CF'!$D$38:$DT$38)</f>
        <v/>
      </c>
      <c r="F38" s="228">
        <f>SUMIF('Monthly CF'!$D$9:$DT$9,F$9,'Monthly CF'!$D$38:$DT$38)</f>
        <v/>
      </c>
      <c r="G38" s="228">
        <f>SUMIF('Monthly CF'!$D$9:$DT$9,G$9,'Monthly CF'!$D$38:$DT$38)</f>
        <v/>
      </c>
      <c r="H38" s="228">
        <f>SUMIF('Monthly CF'!$D$9:$DT$9,H$9,'Monthly CF'!$D$38:$DT$38)</f>
        <v/>
      </c>
      <c r="I38" s="228">
        <f>SUMIF('Monthly CF'!$D$9:$DT$9,I$9,'Monthly CF'!$D$38:$DT$38)</f>
        <v/>
      </c>
      <c r="J38" s="228">
        <f>SUMIF('Monthly CF'!$D$9:$DT$9,J$9,'Monthly CF'!$D$38:$DT$38)</f>
        <v/>
      </c>
      <c r="K38" s="228">
        <f>SUMIF('Monthly CF'!$D$9:$DT$9,K$9,'Monthly CF'!$D$38:$DT$38)</f>
        <v/>
      </c>
      <c r="L38" s="228">
        <f>SUMIF('Monthly CF'!$D$9:$DT$9,L$9,'Monthly CF'!$D$38:$DT$38)</f>
        <v/>
      </c>
      <c r="M38" s="228">
        <f>SUMIF('Monthly CF'!$D$9:$DT$9,M$9,'Monthly CF'!$D$38:$DT$38)</f>
        <v/>
      </c>
      <c r="N38" s="228">
        <f>SUMIF('Monthly CF'!$D$9:$DT$9,N$9,'Monthly CF'!$D$38:$DT$38)</f>
        <v/>
      </c>
      <c r="O38" s="228">
        <f>SUMIF('Monthly CF'!$D$9:$DT$9,O$9,'Monthly CF'!$D$38:$DT$38)</f>
        <v/>
      </c>
    </row>
    <row r="39" ht="15" customHeight="1" s="148">
      <c r="A39" s="112" t="inlineStr">
        <is>
          <t>Insurance (Annual)</t>
        </is>
      </c>
      <c r="C39" s="228">
        <f>SUM(D39:O39)</f>
        <v/>
      </c>
      <c r="D39" s="228">
        <f>SUMIF('Monthly CF'!$D$9:$DT$9,D$9,'Monthly CF'!$D$39:$DT$39)</f>
        <v/>
      </c>
      <c r="E39" s="228">
        <f>SUMIF('Monthly CF'!$D$9:$DT$9,E$9,'Monthly CF'!$D$39:$DT$39)</f>
        <v/>
      </c>
      <c r="F39" s="228">
        <f>SUMIF('Monthly CF'!$D$9:$DT$9,F$9,'Monthly CF'!$D$39:$DT$39)</f>
        <v/>
      </c>
      <c r="G39" s="228">
        <f>SUMIF('Monthly CF'!$D$9:$DT$9,G$9,'Monthly CF'!$D$39:$DT$39)</f>
        <v/>
      </c>
      <c r="H39" s="228">
        <f>SUMIF('Monthly CF'!$D$9:$DT$9,H$9,'Monthly CF'!$D$39:$DT$39)</f>
        <v/>
      </c>
      <c r="I39" s="228">
        <f>SUMIF('Monthly CF'!$D$9:$DT$9,I$9,'Monthly CF'!$D$39:$DT$39)</f>
        <v/>
      </c>
      <c r="J39" s="228">
        <f>SUMIF('Monthly CF'!$D$9:$DT$9,J$9,'Monthly CF'!$D$39:$DT$39)</f>
        <v/>
      </c>
      <c r="K39" s="228">
        <f>SUMIF('Monthly CF'!$D$9:$DT$9,K$9,'Monthly CF'!$D$39:$DT$39)</f>
        <v/>
      </c>
      <c r="L39" s="228">
        <f>SUMIF('Monthly CF'!$D$9:$DT$9,L$9,'Monthly CF'!$D$39:$DT$39)</f>
        <v/>
      </c>
      <c r="M39" s="228">
        <f>SUMIF('Monthly CF'!$D$9:$DT$9,M$9,'Monthly CF'!$D$39:$DT$39)</f>
        <v/>
      </c>
      <c r="N39" s="228">
        <f>SUMIF('Monthly CF'!$D$9:$DT$9,N$9,'Monthly CF'!$D$39:$DT$39)</f>
        <v/>
      </c>
      <c r="O39" s="228">
        <f>SUMIF('Monthly CF'!$D$9:$DT$9,O$9,'Monthly CF'!$D$39:$DT$39)</f>
        <v/>
      </c>
    </row>
    <row r="40" ht="15" customHeight="1" s="148">
      <c r="A40" s="112" t="inlineStr">
        <is>
          <t>G&amp;A (Annual)</t>
        </is>
      </c>
      <c r="C40" s="228">
        <f>SUM(D40:O40)</f>
        <v/>
      </c>
      <c r="D40" s="228">
        <f>SUMIF('Monthly CF'!$D$9:$DT$9,D$9,'Monthly CF'!$D$40:$DT$40)</f>
        <v/>
      </c>
      <c r="E40" s="228">
        <f>SUMIF('Monthly CF'!$D$9:$DT$9,E$9,'Monthly CF'!$D$40:$DT$40)</f>
        <v/>
      </c>
      <c r="F40" s="228">
        <f>SUMIF('Monthly CF'!$D$9:$DT$9,F$9,'Monthly CF'!$D$40:$DT$40)</f>
        <v/>
      </c>
      <c r="G40" s="228">
        <f>SUMIF('Monthly CF'!$D$9:$DT$9,G$9,'Monthly CF'!$D$40:$DT$40)</f>
        <v/>
      </c>
      <c r="H40" s="228">
        <f>SUMIF('Monthly CF'!$D$9:$DT$9,H$9,'Monthly CF'!$D$40:$DT$40)</f>
        <v/>
      </c>
      <c r="I40" s="228">
        <f>SUMIF('Monthly CF'!$D$9:$DT$9,I$9,'Monthly CF'!$D$40:$DT$40)</f>
        <v/>
      </c>
      <c r="J40" s="228">
        <f>SUMIF('Monthly CF'!$D$9:$DT$9,J$9,'Monthly CF'!$D$40:$DT$40)</f>
        <v/>
      </c>
      <c r="K40" s="228">
        <f>SUMIF('Monthly CF'!$D$9:$DT$9,K$9,'Monthly CF'!$D$40:$DT$40)</f>
        <v/>
      </c>
      <c r="L40" s="228">
        <f>SUMIF('Monthly CF'!$D$9:$DT$9,L$9,'Monthly CF'!$D$40:$DT$40)</f>
        <v/>
      </c>
      <c r="M40" s="228">
        <f>SUMIF('Monthly CF'!$D$9:$DT$9,M$9,'Monthly CF'!$D$40:$DT$40)</f>
        <v/>
      </c>
      <c r="N40" s="228">
        <f>SUMIF('Monthly CF'!$D$9:$DT$9,N$9,'Monthly CF'!$D$40:$DT$40)</f>
        <v/>
      </c>
      <c r="O40" s="228">
        <f>SUMIF('Monthly CF'!$D$9:$DT$9,O$9,'Monthly CF'!$D$40:$DT$40)</f>
        <v/>
      </c>
    </row>
    <row r="41" ht="15" customHeight="1" s="148">
      <c r="A41" s="112" t="inlineStr">
        <is>
          <t>Utilities (Annual)</t>
        </is>
      </c>
      <c r="C41" s="228">
        <f>SUM(D41:O41)</f>
        <v/>
      </c>
      <c r="D41" s="228">
        <f>SUMIF('Monthly CF'!$D$9:$DT$9,D$9,'Monthly CF'!$D$41:$DT$41)</f>
        <v/>
      </c>
      <c r="E41" s="228">
        <f>SUMIF('Monthly CF'!$D$9:$DT$9,E$9,'Monthly CF'!$D$41:$DT$41)</f>
        <v/>
      </c>
      <c r="F41" s="228">
        <f>SUMIF('Monthly CF'!$D$9:$DT$9,F$9,'Monthly CF'!$D$41:$DT$41)</f>
        <v/>
      </c>
      <c r="G41" s="228">
        <f>SUMIF('Monthly CF'!$D$9:$DT$9,G$9,'Monthly CF'!$D$41:$DT$41)</f>
        <v/>
      </c>
      <c r="H41" s="228">
        <f>SUMIF('Monthly CF'!$D$9:$DT$9,H$9,'Monthly CF'!$D$41:$DT$41)</f>
        <v/>
      </c>
      <c r="I41" s="228">
        <f>SUMIF('Monthly CF'!$D$9:$DT$9,I$9,'Monthly CF'!$D$41:$DT$41)</f>
        <v/>
      </c>
      <c r="J41" s="228">
        <f>SUMIF('Monthly CF'!$D$9:$DT$9,J$9,'Monthly CF'!$D$41:$DT$41)</f>
        <v/>
      </c>
      <c r="K41" s="228">
        <f>SUMIF('Monthly CF'!$D$9:$DT$9,K$9,'Monthly CF'!$D$41:$DT$41)</f>
        <v/>
      </c>
      <c r="L41" s="228">
        <f>SUMIF('Monthly CF'!$D$9:$DT$9,L$9,'Monthly CF'!$D$41:$DT$41)</f>
        <v/>
      </c>
      <c r="M41" s="228">
        <f>SUMIF('Monthly CF'!$D$9:$DT$9,M$9,'Monthly CF'!$D$41:$DT$41)</f>
        <v/>
      </c>
      <c r="N41" s="228">
        <f>SUMIF('Monthly CF'!$D$9:$DT$9,N$9,'Monthly CF'!$D$41:$DT$41)</f>
        <v/>
      </c>
      <c r="O41" s="228">
        <f>SUMIF('Monthly CF'!$D$9:$DT$9,O$9,'Monthly CF'!$D$41:$DT$41)</f>
        <v/>
      </c>
    </row>
    <row r="42" ht="15" customHeight="1" s="148">
      <c r="A42" s="112" t="inlineStr">
        <is>
          <t>R&amp;M (Annual)</t>
        </is>
      </c>
      <c r="C42" s="228">
        <f>SUM(D42:O42)</f>
        <v/>
      </c>
      <c r="D42" s="228">
        <f>SUMIF('Monthly CF'!$D$9:$DT$9,D$9,'Monthly CF'!$D$42:$DT$42)</f>
        <v/>
      </c>
      <c r="E42" s="228">
        <f>SUMIF('Monthly CF'!$D$9:$DT$9,E$9,'Monthly CF'!$D$42:$DT$42)</f>
        <v/>
      </c>
      <c r="F42" s="228">
        <f>SUMIF('Monthly CF'!$D$9:$DT$9,F$9,'Monthly CF'!$D$42:$DT$42)</f>
        <v/>
      </c>
      <c r="G42" s="228">
        <f>SUMIF('Monthly CF'!$D$9:$DT$9,G$9,'Monthly CF'!$D$42:$DT$42)</f>
        <v/>
      </c>
      <c r="H42" s="228">
        <f>SUMIF('Monthly CF'!$D$9:$DT$9,H$9,'Monthly CF'!$D$42:$DT$42)</f>
        <v/>
      </c>
      <c r="I42" s="228">
        <f>SUMIF('Monthly CF'!$D$9:$DT$9,I$9,'Monthly CF'!$D$42:$DT$42)</f>
        <v/>
      </c>
      <c r="J42" s="228">
        <f>SUMIF('Monthly CF'!$D$9:$DT$9,J$9,'Monthly CF'!$D$42:$DT$42)</f>
        <v/>
      </c>
      <c r="K42" s="228">
        <f>SUMIF('Monthly CF'!$D$9:$DT$9,K$9,'Monthly CF'!$D$42:$DT$42)</f>
        <v/>
      </c>
      <c r="L42" s="228">
        <f>SUMIF('Monthly CF'!$D$9:$DT$9,L$9,'Monthly CF'!$D$42:$DT$42)</f>
        <v/>
      </c>
      <c r="M42" s="228">
        <f>SUMIF('Monthly CF'!$D$9:$DT$9,M$9,'Monthly CF'!$D$42:$DT$42)</f>
        <v/>
      </c>
      <c r="N42" s="228">
        <f>SUMIF('Monthly CF'!$D$9:$DT$9,N$9,'Monthly CF'!$D$42:$DT$42)</f>
        <v/>
      </c>
      <c r="O42" s="228">
        <f>SUMIF('Monthly CF'!$D$9:$DT$9,O$9,'Monthly CF'!$D$42:$DT$42)</f>
        <v/>
      </c>
    </row>
    <row r="43" ht="15" customHeight="1" s="148">
      <c r="A43" s="112" t="inlineStr">
        <is>
          <t>Cleaning/Janitorial Services (Annual)</t>
        </is>
      </c>
      <c r="C43" s="228">
        <f>SUM(D43:O43)</f>
        <v/>
      </c>
      <c r="D43" s="228">
        <f>SUMIF('Monthly CF'!$D$9:$DT$9,D$9,'Monthly CF'!$D$43:$DT$43)</f>
        <v/>
      </c>
      <c r="E43" s="228">
        <f>SUMIF('Monthly CF'!$D$9:$DT$9,E$9,'Monthly CF'!$D$43:$DT$43)</f>
        <v/>
      </c>
      <c r="F43" s="228">
        <f>SUMIF('Monthly CF'!$D$9:$DT$9,F$9,'Monthly CF'!$D$43:$DT$43)</f>
        <v/>
      </c>
      <c r="G43" s="228">
        <f>SUMIF('Monthly CF'!$D$9:$DT$9,G$9,'Monthly CF'!$D$43:$DT$43)</f>
        <v/>
      </c>
      <c r="H43" s="228">
        <f>SUMIF('Monthly CF'!$D$9:$DT$9,H$9,'Monthly CF'!$D$43:$DT$43)</f>
        <v/>
      </c>
      <c r="I43" s="228">
        <f>SUMIF('Monthly CF'!$D$9:$DT$9,I$9,'Monthly CF'!$D$43:$DT$43)</f>
        <v/>
      </c>
      <c r="J43" s="228">
        <f>SUMIF('Monthly CF'!$D$9:$DT$9,J$9,'Monthly CF'!$D$43:$DT$43)</f>
        <v/>
      </c>
      <c r="K43" s="228">
        <f>SUMIF('Monthly CF'!$D$9:$DT$9,K$9,'Monthly CF'!$D$43:$DT$43)</f>
        <v/>
      </c>
      <c r="L43" s="228">
        <f>SUMIF('Monthly CF'!$D$9:$DT$9,L$9,'Monthly CF'!$D$43:$DT$43)</f>
        <v/>
      </c>
      <c r="M43" s="228">
        <f>SUMIF('Monthly CF'!$D$9:$DT$9,M$9,'Monthly CF'!$D$43:$DT$43)</f>
        <v/>
      </c>
      <c r="N43" s="228">
        <f>SUMIF('Monthly CF'!$D$9:$DT$9,N$9,'Monthly CF'!$D$43:$DT$43)</f>
        <v/>
      </c>
      <c r="O43" s="228">
        <f>SUMIF('Monthly CF'!$D$9:$DT$9,O$9,'Monthly CF'!$D$43:$DT$43)</f>
        <v/>
      </c>
    </row>
    <row r="44" ht="15" customHeight="1" s="148">
      <c r="A44" s="112" t="inlineStr">
        <is>
          <t>Security (Annual)</t>
        </is>
      </c>
      <c r="C44" s="228">
        <f>SUM(D44:O44)</f>
        <v/>
      </c>
      <c r="D44" s="228">
        <f>SUMIF('Monthly CF'!$D$9:$DT$9,D$9,'Monthly CF'!$D$44:$DT$44)</f>
        <v/>
      </c>
      <c r="E44" s="228">
        <f>SUMIF('Monthly CF'!$D$9:$DT$9,E$9,'Monthly CF'!$D$44:$DT$44)</f>
        <v/>
      </c>
      <c r="F44" s="228">
        <f>SUMIF('Monthly CF'!$D$9:$DT$9,F$9,'Monthly CF'!$D$44:$DT$44)</f>
        <v/>
      </c>
      <c r="G44" s="228">
        <f>SUMIF('Monthly CF'!$D$9:$DT$9,G$9,'Monthly CF'!$D$44:$DT$44)</f>
        <v/>
      </c>
      <c r="H44" s="228">
        <f>SUMIF('Monthly CF'!$D$9:$DT$9,H$9,'Monthly CF'!$D$44:$DT$44)</f>
        <v/>
      </c>
      <c r="I44" s="228">
        <f>SUMIF('Monthly CF'!$D$9:$DT$9,I$9,'Monthly CF'!$D$44:$DT$44)</f>
        <v/>
      </c>
      <c r="J44" s="228">
        <f>SUMIF('Monthly CF'!$D$9:$DT$9,J$9,'Monthly CF'!$D$44:$DT$44)</f>
        <v/>
      </c>
      <c r="K44" s="228">
        <f>SUMIF('Monthly CF'!$D$9:$DT$9,K$9,'Monthly CF'!$D$44:$DT$44)</f>
        <v/>
      </c>
      <c r="L44" s="228">
        <f>SUMIF('Monthly CF'!$D$9:$DT$9,L$9,'Monthly CF'!$D$44:$DT$44)</f>
        <v/>
      </c>
      <c r="M44" s="228">
        <f>SUMIF('Monthly CF'!$D$9:$DT$9,M$9,'Monthly CF'!$D$44:$DT$44)</f>
        <v/>
      </c>
      <c r="N44" s="228">
        <f>SUMIF('Monthly CF'!$D$9:$DT$9,N$9,'Monthly CF'!$D$44:$DT$44)</f>
        <v/>
      </c>
      <c r="O44" s="228">
        <f>SUMIF('Monthly CF'!$D$9:$DT$9,O$9,'Monthly CF'!$D$44:$DT$44)</f>
        <v/>
      </c>
    </row>
    <row r="45" ht="15" customHeight="1" s="148">
      <c r="A45" s="112" t="inlineStr">
        <is>
          <t>Property Taxes (Fixed)</t>
        </is>
      </c>
      <c r="C45" s="228">
        <f>SUM(D45:O45)</f>
        <v/>
      </c>
      <c r="D45" s="228">
        <f>SUMIF('Monthly CF'!$D$9:$DT$9,D$9,'Monthly CF'!$D$45:$DT$45)</f>
        <v/>
      </c>
      <c r="E45" s="228">
        <f>SUMIF('Monthly CF'!$D$9:$DT$9,E$9,'Monthly CF'!$D$45:$DT$45)</f>
        <v/>
      </c>
      <c r="F45" s="228">
        <f>SUMIF('Monthly CF'!$D$9:$DT$9,F$9,'Monthly CF'!$D$45:$DT$45)</f>
        <v/>
      </c>
      <c r="G45" s="228">
        <f>SUMIF('Monthly CF'!$D$9:$DT$9,G$9,'Monthly CF'!$D$45:$DT$45)</f>
        <v/>
      </c>
      <c r="H45" s="228">
        <f>SUMIF('Monthly CF'!$D$9:$DT$9,H$9,'Monthly CF'!$D$45:$DT$45)</f>
        <v/>
      </c>
      <c r="I45" s="228">
        <f>SUMIF('Monthly CF'!$D$9:$DT$9,I$9,'Monthly CF'!$D$45:$DT$45)</f>
        <v/>
      </c>
      <c r="J45" s="228">
        <f>SUMIF('Monthly CF'!$D$9:$DT$9,J$9,'Monthly CF'!$D$45:$DT$45)</f>
        <v/>
      </c>
      <c r="K45" s="228">
        <f>SUMIF('Monthly CF'!$D$9:$DT$9,K$9,'Monthly CF'!$D$45:$DT$45)</f>
        <v/>
      </c>
      <c r="L45" s="228">
        <f>SUMIF('Monthly CF'!$D$9:$DT$9,L$9,'Monthly CF'!$D$45:$DT$45)</f>
        <v/>
      </c>
      <c r="M45" s="228">
        <f>SUMIF('Monthly CF'!$D$9:$DT$9,M$9,'Monthly CF'!$D$45:$DT$45)</f>
        <v/>
      </c>
      <c r="N45" s="228">
        <f>SUMIF('Monthly CF'!$D$9:$DT$9,N$9,'Monthly CF'!$D$45:$DT$45)</f>
        <v/>
      </c>
      <c r="O45" s="228">
        <f>SUMIF('Monthly CF'!$D$9:$DT$9,O$9,'Monthly CF'!$D$45:$DT$45)</f>
        <v/>
      </c>
    </row>
    <row r="46" ht="15" customHeight="1" s="148">
      <c r="A46" s="112" t="inlineStr">
        <is>
          <t>Other Expense 1 (Annual)</t>
        </is>
      </c>
      <c r="C46" s="228">
        <f>SUM(D46:O46)</f>
        <v/>
      </c>
      <c r="D46" s="228">
        <f>SUMIF('Monthly CF'!$D$9:$DT$9,D$9,'Monthly CF'!$D$46:$DT$46)</f>
        <v/>
      </c>
      <c r="E46" s="228">
        <f>SUMIF('Monthly CF'!$D$9:$DT$9,E$9,'Monthly CF'!$D$46:$DT$46)</f>
        <v/>
      </c>
      <c r="F46" s="228">
        <f>SUMIF('Monthly CF'!$D$9:$DT$9,F$9,'Monthly CF'!$D$46:$DT$46)</f>
        <v/>
      </c>
      <c r="G46" s="228">
        <f>SUMIF('Monthly CF'!$D$9:$DT$9,G$9,'Monthly CF'!$D$46:$DT$46)</f>
        <v/>
      </c>
      <c r="H46" s="228">
        <f>SUMIF('Monthly CF'!$D$9:$DT$9,H$9,'Monthly CF'!$D$46:$DT$46)</f>
        <v/>
      </c>
      <c r="I46" s="228">
        <f>SUMIF('Monthly CF'!$D$9:$DT$9,I$9,'Monthly CF'!$D$46:$DT$46)</f>
        <v/>
      </c>
      <c r="J46" s="228">
        <f>SUMIF('Monthly CF'!$D$9:$DT$9,J$9,'Monthly CF'!$D$46:$DT$46)</f>
        <v/>
      </c>
      <c r="K46" s="228">
        <f>SUMIF('Monthly CF'!$D$9:$DT$9,K$9,'Monthly CF'!$D$46:$DT$46)</f>
        <v/>
      </c>
      <c r="L46" s="228">
        <f>SUMIF('Monthly CF'!$D$9:$DT$9,L$9,'Monthly CF'!$D$46:$DT$46)</f>
        <v/>
      </c>
      <c r="M46" s="228">
        <f>SUMIF('Monthly CF'!$D$9:$DT$9,M$9,'Monthly CF'!$D$46:$DT$46)</f>
        <v/>
      </c>
      <c r="N46" s="228">
        <f>SUMIF('Monthly CF'!$D$9:$DT$9,N$9,'Monthly CF'!$D$46:$DT$46)</f>
        <v/>
      </c>
      <c r="O46" s="228">
        <f>SUMIF('Monthly CF'!$D$9:$DT$9,O$9,'Monthly CF'!$D$46:$DT$46)</f>
        <v/>
      </c>
    </row>
    <row r="47" ht="15" customHeight="1" s="148">
      <c r="A47" s="112" t="inlineStr">
        <is>
          <t>Other Expense 2 (Annual)</t>
        </is>
      </c>
      <c r="C47" s="228">
        <f>SUM(D47:O47)</f>
        <v/>
      </c>
      <c r="D47" s="228">
        <f>SUMIF('Monthly CF'!$D$9:$DT$9,D$9,'Monthly CF'!$D$47:$DT$47)</f>
        <v/>
      </c>
      <c r="E47" s="228">
        <f>SUMIF('Monthly CF'!$D$9:$DT$9,E$9,'Monthly CF'!$D$47:$DT$47)</f>
        <v/>
      </c>
      <c r="F47" s="228">
        <f>SUMIF('Monthly CF'!$D$9:$DT$9,F$9,'Monthly CF'!$D$47:$DT$47)</f>
        <v/>
      </c>
      <c r="G47" s="228">
        <f>SUMIF('Monthly CF'!$D$9:$DT$9,G$9,'Monthly CF'!$D$47:$DT$47)</f>
        <v/>
      </c>
      <c r="H47" s="228">
        <f>SUMIF('Monthly CF'!$D$9:$DT$9,H$9,'Monthly CF'!$D$47:$DT$47)</f>
        <v/>
      </c>
      <c r="I47" s="228">
        <f>SUMIF('Monthly CF'!$D$9:$DT$9,I$9,'Monthly CF'!$D$47:$DT$47)</f>
        <v/>
      </c>
      <c r="J47" s="228">
        <f>SUMIF('Monthly CF'!$D$9:$DT$9,J$9,'Monthly CF'!$D$47:$DT$47)</f>
        <v/>
      </c>
      <c r="K47" s="228">
        <f>SUMIF('Monthly CF'!$D$9:$DT$9,K$9,'Monthly CF'!$D$47:$DT$47)</f>
        <v/>
      </c>
      <c r="L47" s="228">
        <f>SUMIF('Monthly CF'!$D$9:$DT$9,L$9,'Monthly CF'!$D$47:$DT$47)</f>
        <v/>
      </c>
      <c r="M47" s="228">
        <f>SUMIF('Monthly CF'!$D$9:$DT$9,M$9,'Monthly CF'!$D$47:$DT$47)</f>
        <v/>
      </c>
      <c r="N47" s="228">
        <f>SUMIF('Monthly CF'!$D$9:$DT$9,N$9,'Monthly CF'!$D$47:$DT$47)</f>
        <v/>
      </c>
      <c r="O47" s="228">
        <f>SUMIF('Monthly CF'!$D$9:$DT$9,O$9,'Monthly CF'!$D$47:$DT$47)</f>
        <v/>
      </c>
    </row>
    <row r="48" ht="15" customHeight="1" s="148">
      <c r="A48" s="112" t="inlineStr">
        <is>
          <t>Other Expense 3 (Annual)</t>
        </is>
      </c>
      <c r="C48" s="228">
        <f>SUM(D48:O48)</f>
        <v/>
      </c>
      <c r="D48" s="228">
        <f>SUMIF('Monthly CF'!$D$9:$DT$9,D$9,'Monthly CF'!$D$48:$DT$48)</f>
        <v/>
      </c>
      <c r="E48" s="228">
        <f>SUMIF('Monthly CF'!$D$9:$DT$9,E$9,'Monthly CF'!$D$48:$DT$48)</f>
        <v/>
      </c>
      <c r="F48" s="228">
        <f>SUMIF('Monthly CF'!$D$9:$DT$9,F$9,'Monthly CF'!$D$48:$DT$48)</f>
        <v/>
      </c>
      <c r="G48" s="228">
        <f>SUMIF('Monthly CF'!$D$9:$DT$9,G$9,'Monthly CF'!$D$48:$DT$48)</f>
        <v/>
      </c>
      <c r="H48" s="228">
        <f>SUMIF('Monthly CF'!$D$9:$DT$9,H$9,'Monthly CF'!$D$48:$DT$48)</f>
        <v/>
      </c>
      <c r="I48" s="228">
        <f>SUMIF('Monthly CF'!$D$9:$DT$9,I$9,'Monthly CF'!$D$48:$DT$48)</f>
        <v/>
      </c>
      <c r="J48" s="228">
        <f>SUMIF('Monthly CF'!$D$9:$DT$9,J$9,'Monthly CF'!$D$48:$DT$48)</f>
        <v/>
      </c>
      <c r="K48" s="228">
        <f>SUMIF('Monthly CF'!$D$9:$DT$9,K$9,'Monthly CF'!$D$48:$DT$48)</f>
        <v/>
      </c>
      <c r="L48" s="228">
        <f>SUMIF('Monthly CF'!$D$9:$DT$9,L$9,'Monthly CF'!$D$48:$DT$48)</f>
        <v/>
      </c>
      <c r="M48" s="228">
        <f>SUMIF('Monthly CF'!$D$9:$DT$9,M$9,'Monthly CF'!$D$48:$DT$48)</f>
        <v/>
      </c>
      <c r="N48" s="228">
        <f>SUMIF('Monthly CF'!$D$9:$DT$9,N$9,'Monthly CF'!$D$48:$DT$48)</f>
        <v/>
      </c>
      <c r="O48" s="228">
        <f>SUMIF('Monthly CF'!$D$9:$DT$9,O$9,'Monthly CF'!$D$48:$DT$48)</f>
        <v/>
      </c>
    </row>
    <row r="49" ht="15" customHeight="1" s="148">
      <c r="A49" s="112" t="inlineStr">
        <is>
          <t>Other Expense 4 (Annual)</t>
        </is>
      </c>
      <c r="C49" s="228">
        <f>SUM(D49:O49)</f>
        <v/>
      </c>
      <c r="D49" s="228">
        <f>SUMIF('Monthly CF'!$D$9:$DT$9,D$9,'Monthly CF'!$D$49:$DT$49)</f>
        <v/>
      </c>
      <c r="E49" s="228">
        <f>SUMIF('Monthly CF'!$D$9:$DT$9,E$9,'Monthly CF'!$D$49:$DT$49)</f>
        <v/>
      </c>
      <c r="F49" s="228">
        <f>SUMIF('Monthly CF'!$D$9:$DT$9,F$9,'Monthly CF'!$D$49:$DT$49)</f>
        <v/>
      </c>
      <c r="G49" s="228">
        <f>SUMIF('Monthly CF'!$D$9:$DT$9,G$9,'Monthly CF'!$D$49:$DT$49)</f>
        <v/>
      </c>
      <c r="H49" s="228">
        <f>SUMIF('Monthly CF'!$D$9:$DT$9,H$9,'Monthly CF'!$D$49:$DT$49)</f>
        <v/>
      </c>
      <c r="I49" s="228">
        <f>SUMIF('Monthly CF'!$D$9:$DT$9,I$9,'Monthly CF'!$D$49:$DT$49)</f>
        <v/>
      </c>
      <c r="J49" s="228">
        <f>SUMIF('Monthly CF'!$D$9:$DT$9,J$9,'Monthly CF'!$D$49:$DT$49)</f>
        <v/>
      </c>
      <c r="K49" s="228">
        <f>SUMIF('Monthly CF'!$D$9:$DT$9,K$9,'Monthly CF'!$D$49:$DT$49)</f>
        <v/>
      </c>
      <c r="L49" s="228">
        <f>SUMIF('Monthly CF'!$D$9:$DT$9,L$9,'Monthly CF'!$D$49:$DT$49)</f>
        <v/>
      </c>
      <c r="M49" s="228">
        <f>SUMIF('Monthly CF'!$D$9:$DT$9,M$9,'Monthly CF'!$D$49:$DT$49)</f>
        <v/>
      </c>
      <c r="N49" s="228">
        <f>SUMIF('Monthly CF'!$D$9:$DT$9,N$9,'Monthly CF'!$D$49:$DT$49)</f>
        <v/>
      </c>
      <c r="O49" s="228">
        <f>SUMIF('Monthly CF'!$D$9:$DT$9,O$9,'Monthly CF'!$D$49:$DT$49)</f>
        <v/>
      </c>
    </row>
    <row r="50" ht="15" customHeight="1" s="148">
      <c r="A50" s="112" t="inlineStr">
        <is>
          <t>Other Expense 5 (Annual)</t>
        </is>
      </c>
      <c r="C50" s="228">
        <f>SUM(D50:O50)</f>
        <v/>
      </c>
      <c r="D50" s="228">
        <f>SUMIF('Monthly CF'!$D$9:$DT$9,D$9,'Monthly CF'!$D$50:$DT$50)</f>
        <v/>
      </c>
      <c r="E50" s="228">
        <f>SUMIF('Monthly CF'!$D$9:$DT$9,E$9,'Monthly CF'!$D$50:$DT$50)</f>
        <v/>
      </c>
      <c r="F50" s="228">
        <f>SUMIF('Monthly CF'!$D$9:$DT$9,F$9,'Monthly CF'!$D$50:$DT$50)</f>
        <v/>
      </c>
      <c r="G50" s="228">
        <f>SUMIF('Monthly CF'!$D$9:$DT$9,G$9,'Monthly CF'!$D$50:$DT$50)</f>
        <v/>
      </c>
      <c r="H50" s="228">
        <f>SUMIF('Monthly CF'!$D$9:$DT$9,H$9,'Monthly CF'!$D$50:$DT$50)</f>
        <v/>
      </c>
      <c r="I50" s="228">
        <f>SUMIF('Monthly CF'!$D$9:$DT$9,I$9,'Monthly CF'!$D$50:$DT$50)</f>
        <v/>
      </c>
      <c r="J50" s="228">
        <f>SUMIF('Monthly CF'!$D$9:$DT$9,J$9,'Monthly CF'!$D$50:$DT$50)</f>
        <v/>
      </c>
      <c r="K50" s="228">
        <f>SUMIF('Monthly CF'!$D$9:$DT$9,K$9,'Monthly CF'!$D$50:$DT$50)</f>
        <v/>
      </c>
      <c r="L50" s="228">
        <f>SUMIF('Monthly CF'!$D$9:$DT$9,L$9,'Monthly CF'!$D$50:$DT$50)</f>
        <v/>
      </c>
      <c r="M50" s="228">
        <f>SUMIF('Monthly CF'!$D$9:$DT$9,M$9,'Monthly CF'!$D$50:$DT$50)</f>
        <v/>
      </c>
      <c r="N50" s="228">
        <f>SUMIF('Monthly CF'!$D$9:$DT$9,N$9,'Monthly CF'!$D$50:$DT$50)</f>
        <v/>
      </c>
      <c r="O50" s="228">
        <f>SUMIF('Monthly CF'!$D$9:$DT$9,O$9,'Monthly CF'!$D$50:$DT$50)</f>
        <v/>
      </c>
    </row>
    <row r="51" ht="15" customHeight="1" s="148">
      <c r="C51">
        <f>SUM(D51:O51)</f>
        <v/>
      </c>
    </row>
    <row r="52" ht="15" customHeight="1" s="148">
      <c r="A52" s="110" t="inlineStr">
        <is>
          <t>Total Recoverable Operating Expenses</t>
        </is>
      </c>
      <c r="C52" s="228">
        <f>SUM(D52:O52)</f>
        <v/>
      </c>
      <c r="D52" s="228">
        <f>SUMIF('Monthly CF'!$D$9:$DT$9,D$9,'Monthly CF'!$D$52:$DT$52)</f>
        <v/>
      </c>
      <c r="E52" s="228">
        <f>SUMIF('Monthly CF'!$D$9:$DT$9,E$9,'Monthly CF'!$D$52:$DT$52)</f>
        <v/>
      </c>
      <c r="F52" s="228">
        <f>SUMIF('Monthly CF'!$D$9:$DT$9,F$9,'Monthly CF'!$D$52:$DT$52)</f>
        <v/>
      </c>
      <c r="G52" s="228">
        <f>SUMIF('Monthly CF'!$D$9:$DT$9,G$9,'Monthly CF'!$D$52:$DT$52)</f>
        <v/>
      </c>
      <c r="H52" s="228">
        <f>SUMIF('Monthly CF'!$D$9:$DT$9,H$9,'Monthly CF'!$D$52:$DT$52)</f>
        <v/>
      </c>
      <c r="I52" s="228">
        <f>SUMIF('Monthly CF'!$D$9:$DT$9,I$9,'Monthly CF'!$D$52:$DT$52)</f>
        <v/>
      </c>
      <c r="J52" s="228">
        <f>SUMIF('Monthly CF'!$D$9:$DT$9,J$9,'Monthly CF'!$D$52:$DT$52)</f>
        <v/>
      </c>
      <c r="K52" s="228">
        <f>SUMIF('Monthly CF'!$D$9:$DT$9,K$9,'Monthly CF'!$D$52:$DT$52)</f>
        <v/>
      </c>
      <c r="L52" s="228">
        <f>SUMIF('Monthly CF'!$D$9:$DT$9,L$9,'Monthly CF'!$D$52:$DT$52)</f>
        <v/>
      </c>
      <c r="M52" s="228">
        <f>SUMIF('Monthly CF'!$D$9:$DT$9,M$9,'Monthly CF'!$D$52:$DT$52)</f>
        <v/>
      </c>
      <c r="N52" s="228">
        <f>SUMIF('Monthly CF'!$D$9:$DT$9,N$9,'Monthly CF'!$D$52:$DT$52)</f>
        <v/>
      </c>
      <c r="O52" s="228">
        <f>SUMIF('Monthly CF'!$D$9:$DT$9,O$9,'Monthly CF'!$D$52:$DT$52)</f>
        <v/>
      </c>
    </row>
    <row r="53" ht="15" customHeight="1" s="148">
      <c r="A53" s="110" t="inlineStr">
        <is>
          <t>Non-Recoverable OpEx (Annual)</t>
        </is>
      </c>
      <c r="C53" s="228">
        <f>SUM(D53:O53)</f>
        <v/>
      </c>
      <c r="D53" s="228">
        <f>SUMIF('Monthly CF'!$D$9:$DT$9,D$9,'Monthly CF'!$D$53:$DT$53)</f>
        <v/>
      </c>
      <c r="E53" s="228">
        <f>SUMIF('Monthly CF'!$D$9:$DT$9,E$9,'Monthly CF'!$D$53:$DT$53)</f>
        <v/>
      </c>
      <c r="F53" s="228">
        <f>SUMIF('Monthly CF'!$D$9:$DT$9,F$9,'Monthly CF'!$D$53:$DT$53)</f>
        <v/>
      </c>
      <c r="G53" s="228">
        <f>SUMIF('Monthly CF'!$D$9:$DT$9,G$9,'Monthly CF'!$D$53:$DT$53)</f>
        <v/>
      </c>
      <c r="H53" s="228">
        <f>SUMIF('Monthly CF'!$D$9:$DT$9,H$9,'Monthly CF'!$D$53:$DT$53)</f>
        <v/>
      </c>
      <c r="I53" s="228">
        <f>SUMIF('Monthly CF'!$D$9:$DT$9,I$9,'Monthly CF'!$D$53:$DT$53)</f>
        <v/>
      </c>
      <c r="J53" s="228">
        <f>SUMIF('Monthly CF'!$D$9:$DT$9,J$9,'Monthly CF'!$D$53:$DT$53)</f>
        <v/>
      </c>
      <c r="K53" s="228">
        <f>SUMIF('Monthly CF'!$D$9:$DT$9,K$9,'Monthly CF'!$D$53:$DT$53)</f>
        <v/>
      </c>
      <c r="L53" s="228">
        <f>SUMIF('Monthly CF'!$D$9:$DT$9,L$9,'Monthly CF'!$D$53:$DT$53)</f>
        <v/>
      </c>
      <c r="M53" s="228">
        <f>SUMIF('Monthly CF'!$D$9:$DT$9,M$9,'Monthly CF'!$D$53:$DT$53)</f>
        <v/>
      </c>
      <c r="N53" s="228">
        <f>SUMIF('Monthly CF'!$D$9:$DT$9,N$9,'Monthly CF'!$D$53:$DT$53)</f>
        <v/>
      </c>
      <c r="O53" s="228">
        <f>SUMIF('Monthly CF'!$D$9:$DT$9,O$9,'Monthly CF'!$D$53:$DT$53)</f>
        <v/>
      </c>
    </row>
    <row r="54" ht="15" customHeight="1" s="148">
      <c r="A54" s="110" t="inlineStr">
        <is>
          <t>Total Operating Expenses</t>
        </is>
      </c>
      <c r="C54" s="228">
        <f>SUM(D54:O54)</f>
        <v/>
      </c>
      <c r="D54" s="228">
        <f>SUMIF('Monthly CF'!$D$9:$DT$9,D$9,'Monthly CF'!$D$54:$DT$54)</f>
        <v/>
      </c>
      <c r="E54" s="228">
        <f>SUMIF('Monthly CF'!$D$9:$DT$9,E$9,'Monthly CF'!$D$54:$DT$54)</f>
        <v/>
      </c>
      <c r="F54" s="228">
        <f>SUMIF('Monthly CF'!$D$9:$DT$9,F$9,'Monthly CF'!$D$54:$DT$54)</f>
        <v/>
      </c>
      <c r="G54" s="228">
        <f>SUMIF('Monthly CF'!$D$9:$DT$9,G$9,'Monthly CF'!$D$54:$DT$54)</f>
        <v/>
      </c>
      <c r="H54" s="228">
        <f>SUMIF('Monthly CF'!$D$9:$DT$9,H$9,'Monthly CF'!$D$54:$DT$54)</f>
        <v/>
      </c>
      <c r="I54" s="228">
        <f>SUMIF('Monthly CF'!$D$9:$DT$9,I$9,'Monthly CF'!$D$54:$DT$54)</f>
        <v/>
      </c>
      <c r="J54" s="228">
        <f>SUMIF('Monthly CF'!$D$9:$DT$9,J$9,'Monthly CF'!$D$54:$DT$54)</f>
        <v/>
      </c>
      <c r="K54" s="228">
        <f>SUMIF('Monthly CF'!$D$9:$DT$9,K$9,'Monthly CF'!$D$54:$DT$54)</f>
        <v/>
      </c>
      <c r="L54" s="228">
        <f>SUMIF('Monthly CF'!$D$9:$DT$9,L$9,'Monthly CF'!$D$54:$DT$54)</f>
        <v/>
      </c>
      <c r="M54" s="228">
        <f>SUMIF('Monthly CF'!$D$9:$DT$9,M$9,'Monthly CF'!$D$54:$DT$54)</f>
        <v/>
      </c>
      <c r="N54" s="228">
        <f>SUMIF('Monthly CF'!$D$9:$DT$9,N$9,'Monthly CF'!$D$54:$DT$54)</f>
        <v/>
      </c>
      <c r="O54" s="228">
        <f>SUMIF('Monthly CF'!$D$9:$DT$9,O$9,'Monthly CF'!$D$54:$DT$54)</f>
        <v/>
      </c>
    </row>
    <row r="55" ht="15" customHeight="1" s="148">
      <c r="C55">
        <f>SUM(D55:O55)</f>
        <v/>
      </c>
    </row>
    <row r="56" ht="15" customHeight="1" s="148">
      <c r="A56" s="110" t="inlineStr">
        <is>
          <t>Net Operating Income</t>
        </is>
      </c>
      <c r="C56" s="228">
        <f>SUM(D56:O56)</f>
        <v/>
      </c>
      <c r="D56" s="228">
        <f>SUMIF('Monthly CF'!$D$9:$DT$9,D$9,'Monthly CF'!$D$56:$DT$56)</f>
        <v/>
      </c>
      <c r="E56" s="228">
        <f>SUMIF('Monthly CF'!$D$9:$DT$9,E$9,'Monthly CF'!$D$56:$DT$56)</f>
        <v/>
      </c>
      <c r="F56" s="228">
        <f>SUMIF('Monthly CF'!$D$9:$DT$9,F$9,'Monthly CF'!$D$56:$DT$56)</f>
        <v/>
      </c>
      <c r="G56" s="228">
        <f>SUMIF('Monthly CF'!$D$9:$DT$9,G$9,'Monthly CF'!$D$56:$DT$56)</f>
        <v/>
      </c>
      <c r="H56" s="228">
        <f>SUMIF('Monthly CF'!$D$9:$DT$9,H$9,'Monthly CF'!$D$56:$DT$56)</f>
        <v/>
      </c>
      <c r="I56" s="228">
        <f>SUMIF('Monthly CF'!$D$9:$DT$9,I$9,'Monthly CF'!$D$56:$DT$56)</f>
        <v/>
      </c>
      <c r="J56" s="228">
        <f>SUMIF('Monthly CF'!$D$9:$DT$9,J$9,'Monthly CF'!$D$56:$DT$56)</f>
        <v/>
      </c>
      <c r="K56" s="228">
        <f>SUMIF('Monthly CF'!$D$9:$DT$9,K$9,'Monthly CF'!$D$56:$DT$56)</f>
        <v/>
      </c>
      <c r="L56" s="228">
        <f>SUMIF('Monthly CF'!$D$9:$DT$9,L$9,'Monthly CF'!$D$56:$DT$56)</f>
        <v/>
      </c>
      <c r="M56" s="228">
        <f>SUMIF('Monthly CF'!$D$9:$DT$9,M$9,'Monthly CF'!$D$56:$DT$56)</f>
        <v/>
      </c>
      <c r="N56" s="228">
        <f>SUMIF('Monthly CF'!$D$9:$DT$9,N$9,'Monthly CF'!$D$56:$DT$56)</f>
        <v/>
      </c>
      <c r="O56" s="228">
        <f>SUMIF('Monthly CF'!$D$9:$DT$9,O$9,'Monthly CF'!$D$56:$DT$56)</f>
        <v/>
      </c>
    </row>
    <row r="57" ht="15" customHeight="1" s="148">
      <c r="A57" s="115" t="inlineStr">
        <is>
          <t>DSCR</t>
        </is>
      </c>
      <c r="C57" s="116">
        <f>SUM(D57:O57)</f>
        <v/>
      </c>
      <c r="D57" s="229">
        <f>IFERROR(AGGREGATE(15,6,'Monthly CF'!$D$57:$DT$57/('Monthly CF'!$D$9:$DT$9=D9),1),"")</f>
        <v/>
      </c>
      <c r="E57" s="229">
        <f>IFERROR(AGGREGATE(15,6,'Monthly CF'!$D$57:$DT$57/('Monthly CF'!$D$9:$DT$9=E9),1),"")</f>
        <v/>
      </c>
      <c r="F57" s="229">
        <f>IFERROR(AGGREGATE(15,6,'Monthly CF'!$D$57:$DT$57/('Monthly CF'!$D$9:$DT$9=F9),1),"")</f>
        <v/>
      </c>
      <c r="G57" s="229">
        <f>IFERROR(AGGREGATE(15,6,'Monthly CF'!$D$57:$DT$57/('Monthly CF'!$D$9:$DT$9=G9),1),"")</f>
        <v/>
      </c>
      <c r="H57" s="229">
        <f>IFERROR(AGGREGATE(15,6,'Monthly CF'!$D$57:$DT$57/('Monthly CF'!$D$9:$DT$9=H9),1),"")</f>
        <v/>
      </c>
      <c r="I57" s="229">
        <f>IFERROR(AGGREGATE(15,6,'Monthly CF'!$D$57:$DT$57/('Monthly CF'!$D$9:$DT$9=I9),1),"")</f>
        <v/>
      </c>
      <c r="J57" s="229">
        <f>IFERROR(AGGREGATE(15,6,'Monthly CF'!$D$57:$DT$57/('Monthly CF'!$D$9:$DT$9=J9),1),"")</f>
        <v/>
      </c>
      <c r="K57" s="229">
        <f>IFERROR(AGGREGATE(15,6,'Monthly CF'!$D$57:$DT$57/('Monthly CF'!$D$9:$DT$9=K9),1),"")</f>
        <v/>
      </c>
      <c r="L57" s="229">
        <f>IFERROR(AGGREGATE(15,6,'Monthly CF'!$D$57:$DT$57/('Monthly CF'!$D$9:$DT$9=L9),1),"")</f>
        <v/>
      </c>
      <c r="M57" s="229">
        <f>IFERROR(AGGREGATE(15,6,'Monthly CF'!$D$57:$DT$57/('Monthly CF'!$D$9:$DT$9=M9),1),"")</f>
        <v/>
      </c>
      <c r="N57" s="229">
        <f>IFERROR(AGGREGATE(15,6,'Monthly CF'!$D$57:$DT$57/('Monthly CF'!$D$9:$DT$9=N9),1),"")</f>
        <v/>
      </c>
      <c r="O57" s="229">
        <f>IFERROR(AGGREGATE(15,6,'Monthly CF'!$D$57:$DT$57/('Monthly CF'!$D$9:$DT$9=O9),1),"")</f>
        <v/>
      </c>
    </row>
    <row r="58" ht="15" customHeight="1" s="148">
      <c r="C58">
        <f>SUM(D58:O58)</f>
        <v/>
      </c>
    </row>
    <row r="59" ht="15" customHeight="1" s="148">
      <c r="A59" s="110" t="inlineStr">
        <is>
          <t>Non-Operating Expenses</t>
        </is>
      </c>
      <c r="C59" s="228">
        <f>SUM(D59:O59)</f>
        <v/>
      </c>
      <c r="D59" s="228" t="n"/>
      <c r="E59" s="228" t="n"/>
      <c r="F59" s="228" t="n"/>
      <c r="G59" s="228" t="n"/>
      <c r="H59" s="228" t="n"/>
      <c r="I59" s="228" t="n"/>
      <c r="J59" s="228" t="n"/>
      <c r="K59" s="228" t="n"/>
      <c r="L59" s="228" t="n"/>
      <c r="M59" s="228" t="n"/>
      <c r="N59" s="228" t="n"/>
      <c r="O59" s="228" t="n"/>
    </row>
    <row r="60" ht="15" customHeight="1" s="148">
      <c r="A60" s="112" t="inlineStr">
        <is>
          <t>Non-Operating Expenses</t>
        </is>
      </c>
      <c r="C60" s="228">
        <f>SUM(D60:O60)</f>
        <v/>
      </c>
      <c r="D60" s="228">
        <f>SUMIF('Monthly CF'!$D$9:$DT$9,D$9,'Monthly CF'!$D$60:$DT$60)</f>
        <v/>
      </c>
      <c r="E60" s="228">
        <f>SUMIF('Monthly CF'!$D$9:$DT$9,E$9,'Monthly CF'!$D$60:$DT$60)</f>
        <v/>
      </c>
      <c r="F60" s="228">
        <f>SUMIF('Monthly CF'!$D$9:$DT$9,F$9,'Monthly CF'!$D$60:$DT$60)</f>
        <v/>
      </c>
      <c r="G60" s="228">
        <f>SUMIF('Monthly CF'!$D$9:$DT$9,G$9,'Monthly CF'!$D$60:$DT$60)</f>
        <v/>
      </c>
      <c r="H60" s="228">
        <f>SUMIF('Monthly CF'!$D$9:$DT$9,H$9,'Monthly CF'!$D$60:$DT$60)</f>
        <v/>
      </c>
      <c r="I60" s="228">
        <f>SUMIF('Monthly CF'!$D$9:$DT$9,I$9,'Monthly CF'!$D$60:$DT$60)</f>
        <v/>
      </c>
      <c r="J60" s="228">
        <f>SUMIF('Monthly CF'!$D$9:$DT$9,J$9,'Monthly CF'!$D$60:$DT$60)</f>
        <v/>
      </c>
      <c r="K60" s="228">
        <f>SUMIF('Monthly CF'!$D$9:$DT$9,K$9,'Monthly CF'!$D$60:$DT$60)</f>
        <v/>
      </c>
      <c r="L60" s="228">
        <f>SUMIF('Monthly CF'!$D$9:$DT$9,L$9,'Monthly CF'!$D$60:$DT$60)</f>
        <v/>
      </c>
      <c r="M60" s="228">
        <f>SUMIF('Monthly CF'!$D$9:$DT$9,M$9,'Monthly CF'!$D$60:$DT$60)</f>
        <v/>
      </c>
      <c r="N60" s="228">
        <f>SUMIF('Monthly CF'!$D$9:$DT$9,N$9,'Monthly CF'!$D$60:$DT$60)</f>
        <v/>
      </c>
      <c r="O60" s="228">
        <f>SUMIF('Monthly CF'!$D$9:$DT$9,O$9,'Monthly CF'!$D$60:$DT$60)</f>
        <v/>
      </c>
    </row>
    <row r="61" ht="15" customHeight="1" s="148">
      <c r="A61" s="110" t="inlineStr">
        <is>
          <t>Total Non-Operating Expenses</t>
        </is>
      </c>
      <c r="C61" s="228">
        <f>SUM(D61:O61)</f>
        <v/>
      </c>
      <c r="D61" s="228">
        <f>SUMIF('Monthly CF'!$D$9:$DT$9,D$9,'Monthly CF'!$D$61:$DT$61)</f>
        <v/>
      </c>
      <c r="E61" s="228">
        <f>SUMIF('Monthly CF'!$D$9:$DT$9,E$9,'Monthly CF'!$D$61:$DT$61)</f>
        <v/>
      </c>
      <c r="F61" s="228">
        <f>SUMIF('Monthly CF'!$D$9:$DT$9,F$9,'Monthly CF'!$D$61:$DT$61)</f>
        <v/>
      </c>
      <c r="G61" s="228">
        <f>SUMIF('Monthly CF'!$D$9:$DT$9,G$9,'Monthly CF'!$D$61:$DT$61)</f>
        <v/>
      </c>
      <c r="H61" s="228">
        <f>SUMIF('Monthly CF'!$D$9:$DT$9,H$9,'Monthly CF'!$D$61:$DT$61)</f>
        <v/>
      </c>
      <c r="I61" s="228">
        <f>SUMIF('Monthly CF'!$D$9:$DT$9,I$9,'Monthly CF'!$D$61:$DT$61)</f>
        <v/>
      </c>
      <c r="J61" s="228">
        <f>SUMIF('Monthly CF'!$D$9:$DT$9,J$9,'Monthly CF'!$D$61:$DT$61)</f>
        <v/>
      </c>
      <c r="K61" s="228">
        <f>SUMIF('Monthly CF'!$D$9:$DT$9,K$9,'Monthly CF'!$D$61:$DT$61)</f>
        <v/>
      </c>
      <c r="L61" s="228">
        <f>SUMIF('Monthly CF'!$D$9:$DT$9,L$9,'Monthly CF'!$D$61:$DT$61)</f>
        <v/>
      </c>
      <c r="M61" s="228">
        <f>SUMIF('Monthly CF'!$D$9:$DT$9,M$9,'Monthly CF'!$D$61:$DT$61)</f>
        <v/>
      </c>
      <c r="N61" s="228">
        <f>SUMIF('Monthly CF'!$D$9:$DT$9,N$9,'Monthly CF'!$D$61:$DT$61)</f>
        <v/>
      </c>
      <c r="O61" s="228">
        <f>SUMIF('Monthly CF'!$D$9:$DT$9,O$9,'Monthly CF'!$D$61:$DT$61)</f>
        <v/>
      </c>
    </row>
    <row r="62" ht="15" customHeight="1" s="148">
      <c r="C62">
        <f>SUM(D62:O62)</f>
        <v/>
      </c>
    </row>
    <row r="63" ht="15" customHeight="1" s="148">
      <c r="A63" s="110" t="inlineStr">
        <is>
          <t>Capital Expenditures</t>
        </is>
      </c>
      <c r="C63" s="228">
        <f>SUM(D63:O63)</f>
        <v/>
      </c>
      <c r="D63" s="228" t="n"/>
      <c r="E63" s="228" t="n"/>
      <c r="F63" s="228" t="n"/>
      <c r="G63" s="228" t="n"/>
      <c r="H63" s="228" t="n"/>
      <c r="I63" s="228" t="n"/>
      <c r="J63" s="228" t="n"/>
      <c r="K63" s="228" t="n"/>
      <c r="L63" s="228" t="n"/>
      <c r="M63" s="228" t="n"/>
      <c r="N63" s="228" t="n"/>
      <c r="O63" s="228" t="n"/>
    </row>
    <row r="64" ht="15" customHeight="1" s="148">
      <c r="A64" s="112" t="inlineStr">
        <is>
          <t>Base Tenant Improvements</t>
        </is>
      </c>
      <c r="C64" s="228">
        <f>SUM(D64:O64)</f>
        <v/>
      </c>
      <c r="D64" s="228">
        <f>SUMIF('Monthly CF'!$D$9:$DT$9,D$9,'Monthly CF'!$D$64:$DT$64)</f>
        <v/>
      </c>
      <c r="E64" s="228">
        <f>SUMIF('Monthly CF'!$D$9:$DT$9,E$9,'Monthly CF'!$D$64:$DT$64)</f>
        <v/>
      </c>
      <c r="F64" s="228">
        <f>SUMIF('Monthly CF'!$D$9:$DT$9,F$9,'Monthly CF'!$D$64:$DT$64)</f>
        <v/>
      </c>
      <c r="G64" s="228">
        <f>SUMIF('Monthly CF'!$D$9:$DT$9,G$9,'Monthly CF'!$D$64:$DT$64)</f>
        <v/>
      </c>
      <c r="H64" s="228">
        <f>SUMIF('Monthly CF'!$D$9:$DT$9,H$9,'Monthly CF'!$D$64:$DT$64)</f>
        <v/>
      </c>
      <c r="I64" s="228">
        <f>SUMIF('Monthly CF'!$D$9:$DT$9,I$9,'Monthly CF'!$D$64:$DT$64)</f>
        <v/>
      </c>
      <c r="J64" s="228">
        <f>SUMIF('Monthly CF'!$D$9:$DT$9,J$9,'Monthly CF'!$D$64:$DT$64)</f>
        <v/>
      </c>
      <c r="K64" s="228">
        <f>SUMIF('Monthly CF'!$D$9:$DT$9,K$9,'Monthly CF'!$D$64:$DT$64)</f>
        <v/>
      </c>
      <c r="L64" s="228">
        <f>SUMIF('Monthly CF'!$D$9:$DT$9,L$9,'Monthly CF'!$D$64:$DT$64)</f>
        <v/>
      </c>
      <c r="M64" s="228">
        <f>SUMIF('Monthly CF'!$D$9:$DT$9,M$9,'Monthly CF'!$D$64:$DT$64)</f>
        <v/>
      </c>
      <c r="N64" s="228">
        <f>SUMIF('Monthly CF'!$D$9:$DT$9,N$9,'Monthly CF'!$D$64:$DT$64)</f>
        <v/>
      </c>
      <c r="O64" s="228">
        <f>SUMIF('Monthly CF'!$D$9:$DT$9,O$9,'Monthly CF'!$D$64:$DT$64)</f>
        <v/>
      </c>
    </row>
    <row r="65" ht="15" customHeight="1" s="148">
      <c r="A65" s="112" t="inlineStr">
        <is>
          <t>Market Tenant Improvements</t>
        </is>
      </c>
      <c r="C65" s="228">
        <f>SUM(D65:O65)</f>
        <v/>
      </c>
      <c r="D65" s="228">
        <f>SUMIF('Monthly CF'!$D$9:$DT$9,D$9,'Monthly CF'!$D$65:$DT$65)</f>
        <v/>
      </c>
      <c r="E65" s="228">
        <f>SUMIF('Monthly CF'!$D$9:$DT$9,E$9,'Monthly CF'!$D$65:$DT$65)</f>
        <v/>
      </c>
      <c r="F65" s="228">
        <f>SUMIF('Monthly CF'!$D$9:$DT$9,F$9,'Monthly CF'!$D$65:$DT$65)</f>
        <v/>
      </c>
      <c r="G65" s="228">
        <f>SUMIF('Monthly CF'!$D$9:$DT$9,G$9,'Monthly CF'!$D$65:$DT$65)</f>
        <v/>
      </c>
      <c r="H65" s="228">
        <f>SUMIF('Monthly CF'!$D$9:$DT$9,H$9,'Monthly CF'!$D$65:$DT$65)</f>
        <v/>
      </c>
      <c r="I65" s="228">
        <f>SUMIF('Monthly CF'!$D$9:$DT$9,I$9,'Monthly CF'!$D$65:$DT$65)</f>
        <v/>
      </c>
      <c r="J65" s="228">
        <f>SUMIF('Monthly CF'!$D$9:$DT$9,J$9,'Monthly CF'!$D$65:$DT$65)</f>
        <v/>
      </c>
      <c r="K65" s="228">
        <f>SUMIF('Monthly CF'!$D$9:$DT$9,K$9,'Monthly CF'!$D$65:$DT$65)</f>
        <v/>
      </c>
      <c r="L65" s="228">
        <f>SUMIF('Monthly CF'!$D$9:$DT$9,L$9,'Monthly CF'!$D$65:$DT$65)</f>
        <v/>
      </c>
      <c r="M65" s="228">
        <f>SUMIF('Monthly CF'!$D$9:$DT$9,M$9,'Monthly CF'!$D$65:$DT$65)</f>
        <v/>
      </c>
      <c r="N65" s="228">
        <f>SUMIF('Monthly CF'!$D$9:$DT$9,N$9,'Monthly CF'!$D$65:$DT$65)</f>
        <v/>
      </c>
      <c r="O65" s="228">
        <f>SUMIF('Monthly CF'!$D$9:$DT$9,O$9,'Monthly CF'!$D$65:$DT$65)</f>
        <v/>
      </c>
    </row>
    <row r="66" ht="15" customHeight="1" s="148">
      <c r="A66" s="112" t="inlineStr">
        <is>
          <t>Base Leasing Commissions</t>
        </is>
      </c>
      <c r="C66" s="228">
        <f>SUM(D66:O66)</f>
        <v/>
      </c>
      <c r="D66" s="228">
        <f>SUMIF('Monthly CF'!$D$9:$DT$9,D$9,'Monthly CF'!$D$66:$DT$66)</f>
        <v/>
      </c>
      <c r="E66" s="228">
        <f>SUMIF('Monthly CF'!$D$9:$DT$9,E$9,'Monthly CF'!$D$66:$DT$66)</f>
        <v/>
      </c>
      <c r="F66" s="228">
        <f>SUMIF('Monthly CF'!$D$9:$DT$9,F$9,'Monthly CF'!$D$66:$DT$66)</f>
        <v/>
      </c>
      <c r="G66" s="228">
        <f>SUMIF('Monthly CF'!$D$9:$DT$9,G$9,'Monthly CF'!$D$66:$DT$66)</f>
        <v/>
      </c>
      <c r="H66" s="228">
        <f>SUMIF('Monthly CF'!$D$9:$DT$9,H$9,'Monthly CF'!$D$66:$DT$66)</f>
        <v/>
      </c>
      <c r="I66" s="228">
        <f>SUMIF('Monthly CF'!$D$9:$DT$9,I$9,'Monthly CF'!$D$66:$DT$66)</f>
        <v/>
      </c>
      <c r="J66" s="228">
        <f>SUMIF('Monthly CF'!$D$9:$DT$9,J$9,'Monthly CF'!$D$66:$DT$66)</f>
        <v/>
      </c>
      <c r="K66" s="228">
        <f>SUMIF('Monthly CF'!$D$9:$DT$9,K$9,'Monthly CF'!$D$66:$DT$66)</f>
        <v/>
      </c>
      <c r="L66" s="228">
        <f>SUMIF('Monthly CF'!$D$9:$DT$9,L$9,'Monthly CF'!$D$66:$DT$66)</f>
        <v/>
      </c>
      <c r="M66" s="228">
        <f>SUMIF('Monthly CF'!$D$9:$DT$9,M$9,'Monthly CF'!$D$66:$DT$66)</f>
        <v/>
      </c>
      <c r="N66" s="228">
        <f>SUMIF('Monthly CF'!$D$9:$DT$9,N$9,'Monthly CF'!$D$66:$DT$66)</f>
        <v/>
      </c>
      <c r="O66" s="228">
        <f>SUMIF('Monthly CF'!$D$9:$DT$9,O$9,'Monthly CF'!$D$66:$DT$66)</f>
        <v/>
      </c>
    </row>
    <row r="67" ht="15" customHeight="1" s="148">
      <c r="A67" s="112" t="inlineStr">
        <is>
          <t>Market Leasing Commissions</t>
        </is>
      </c>
      <c r="C67" s="228">
        <f>SUM(D67:O67)</f>
        <v/>
      </c>
      <c r="D67" s="228">
        <f>SUMIF('Monthly CF'!$D$9:$DT$9,D$9,'Monthly CF'!$D$67:$DT$67)</f>
        <v/>
      </c>
      <c r="E67" s="228">
        <f>SUMIF('Monthly CF'!$D$9:$DT$9,E$9,'Monthly CF'!$D$67:$DT$67)</f>
        <v/>
      </c>
      <c r="F67" s="228">
        <f>SUMIF('Monthly CF'!$D$9:$DT$9,F$9,'Monthly CF'!$D$67:$DT$67)</f>
        <v/>
      </c>
      <c r="G67" s="228">
        <f>SUMIF('Monthly CF'!$D$9:$DT$9,G$9,'Monthly CF'!$D$67:$DT$67)</f>
        <v/>
      </c>
      <c r="H67" s="228">
        <f>SUMIF('Monthly CF'!$D$9:$DT$9,H$9,'Monthly CF'!$D$67:$DT$67)</f>
        <v/>
      </c>
      <c r="I67" s="228">
        <f>SUMIF('Monthly CF'!$D$9:$DT$9,I$9,'Monthly CF'!$D$67:$DT$67)</f>
        <v/>
      </c>
      <c r="J67" s="228">
        <f>SUMIF('Monthly CF'!$D$9:$DT$9,J$9,'Monthly CF'!$D$67:$DT$67)</f>
        <v/>
      </c>
      <c r="K67" s="228">
        <f>SUMIF('Monthly CF'!$D$9:$DT$9,K$9,'Monthly CF'!$D$67:$DT$67)</f>
        <v/>
      </c>
      <c r="L67" s="228">
        <f>SUMIF('Monthly CF'!$D$9:$DT$9,L$9,'Monthly CF'!$D$67:$DT$67)</f>
        <v/>
      </c>
      <c r="M67" s="228">
        <f>SUMIF('Monthly CF'!$D$9:$DT$9,M$9,'Monthly CF'!$D$67:$DT$67)</f>
        <v/>
      </c>
      <c r="N67" s="228">
        <f>SUMIF('Monthly CF'!$D$9:$DT$9,N$9,'Monthly CF'!$D$67:$DT$67)</f>
        <v/>
      </c>
      <c r="O67" s="228">
        <f>SUMIF('Monthly CF'!$D$9:$DT$9,O$9,'Monthly CF'!$D$67:$DT$67)</f>
        <v/>
      </c>
    </row>
    <row r="68" ht="15" customHeight="1" s="148">
      <c r="A68" s="112" t="inlineStr">
        <is>
          <t>CapEx Reserves</t>
        </is>
      </c>
      <c r="C68" s="228">
        <f>SUM(D68:O68)</f>
        <v/>
      </c>
      <c r="D68" s="228">
        <f>SUMIF('Monthly CF'!$D$9:$DT$9,D$9,'Monthly CF'!$D$68:$DT$68)</f>
        <v/>
      </c>
      <c r="E68" s="228">
        <f>SUMIF('Monthly CF'!$D$9:$DT$9,E$9,'Monthly CF'!$D$68:$DT$68)</f>
        <v/>
      </c>
      <c r="F68" s="228">
        <f>SUMIF('Monthly CF'!$D$9:$DT$9,F$9,'Monthly CF'!$D$68:$DT$68)</f>
        <v/>
      </c>
      <c r="G68" s="228">
        <f>SUMIF('Monthly CF'!$D$9:$DT$9,G$9,'Monthly CF'!$D$68:$DT$68)</f>
        <v/>
      </c>
      <c r="H68" s="228">
        <f>SUMIF('Monthly CF'!$D$9:$DT$9,H$9,'Monthly CF'!$D$68:$DT$68)</f>
        <v/>
      </c>
      <c r="I68" s="228">
        <f>SUMIF('Monthly CF'!$D$9:$DT$9,I$9,'Monthly CF'!$D$68:$DT$68)</f>
        <v/>
      </c>
      <c r="J68" s="228">
        <f>SUMIF('Monthly CF'!$D$9:$DT$9,J$9,'Monthly CF'!$D$68:$DT$68)</f>
        <v/>
      </c>
      <c r="K68" s="228">
        <f>SUMIF('Monthly CF'!$D$9:$DT$9,K$9,'Monthly CF'!$D$68:$DT$68)</f>
        <v/>
      </c>
      <c r="L68" s="228">
        <f>SUMIF('Monthly CF'!$D$9:$DT$9,L$9,'Monthly CF'!$D$68:$DT$68)</f>
        <v/>
      </c>
      <c r="M68" s="228">
        <f>SUMIF('Monthly CF'!$D$9:$DT$9,M$9,'Monthly CF'!$D$68:$DT$68)</f>
        <v/>
      </c>
      <c r="N68" s="228">
        <f>SUMIF('Monthly CF'!$D$9:$DT$9,N$9,'Monthly CF'!$D$68:$DT$68)</f>
        <v/>
      </c>
      <c r="O68" s="228">
        <f>SUMIF('Monthly CF'!$D$9:$DT$9,O$9,'Monthly CF'!$D$68:$DT$68)</f>
        <v/>
      </c>
    </row>
    <row r="69" ht="15" customHeight="1" s="148">
      <c r="A69" s="112" t="inlineStr">
        <is>
          <t>Other CapEx (Not Incl. in Reno. Costs)</t>
        </is>
      </c>
      <c r="C69" s="228">
        <f>SUM(D69:O69)</f>
        <v/>
      </c>
      <c r="D69" s="228">
        <f>SUMIF('Monthly CF'!$D$9:$DT$9,D$9,'Monthly CF'!$D$69:$DT$69)</f>
        <v/>
      </c>
      <c r="E69" s="228">
        <f>SUMIF('Monthly CF'!$D$9:$DT$9,E$9,'Monthly CF'!$D$69:$DT$69)</f>
        <v/>
      </c>
      <c r="F69" s="228">
        <f>SUMIF('Monthly CF'!$D$9:$DT$9,F$9,'Monthly CF'!$D$69:$DT$69)</f>
        <v/>
      </c>
      <c r="G69" s="228">
        <f>SUMIF('Monthly CF'!$D$9:$DT$9,G$9,'Monthly CF'!$D$69:$DT$69)</f>
        <v/>
      </c>
      <c r="H69" s="228">
        <f>SUMIF('Monthly CF'!$D$9:$DT$9,H$9,'Monthly CF'!$D$69:$DT$69)</f>
        <v/>
      </c>
      <c r="I69" s="228">
        <f>SUMIF('Monthly CF'!$D$9:$DT$9,I$9,'Monthly CF'!$D$69:$DT$69)</f>
        <v/>
      </c>
      <c r="J69" s="228">
        <f>SUMIF('Monthly CF'!$D$9:$DT$9,J$9,'Monthly CF'!$D$69:$DT$69)</f>
        <v/>
      </c>
      <c r="K69" s="228">
        <f>SUMIF('Monthly CF'!$D$9:$DT$9,K$9,'Monthly CF'!$D$69:$DT$69)</f>
        <v/>
      </c>
      <c r="L69" s="228">
        <f>SUMIF('Monthly CF'!$D$9:$DT$9,L$9,'Monthly CF'!$D$69:$DT$69)</f>
        <v/>
      </c>
      <c r="M69" s="228">
        <f>SUMIF('Monthly CF'!$D$9:$DT$9,M$9,'Monthly CF'!$D$69:$DT$69)</f>
        <v/>
      </c>
      <c r="N69" s="228">
        <f>SUMIF('Monthly CF'!$D$9:$DT$9,N$9,'Monthly CF'!$D$69:$DT$69)</f>
        <v/>
      </c>
      <c r="O69" s="228">
        <f>SUMIF('Monthly CF'!$D$9:$DT$9,O$9,'Monthly CF'!$D$69:$DT$69)</f>
        <v/>
      </c>
    </row>
    <row r="70" ht="15" customHeight="1" s="148">
      <c r="A70" s="110" t="inlineStr">
        <is>
          <t>Total Capital Expenditures</t>
        </is>
      </c>
      <c r="C70" s="228">
        <f>SUM(D70:O70)</f>
        <v/>
      </c>
      <c r="D70" s="228">
        <f>SUMIF('Monthly CF'!$D$9:$DT$9,D$9,'Monthly CF'!$D$70:$DT$70)</f>
        <v/>
      </c>
      <c r="E70" s="228">
        <f>SUMIF('Monthly CF'!$D$9:$DT$9,E$9,'Monthly CF'!$D$70:$DT$70)</f>
        <v/>
      </c>
      <c r="F70" s="228">
        <f>SUMIF('Monthly CF'!$D$9:$DT$9,F$9,'Monthly CF'!$D$70:$DT$70)</f>
        <v/>
      </c>
      <c r="G70" s="228">
        <f>SUMIF('Monthly CF'!$D$9:$DT$9,G$9,'Monthly CF'!$D$70:$DT$70)</f>
        <v/>
      </c>
      <c r="H70" s="228">
        <f>SUMIF('Monthly CF'!$D$9:$DT$9,H$9,'Monthly CF'!$D$70:$DT$70)</f>
        <v/>
      </c>
      <c r="I70" s="228">
        <f>SUMIF('Monthly CF'!$D$9:$DT$9,I$9,'Monthly CF'!$D$70:$DT$70)</f>
        <v/>
      </c>
      <c r="J70" s="228">
        <f>SUMIF('Monthly CF'!$D$9:$DT$9,J$9,'Monthly CF'!$D$70:$DT$70)</f>
        <v/>
      </c>
      <c r="K70" s="228">
        <f>SUMIF('Monthly CF'!$D$9:$DT$9,K$9,'Monthly CF'!$D$70:$DT$70)</f>
        <v/>
      </c>
      <c r="L70" s="228">
        <f>SUMIF('Monthly CF'!$D$9:$DT$9,L$9,'Monthly CF'!$D$70:$DT$70)</f>
        <v/>
      </c>
      <c r="M70" s="228">
        <f>SUMIF('Monthly CF'!$D$9:$DT$9,M$9,'Monthly CF'!$D$70:$DT$70)</f>
        <v/>
      </c>
      <c r="N70" s="228">
        <f>SUMIF('Monthly CF'!$D$9:$DT$9,N$9,'Monthly CF'!$D$70:$DT$70)</f>
        <v/>
      </c>
      <c r="O70" s="228">
        <f>SUMIF('Monthly CF'!$D$9:$DT$9,O$9,'Monthly CF'!$D$70:$DT$70)</f>
        <v/>
      </c>
    </row>
    <row r="71" ht="15" customHeight="1" s="148">
      <c r="C71">
        <f>SUM(D71:O71)</f>
        <v/>
      </c>
    </row>
    <row r="72" ht="15" customHeight="1" s="148">
      <c r="A72" s="110" t="inlineStr">
        <is>
          <t>Unlevered Operating Cash Flow</t>
        </is>
      </c>
      <c r="C72" s="228">
        <f>SUM(D72:O72)</f>
        <v/>
      </c>
      <c r="D72" s="228">
        <f>SUMIF('Monthly CF'!$D$9:$DT$9,D$9,'Monthly CF'!$D$72:$DT$72)</f>
        <v/>
      </c>
      <c r="E72" s="228">
        <f>SUMIF('Monthly CF'!$D$9:$DT$9,E$9,'Monthly CF'!$D$72:$DT$72)</f>
        <v/>
      </c>
      <c r="F72" s="228">
        <f>SUMIF('Monthly CF'!$D$9:$DT$9,F$9,'Monthly CF'!$D$72:$DT$72)</f>
        <v/>
      </c>
      <c r="G72" s="228">
        <f>SUMIF('Monthly CF'!$D$9:$DT$9,G$9,'Monthly CF'!$D$72:$DT$72)</f>
        <v/>
      </c>
      <c r="H72" s="228">
        <f>SUMIF('Monthly CF'!$D$9:$DT$9,H$9,'Monthly CF'!$D$72:$DT$72)</f>
        <v/>
      </c>
      <c r="I72" s="228">
        <f>SUMIF('Monthly CF'!$D$9:$DT$9,I$9,'Monthly CF'!$D$72:$DT$72)</f>
        <v/>
      </c>
      <c r="J72" s="228">
        <f>SUMIF('Monthly CF'!$D$9:$DT$9,J$9,'Monthly CF'!$D$72:$DT$72)</f>
        <v/>
      </c>
      <c r="K72" s="228">
        <f>SUMIF('Monthly CF'!$D$9:$DT$9,K$9,'Monthly CF'!$D$72:$DT$72)</f>
        <v/>
      </c>
      <c r="L72" s="228">
        <f>SUMIF('Monthly CF'!$D$9:$DT$9,L$9,'Monthly CF'!$D$72:$DT$72)</f>
        <v/>
      </c>
      <c r="M72" s="228">
        <f>SUMIF('Monthly CF'!$D$9:$DT$9,M$9,'Monthly CF'!$D$72:$DT$72)</f>
        <v/>
      </c>
      <c r="N72" s="228">
        <f>SUMIF('Monthly CF'!$D$9:$DT$9,N$9,'Monthly CF'!$D$72:$DT$72)</f>
        <v/>
      </c>
      <c r="O72" s="228">
        <f>SUMIF('Monthly CF'!$D$9:$DT$9,O$9,'Monthly CF'!$D$72:$DT$72)</f>
        <v/>
      </c>
    </row>
    <row r="73" ht="15" customHeight="1" s="148">
      <c r="A73" s="115" t="inlineStr">
        <is>
          <t>DSCR</t>
        </is>
      </c>
      <c r="C73" s="116">
        <f>SUM(D73:O73)</f>
        <v/>
      </c>
      <c r="D73" s="229">
        <f>IFERROR(AGGREGATE(15,6,'Monthly CF'!$D$73:$DT$73/('Monthly CF'!$D$9:$DT$9=D9),1),"")</f>
        <v/>
      </c>
      <c r="E73" s="229">
        <f>IFERROR(AGGREGATE(15,6,'Monthly CF'!$D$73:$DT$73/('Monthly CF'!$D$9:$DT$9=E9),1),"")</f>
        <v/>
      </c>
      <c r="F73" s="229">
        <f>IFERROR(AGGREGATE(15,6,'Monthly CF'!$D$73:$DT$73/('Monthly CF'!$D$9:$DT$9=F9),1),"")</f>
        <v/>
      </c>
      <c r="G73" s="229">
        <f>IFERROR(AGGREGATE(15,6,'Monthly CF'!$D$73:$DT$73/('Monthly CF'!$D$9:$DT$9=G9),1),"")</f>
        <v/>
      </c>
      <c r="H73" s="229">
        <f>IFERROR(AGGREGATE(15,6,'Monthly CF'!$D$73:$DT$73/('Monthly CF'!$D$9:$DT$9=H9),1),"")</f>
        <v/>
      </c>
      <c r="I73" s="229">
        <f>IFERROR(AGGREGATE(15,6,'Monthly CF'!$D$73:$DT$73/('Monthly CF'!$D$9:$DT$9=I9),1),"")</f>
        <v/>
      </c>
      <c r="J73" s="229">
        <f>IFERROR(AGGREGATE(15,6,'Monthly CF'!$D$73:$DT$73/('Monthly CF'!$D$9:$DT$9=J9),1),"")</f>
        <v/>
      </c>
      <c r="K73" s="229">
        <f>IFERROR(AGGREGATE(15,6,'Monthly CF'!$D$73:$DT$73/('Monthly CF'!$D$9:$DT$9=K9),1),"")</f>
        <v/>
      </c>
      <c r="L73" s="229">
        <f>IFERROR(AGGREGATE(15,6,'Monthly CF'!$D$73:$DT$73/('Monthly CF'!$D$9:$DT$9=L9),1),"")</f>
        <v/>
      </c>
      <c r="M73" s="229">
        <f>IFERROR(AGGREGATE(15,6,'Monthly CF'!$D$73:$DT$73/('Monthly CF'!$D$9:$DT$9=M9),1),"")</f>
        <v/>
      </c>
      <c r="N73" s="229">
        <f>IFERROR(AGGREGATE(15,6,'Monthly CF'!$D$73:$DT$73/('Monthly CF'!$D$9:$DT$9=N9),1),"")</f>
        <v/>
      </c>
      <c r="O73" s="229">
        <f>IFERROR(AGGREGATE(15,6,'Monthly CF'!$D$73:$DT$73/('Monthly CF'!$D$9:$DT$9=O9),1),"")</f>
        <v/>
      </c>
    </row>
    <row r="74" ht="15" customHeight="1" s="148">
      <c r="C74">
        <f>SUM(D74:O74)</f>
        <v/>
      </c>
    </row>
    <row r="75" ht="15" customHeight="1" s="148">
      <c r="A75" s="110" t="inlineStr">
        <is>
          <t>Building Schedule</t>
        </is>
      </c>
      <c r="C75" s="228">
        <f>SUM(D75:O75)</f>
        <v/>
      </c>
      <c r="D75" s="228" t="n"/>
      <c r="E75" s="228" t="n"/>
      <c r="F75" s="228" t="n"/>
      <c r="G75" s="228" t="n"/>
      <c r="H75" s="228" t="n"/>
      <c r="I75" s="228" t="n"/>
      <c r="J75" s="228" t="n"/>
      <c r="K75" s="228" t="n"/>
      <c r="L75" s="228" t="n"/>
      <c r="M75" s="228" t="n"/>
      <c r="N75" s="228" t="n"/>
      <c r="O75" s="228" t="n"/>
    </row>
    <row r="76" ht="15" customHeight="1" s="148">
      <c r="A76" s="112" t="inlineStr">
        <is>
          <t>Building Purchase</t>
        </is>
      </c>
      <c r="C76" s="228">
        <f>SUM(D76:O76)</f>
        <v/>
      </c>
      <c r="D76" s="228">
        <f>SUMIF('Monthly CF'!$D$9:$DT$9,D$9,'Monthly CF'!$D$76:$DT$76)</f>
        <v/>
      </c>
      <c r="E76" s="228">
        <f>SUMIF('Monthly CF'!$D$9:$DT$9,E$9,'Monthly CF'!$D$76:$DT$76)</f>
        <v/>
      </c>
      <c r="F76" s="228">
        <f>SUMIF('Monthly CF'!$D$9:$DT$9,F$9,'Monthly CF'!$D$76:$DT$76)</f>
        <v/>
      </c>
      <c r="G76" s="228">
        <f>SUMIF('Monthly CF'!$D$9:$DT$9,G$9,'Monthly CF'!$D$76:$DT$76)</f>
        <v/>
      </c>
      <c r="H76" s="228">
        <f>SUMIF('Monthly CF'!$D$9:$DT$9,H$9,'Monthly CF'!$D$76:$DT$76)</f>
        <v/>
      </c>
      <c r="I76" s="228">
        <f>SUMIF('Monthly CF'!$D$9:$DT$9,I$9,'Monthly CF'!$D$76:$DT$76)</f>
        <v/>
      </c>
      <c r="J76" s="228">
        <f>SUMIF('Monthly CF'!$D$9:$DT$9,J$9,'Monthly CF'!$D$76:$DT$76)</f>
        <v/>
      </c>
      <c r="K76" s="228">
        <f>SUMIF('Monthly CF'!$D$9:$DT$9,K$9,'Monthly CF'!$D$76:$DT$76)</f>
        <v/>
      </c>
      <c r="L76" s="228">
        <f>SUMIF('Monthly CF'!$D$9:$DT$9,L$9,'Monthly CF'!$D$76:$DT$76)</f>
        <v/>
      </c>
      <c r="M76" s="228">
        <f>SUMIF('Monthly CF'!$D$9:$DT$9,M$9,'Monthly CF'!$D$76:$DT$76)</f>
        <v/>
      </c>
      <c r="N76" s="228">
        <f>SUMIF('Monthly CF'!$D$9:$DT$9,N$9,'Monthly CF'!$D$76:$DT$76)</f>
        <v/>
      </c>
      <c r="O76" s="228">
        <f>SUMIF('Monthly CF'!$D$9:$DT$9,O$9,'Monthly CF'!$D$76:$DT$76)</f>
        <v/>
      </c>
    </row>
    <row r="77" ht="15" customHeight="1" s="148">
      <c r="C77">
        <f>SUM(D77:O77)</f>
        <v/>
      </c>
    </row>
    <row r="78" ht="15" customHeight="1" s="148">
      <c r="A78" s="110" t="inlineStr">
        <is>
          <t>Hard Costs</t>
        </is>
      </c>
      <c r="C78" s="228">
        <f>SUM(D78:O78)</f>
        <v/>
      </c>
      <c r="D78" s="228" t="n"/>
      <c r="E78" s="228" t="n"/>
      <c r="F78" s="228" t="n"/>
      <c r="G78" s="228" t="n"/>
      <c r="H78" s="228" t="n"/>
      <c r="I78" s="228" t="n"/>
      <c r="J78" s="228" t="n"/>
      <c r="K78" s="228" t="n"/>
      <c r="L78" s="228" t="n"/>
      <c r="M78" s="228" t="n"/>
      <c r="N78" s="228" t="n"/>
      <c r="O78" s="228" t="n"/>
    </row>
    <row r="79" ht="15" customHeight="1" s="148">
      <c r="A79" s="112" t="inlineStr">
        <is>
          <t>Shell Industrial</t>
        </is>
      </c>
      <c r="C79" s="228">
        <f>SUM(D79:O79)</f>
        <v/>
      </c>
      <c r="D79" s="228">
        <f>SUMIF('Monthly CF'!$D$9:$DT$9,D$9,'Monthly CF'!$D$79:$DT$79)</f>
        <v/>
      </c>
      <c r="E79" s="228">
        <f>SUMIF('Monthly CF'!$D$9:$DT$9,E$9,'Monthly CF'!$D$79:$DT$79)</f>
        <v/>
      </c>
      <c r="F79" s="228">
        <f>SUMIF('Monthly CF'!$D$9:$DT$9,F$9,'Monthly CF'!$D$79:$DT$79)</f>
        <v/>
      </c>
      <c r="G79" s="228">
        <f>SUMIF('Monthly CF'!$D$9:$DT$9,G$9,'Monthly CF'!$D$79:$DT$79)</f>
        <v/>
      </c>
      <c r="H79" s="228">
        <f>SUMIF('Monthly CF'!$D$9:$DT$9,H$9,'Monthly CF'!$D$79:$DT$79)</f>
        <v/>
      </c>
      <c r="I79" s="228">
        <f>SUMIF('Monthly CF'!$D$9:$DT$9,I$9,'Monthly CF'!$D$79:$DT$79)</f>
        <v/>
      </c>
      <c r="J79" s="228">
        <f>SUMIF('Monthly CF'!$D$9:$DT$9,J$9,'Monthly CF'!$D$79:$DT$79)</f>
        <v/>
      </c>
      <c r="K79" s="228">
        <f>SUMIF('Monthly CF'!$D$9:$DT$9,K$9,'Monthly CF'!$D$79:$DT$79)</f>
        <v/>
      </c>
      <c r="L79" s="228">
        <f>SUMIF('Monthly CF'!$D$9:$DT$9,L$9,'Monthly CF'!$D$79:$DT$79)</f>
        <v/>
      </c>
      <c r="M79" s="228">
        <f>SUMIF('Monthly CF'!$D$9:$DT$9,M$9,'Monthly CF'!$D$79:$DT$79)</f>
        <v/>
      </c>
      <c r="N79" s="228">
        <f>SUMIF('Monthly CF'!$D$9:$DT$9,N$9,'Monthly CF'!$D$79:$DT$79)</f>
        <v/>
      </c>
      <c r="O79" s="228">
        <f>SUMIF('Monthly CF'!$D$9:$DT$9,O$9,'Monthly CF'!$D$79:$DT$79)</f>
        <v/>
      </c>
    </row>
    <row r="80" ht="15" customHeight="1" s="148">
      <c r="A80" s="112" t="inlineStr">
        <is>
          <t>Sitework</t>
        </is>
      </c>
      <c r="C80" s="228">
        <f>SUM(D80:O80)</f>
        <v/>
      </c>
      <c r="D80" s="228">
        <f>SUMIF('Monthly CF'!$D$9:$DT$9,D$9,'Monthly CF'!$D$80:$DT$80)</f>
        <v/>
      </c>
      <c r="E80" s="228">
        <f>SUMIF('Monthly CF'!$D$9:$DT$9,E$9,'Monthly CF'!$D$80:$DT$80)</f>
        <v/>
      </c>
      <c r="F80" s="228">
        <f>SUMIF('Monthly CF'!$D$9:$DT$9,F$9,'Monthly CF'!$D$80:$DT$80)</f>
        <v/>
      </c>
      <c r="G80" s="228">
        <f>SUMIF('Monthly CF'!$D$9:$DT$9,G$9,'Monthly CF'!$D$80:$DT$80)</f>
        <v/>
      </c>
      <c r="H80" s="228">
        <f>SUMIF('Monthly CF'!$D$9:$DT$9,H$9,'Monthly CF'!$D$80:$DT$80)</f>
        <v/>
      </c>
      <c r="I80" s="228">
        <f>SUMIF('Monthly CF'!$D$9:$DT$9,I$9,'Monthly CF'!$D$80:$DT$80)</f>
        <v/>
      </c>
      <c r="J80" s="228">
        <f>SUMIF('Monthly CF'!$D$9:$DT$9,J$9,'Monthly CF'!$D$80:$DT$80)</f>
        <v/>
      </c>
      <c r="K80" s="228">
        <f>SUMIF('Monthly CF'!$D$9:$DT$9,K$9,'Monthly CF'!$D$80:$DT$80)</f>
        <v/>
      </c>
      <c r="L80" s="228">
        <f>SUMIF('Monthly CF'!$D$9:$DT$9,L$9,'Monthly CF'!$D$80:$DT$80)</f>
        <v/>
      </c>
      <c r="M80" s="228">
        <f>SUMIF('Monthly CF'!$D$9:$DT$9,M$9,'Monthly CF'!$D$80:$DT$80)</f>
        <v/>
      </c>
      <c r="N80" s="228">
        <f>SUMIF('Monthly CF'!$D$9:$DT$9,N$9,'Monthly CF'!$D$80:$DT$80)</f>
        <v/>
      </c>
      <c r="O80" s="228">
        <f>SUMIF('Monthly CF'!$D$9:$DT$9,O$9,'Monthly CF'!$D$80:$DT$80)</f>
        <v/>
      </c>
    </row>
    <row r="81" ht="15" customHeight="1" s="148">
      <c r="A81" s="112" t="inlineStr">
        <is>
          <t>Landscape (Ground Level)</t>
        </is>
      </c>
      <c r="C81" s="228">
        <f>SUM(D81:O81)</f>
        <v/>
      </c>
      <c r="D81" s="228">
        <f>SUMIF('Monthly CF'!$D$9:$DT$9,D$9,'Monthly CF'!$D$81:$DT$81)</f>
        <v/>
      </c>
      <c r="E81" s="228">
        <f>SUMIF('Monthly CF'!$D$9:$DT$9,E$9,'Monthly CF'!$D$81:$DT$81)</f>
        <v/>
      </c>
      <c r="F81" s="228">
        <f>SUMIF('Monthly CF'!$D$9:$DT$9,F$9,'Monthly CF'!$D$81:$DT$81)</f>
        <v/>
      </c>
      <c r="G81" s="228">
        <f>SUMIF('Monthly CF'!$D$9:$DT$9,G$9,'Monthly CF'!$D$81:$DT$81)</f>
        <v/>
      </c>
      <c r="H81" s="228">
        <f>SUMIF('Monthly CF'!$D$9:$DT$9,H$9,'Monthly CF'!$D$81:$DT$81)</f>
        <v/>
      </c>
      <c r="I81" s="228">
        <f>SUMIF('Monthly CF'!$D$9:$DT$9,I$9,'Monthly CF'!$D$81:$DT$81)</f>
        <v/>
      </c>
      <c r="J81" s="228">
        <f>SUMIF('Monthly CF'!$D$9:$DT$9,J$9,'Monthly CF'!$D$81:$DT$81)</f>
        <v/>
      </c>
      <c r="K81" s="228">
        <f>SUMIF('Monthly CF'!$D$9:$DT$9,K$9,'Monthly CF'!$D$81:$DT$81)</f>
        <v/>
      </c>
      <c r="L81" s="228">
        <f>SUMIF('Monthly CF'!$D$9:$DT$9,L$9,'Monthly CF'!$D$81:$DT$81)</f>
        <v/>
      </c>
      <c r="M81" s="228">
        <f>SUMIF('Monthly CF'!$D$9:$DT$9,M$9,'Monthly CF'!$D$81:$DT$81)</f>
        <v/>
      </c>
      <c r="N81" s="228">
        <f>SUMIF('Monthly CF'!$D$9:$DT$9,N$9,'Monthly CF'!$D$81:$DT$81)</f>
        <v/>
      </c>
      <c r="O81" s="228">
        <f>SUMIF('Monthly CF'!$D$9:$DT$9,O$9,'Monthly CF'!$D$81:$DT$81)</f>
        <v/>
      </c>
    </row>
    <row r="82" ht="15" customHeight="1" s="148">
      <c r="A82" s="112" t="inlineStr">
        <is>
          <t>Landscape (Amenity + Penthouse)</t>
        </is>
      </c>
      <c r="C82" s="228">
        <f>SUM(D82:O82)</f>
        <v/>
      </c>
      <c r="D82" s="228">
        <f>SUMIF('Monthly CF'!$D$9:$DT$9,D$9,'Monthly CF'!$D$82:$DT$82)</f>
        <v/>
      </c>
      <c r="E82" s="228">
        <f>SUMIF('Monthly CF'!$D$9:$DT$9,E$9,'Monthly CF'!$D$82:$DT$82)</f>
        <v/>
      </c>
      <c r="F82" s="228">
        <f>SUMIF('Monthly CF'!$D$9:$DT$9,F$9,'Monthly CF'!$D$82:$DT$82)</f>
        <v/>
      </c>
      <c r="G82" s="228">
        <f>SUMIF('Monthly CF'!$D$9:$DT$9,G$9,'Monthly CF'!$D$82:$DT$82)</f>
        <v/>
      </c>
      <c r="H82" s="228">
        <f>SUMIF('Monthly CF'!$D$9:$DT$9,H$9,'Monthly CF'!$D$82:$DT$82)</f>
        <v/>
      </c>
      <c r="I82" s="228">
        <f>SUMIF('Monthly CF'!$D$9:$DT$9,I$9,'Monthly CF'!$D$82:$DT$82)</f>
        <v/>
      </c>
      <c r="J82" s="228">
        <f>SUMIF('Monthly CF'!$D$9:$DT$9,J$9,'Monthly CF'!$D$82:$DT$82)</f>
        <v/>
      </c>
      <c r="K82" s="228">
        <f>SUMIF('Monthly CF'!$D$9:$DT$9,K$9,'Monthly CF'!$D$82:$DT$82)</f>
        <v/>
      </c>
      <c r="L82" s="228">
        <f>SUMIF('Monthly CF'!$D$9:$DT$9,L$9,'Monthly CF'!$D$82:$DT$82)</f>
        <v/>
      </c>
      <c r="M82" s="228">
        <f>SUMIF('Monthly CF'!$D$9:$DT$9,M$9,'Monthly CF'!$D$82:$DT$82)</f>
        <v/>
      </c>
      <c r="N82" s="228">
        <f>SUMIF('Monthly CF'!$D$9:$DT$9,N$9,'Monthly CF'!$D$82:$DT$82)</f>
        <v/>
      </c>
      <c r="O82" s="228">
        <f>SUMIF('Monthly CF'!$D$9:$DT$9,O$9,'Monthly CF'!$D$82:$DT$82)</f>
        <v/>
      </c>
    </row>
    <row r="83" ht="15" customHeight="1" s="148">
      <c r="A83" s="112" t="inlineStr">
        <is>
          <t>Improvements</t>
        </is>
      </c>
      <c r="C83" s="228">
        <f>SUM(D83:O83)</f>
        <v/>
      </c>
      <c r="D83" s="228">
        <f>SUMIF('Monthly CF'!$D$9:$DT$9,D$9,'Monthly CF'!$D$83:$DT$83)</f>
        <v/>
      </c>
      <c r="E83" s="228">
        <f>SUMIF('Monthly CF'!$D$9:$DT$9,E$9,'Monthly CF'!$D$83:$DT$83)</f>
        <v/>
      </c>
      <c r="F83" s="228">
        <f>SUMIF('Monthly CF'!$D$9:$DT$9,F$9,'Monthly CF'!$D$83:$DT$83)</f>
        <v/>
      </c>
      <c r="G83" s="228">
        <f>SUMIF('Monthly CF'!$D$9:$DT$9,G$9,'Monthly CF'!$D$83:$DT$83)</f>
        <v/>
      </c>
      <c r="H83" s="228">
        <f>SUMIF('Monthly CF'!$D$9:$DT$9,H$9,'Monthly CF'!$D$83:$DT$83)</f>
        <v/>
      </c>
      <c r="I83" s="228">
        <f>SUMIF('Monthly CF'!$D$9:$DT$9,I$9,'Monthly CF'!$D$83:$DT$83)</f>
        <v/>
      </c>
      <c r="J83" s="228">
        <f>SUMIF('Monthly CF'!$D$9:$DT$9,J$9,'Monthly CF'!$D$83:$DT$83)</f>
        <v/>
      </c>
      <c r="K83" s="228">
        <f>SUMIF('Monthly CF'!$D$9:$DT$9,K$9,'Monthly CF'!$D$83:$DT$83)</f>
        <v/>
      </c>
      <c r="L83" s="228">
        <f>SUMIF('Monthly CF'!$D$9:$DT$9,L$9,'Monthly CF'!$D$83:$DT$83)</f>
        <v/>
      </c>
      <c r="M83" s="228">
        <f>SUMIF('Monthly CF'!$D$9:$DT$9,M$9,'Monthly CF'!$D$83:$DT$83)</f>
        <v/>
      </c>
      <c r="N83" s="228">
        <f>SUMIF('Monthly CF'!$D$9:$DT$9,N$9,'Monthly CF'!$D$83:$DT$83)</f>
        <v/>
      </c>
      <c r="O83" s="228">
        <f>SUMIF('Monthly CF'!$D$9:$DT$9,O$9,'Monthly CF'!$D$83:$DT$83)</f>
        <v/>
      </c>
    </row>
    <row r="84" ht="15" customHeight="1" s="148">
      <c r="A84" s="112" t="inlineStr">
        <is>
          <t>Garage - Above Grade</t>
        </is>
      </c>
      <c r="C84" s="228">
        <f>SUM(D84:O84)</f>
        <v/>
      </c>
      <c r="D84" s="228">
        <f>SUMIF('Monthly CF'!$D$9:$DT$9,D$9,'Monthly CF'!$D$84:$DT$84)</f>
        <v/>
      </c>
      <c r="E84" s="228">
        <f>SUMIF('Monthly CF'!$D$9:$DT$9,E$9,'Monthly CF'!$D$84:$DT$84)</f>
        <v/>
      </c>
      <c r="F84" s="228">
        <f>SUMIF('Monthly CF'!$D$9:$DT$9,F$9,'Monthly CF'!$D$84:$DT$84)</f>
        <v/>
      </c>
      <c r="G84" s="228">
        <f>SUMIF('Monthly CF'!$D$9:$DT$9,G$9,'Monthly CF'!$D$84:$DT$84)</f>
        <v/>
      </c>
      <c r="H84" s="228">
        <f>SUMIF('Monthly CF'!$D$9:$DT$9,H$9,'Monthly CF'!$D$84:$DT$84)</f>
        <v/>
      </c>
      <c r="I84" s="228">
        <f>SUMIF('Monthly CF'!$D$9:$DT$9,I$9,'Monthly CF'!$D$84:$DT$84)</f>
        <v/>
      </c>
      <c r="J84" s="228">
        <f>SUMIF('Monthly CF'!$D$9:$DT$9,J$9,'Monthly CF'!$D$84:$DT$84)</f>
        <v/>
      </c>
      <c r="K84" s="228">
        <f>SUMIF('Monthly CF'!$D$9:$DT$9,K$9,'Monthly CF'!$D$84:$DT$84)</f>
        <v/>
      </c>
      <c r="L84" s="228">
        <f>SUMIF('Monthly CF'!$D$9:$DT$9,L$9,'Monthly CF'!$D$84:$DT$84)</f>
        <v/>
      </c>
      <c r="M84" s="228">
        <f>SUMIF('Monthly CF'!$D$9:$DT$9,M$9,'Monthly CF'!$D$84:$DT$84)</f>
        <v/>
      </c>
      <c r="N84" s="228">
        <f>SUMIF('Monthly CF'!$D$9:$DT$9,N$9,'Monthly CF'!$D$84:$DT$84)</f>
        <v/>
      </c>
      <c r="O84" s="228">
        <f>SUMIF('Monthly CF'!$D$9:$DT$9,O$9,'Monthly CF'!$D$84:$DT$84)</f>
        <v/>
      </c>
    </row>
    <row r="85" ht="15" customHeight="1" s="148">
      <c r="A85" s="112" t="inlineStr">
        <is>
          <t>Thermal and Moisture Protection</t>
        </is>
      </c>
      <c r="C85" s="228">
        <f>SUM(D85:O85)</f>
        <v/>
      </c>
      <c r="D85" s="228">
        <f>SUMIF('Monthly CF'!$D$9:$DT$9,D$9,'Monthly CF'!$D$85:$DT$85)</f>
        <v/>
      </c>
      <c r="E85" s="228">
        <f>SUMIF('Monthly CF'!$D$9:$DT$9,E$9,'Monthly CF'!$D$85:$DT$85)</f>
        <v/>
      </c>
      <c r="F85" s="228">
        <f>SUMIF('Monthly CF'!$D$9:$DT$9,F$9,'Monthly CF'!$D$85:$DT$85)</f>
        <v/>
      </c>
      <c r="G85" s="228">
        <f>SUMIF('Monthly CF'!$D$9:$DT$9,G$9,'Monthly CF'!$D$85:$DT$85)</f>
        <v/>
      </c>
      <c r="H85" s="228">
        <f>SUMIF('Monthly CF'!$D$9:$DT$9,H$9,'Monthly CF'!$D$85:$DT$85)</f>
        <v/>
      </c>
      <c r="I85" s="228">
        <f>SUMIF('Monthly CF'!$D$9:$DT$9,I$9,'Monthly CF'!$D$85:$DT$85)</f>
        <v/>
      </c>
      <c r="J85" s="228">
        <f>SUMIF('Monthly CF'!$D$9:$DT$9,J$9,'Monthly CF'!$D$85:$DT$85)</f>
        <v/>
      </c>
      <c r="K85" s="228">
        <f>SUMIF('Monthly CF'!$D$9:$DT$9,K$9,'Monthly CF'!$D$85:$DT$85)</f>
        <v/>
      </c>
      <c r="L85" s="228">
        <f>SUMIF('Monthly CF'!$D$9:$DT$9,L$9,'Monthly CF'!$D$85:$DT$85)</f>
        <v/>
      </c>
      <c r="M85" s="228">
        <f>SUMIF('Monthly CF'!$D$9:$DT$9,M$9,'Monthly CF'!$D$85:$DT$85)</f>
        <v/>
      </c>
      <c r="N85" s="228">
        <f>SUMIF('Monthly CF'!$D$9:$DT$9,N$9,'Monthly CF'!$D$85:$DT$85)</f>
        <v/>
      </c>
      <c r="O85" s="228">
        <f>SUMIF('Monthly CF'!$D$9:$DT$9,O$9,'Monthly CF'!$D$85:$DT$85)</f>
        <v/>
      </c>
    </row>
    <row r="86" ht="15" customHeight="1" s="148">
      <c r="A86" s="112" t="inlineStr">
        <is>
          <t>Doors and Windows</t>
        </is>
      </c>
      <c r="C86" s="228">
        <f>SUM(D86:O86)</f>
        <v/>
      </c>
      <c r="D86" s="228">
        <f>SUMIF('Monthly CF'!$D$9:$DT$9,D$9,'Monthly CF'!$D$86:$DT$86)</f>
        <v/>
      </c>
      <c r="E86" s="228">
        <f>SUMIF('Monthly CF'!$D$9:$DT$9,E$9,'Monthly CF'!$D$86:$DT$86)</f>
        <v/>
      </c>
      <c r="F86" s="228">
        <f>SUMIF('Monthly CF'!$D$9:$DT$9,F$9,'Monthly CF'!$D$86:$DT$86)</f>
        <v/>
      </c>
      <c r="G86" s="228">
        <f>SUMIF('Monthly CF'!$D$9:$DT$9,G$9,'Monthly CF'!$D$86:$DT$86)</f>
        <v/>
      </c>
      <c r="H86" s="228">
        <f>SUMIF('Monthly CF'!$D$9:$DT$9,H$9,'Monthly CF'!$D$86:$DT$86)</f>
        <v/>
      </c>
      <c r="I86" s="228">
        <f>SUMIF('Monthly CF'!$D$9:$DT$9,I$9,'Monthly CF'!$D$86:$DT$86)</f>
        <v/>
      </c>
      <c r="J86" s="228">
        <f>SUMIF('Monthly CF'!$D$9:$DT$9,J$9,'Monthly CF'!$D$86:$DT$86)</f>
        <v/>
      </c>
      <c r="K86" s="228">
        <f>SUMIF('Monthly CF'!$D$9:$DT$9,K$9,'Monthly CF'!$D$86:$DT$86)</f>
        <v/>
      </c>
      <c r="L86" s="228">
        <f>SUMIF('Monthly CF'!$D$9:$DT$9,L$9,'Monthly CF'!$D$86:$DT$86)</f>
        <v/>
      </c>
      <c r="M86" s="228">
        <f>SUMIF('Monthly CF'!$D$9:$DT$9,M$9,'Monthly CF'!$D$86:$DT$86)</f>
        <v/>
      </c>
      <c r="N86" s="228">
        <f>SUMIF('Monthly CF'!$D$9:$DT$9,N$9,'Monthly CF'!$D$86:$DT$86)</f>
        <v/>
      </c>
      <c r="O86" s="228">
        <f>SUMIF('Monthly CF'!$D$9:$DT$9,O$9,'Monthly CF'!$D$86:$DT$86)</f>
        <v/>
      </c>
    </row>
    <row r="87" ht="15" customHeight="1" s="148">
      <c r="A87" s="112" t="inlineStr">
        <is>
          <t>Finishes</t>
        </is>
      </c>
      <c r="C87" s="228">
        <f>SUM(D87:O87)</f>
        <v/>
      </c>
      <c r="D87" s="228">
        <f>SUMIF('Monthly CF'!$D$9:$DT$9,D$9,'Monthly CF'!$D$87:$DT$87)</f>
        <v/>
      </c>
      <c r="E87" s="228">
        <f>SUMIF('Monthly CF'!$D$9:$DT$9,E$9,'Monthly CF'!$D$87:$DT$87)</f>
        <v/>
      </c>
      <c r="F87" s="228">
        <f>SUMIF('Monthly CF'!$D$9:$DT$9,F$9,'Monthly CF'!$D$87:$DT$87)</f>
        <v/>
      </c>
      <c r="G87" s="228">
        <f>SUMIF('Monthly CF'!$D$9:$DT$9,G$9,'Monthly CF'!$D$87:$DT$87)</f>
        <v/>
      </c>
      <c r="H87" s="228">
        <f>SUMIF('Monthly CF'!$D$9:$DT$9,H$9,'Monthly CF'!$D$87:$DT$87)</f>
        <v/>
      </c>
      <c r="I87" s="228">
        <f>SUMIF('Monthly CF'!$D$9:$DT$9,I$9,'Monthly CF'!$D$87:$DT$87)</f>
        <v/>
      </c>
      <c r="J87" s="228">
        <f>SUMIF('Monthly CF'!$D$9:$DT$9,J$9,'Monthly CF'!$D$87:$DT$87)</f>
        <v/>
      </c>
      <c r="K87" s="228">
        <f>SUMIF('Monthly CF'!$D$9:$DT$9,K$9,'Monthly CF'!$D$87:$DT$87)</f>
        <v/>
      </c>
      <c r="L87" s="228">
        <f>SUMIF('Monthly CF'!$D$9:$DT$9,L$9,'Monthly CF'!$D$87:$DT$87)</f>
        <v/>
      </c>
      <c r="M87" s="228">
        <f>SUMIF('Monthly CF'!$D$9:$DT$9,M$9,'Monthly CF'!$D$87:$DT$87)</f>
        <v/>
      </c>
      <c r="N87" s="228">
        <f>SUMIF('Monthly CF'!$D$9:$DT$9,N$9,'Monthly CF'!$D$87:$DT$87)</f>
        <v/>
      </c>
      <c r="O87" s="228">
        <f>SUMIF('Monthly CF'!$D$9:$DT$9,O$9,'Monthly CF'!$D$87:$DT$87)</f>
        <v/>
      </c>
    </row>
    <row r="88" ht="15" customHeight="1" s="148">
      <c r="A88" s="112" t="inlineStr">
        <is>
          <t>Special Ties</t>
        </is>
      </c>
      <c r="C88" s="228">
        <f>SUM(D88:O88)</f>
        <v/>
      </c>
      <c r="D88" s="228">
        <f>SUMIF('Monthly CF'!$D$9:$DT$9,D$9,'Monthly CF'!$D$88:$DT$88)</f>
        <v/>
      </c>
      <c r="E88" s="228">
        <f>SUMIF('Monthly CF'!$D$9:$DT$9,E$9,'Monthly CF'!$D$88:$DT$88)</f>
        <v/>
      </c>
      <c r="F88" s="228">
        <f>SUMIF('Monthly CF'!$D$9:$DT$9,F$9,'Monthly CF'!$D$88:$DT$88)</f>
        <v/>
      </c>
      <c r="G88" s="228">
        <f>SUMIF('Monthly CF'!$D$9:$DT$9,G$9,'Monthly CF'!$D$88:$DT$88)</f>
        <v/>
      </c>
      <c r="H88" s="228">
        <f>SUMIF('Monthly CF'!$D$9:$DT$9,H$9,'Monthly CF'!$D$88:$DT$88)</f>
        <v/>
      </c>
      <c r="I88" s="228">
        <f>SUMIF('Monthly CF'!$D$9:$DT$9,I$9,'Monthly CF'!$D$88:$DT$88)</f>
        <v/>
      </c>
      <c r="J88" s="228">
        <f>SUMIF('Monthly CF'!$D$9:$DT$9,J$9,'Monthly CF'!$D$88:$DT$88)</f>
        <v/>
      </c>
      <c r="K88" s="228">
        <f>SUMIF('Monthly CF'!$D$9:$DT$9,K$9,'Monthly CF'!$D$88:$DT$88)</f>
        <v/>
      </c>
      <c r="L88" s="228">
        <f>SUMIF('Monthly CF'!$D$9:$DT$9,L$9,'Monthly CF'!$D$88:$DT$88)</f>
        <v/>
      </c>
      <c r="M88" s="228">
        <f>SUMIF('Monthly CF'!$D$9:$DT$9,M$9,'Monthly CF'!$D$88:$DT$88)</f>
        <v/>
      </c>
      <c r="N88" s="228">
        <f>SUMIF('Monthly CF'!$D$9:$DT$9,N$9,'Monthly CF'!$D$88:$DT$88)</f>
        <v/>
      </c>
      <c r="O88" s="228">
        <f>SUMIF('Monthly CF'!$D$9:$DT$9,O$9,'Monthly CF'!$D$88:$DT$88)</f>
        <v/>
      </c>
    </row>
    <row r="89" ht="15" customHeight="1" s="148">
      <c r="A89" s="112" t="inlineStr">
        <is>
          <t>Equipment</t>
        </is>
      </c>
      <c r="C89" s="228">
        <f>SUM(D89:O89)</f>
        <v/>
      </c>
      <c r="D89" s="228">
        <f>SUMIF('Monthly CF'!$D$9:$DT$9,D$9,'Monthly CF'!$D$89:$DT$89)</f>
        <v/>
      </c>
      <c r="E89" s="228">
        <f>SUMIF('Monthly CF'!$D$9:$DT$9,E$9,'Monthly CF'!$D$89:$DT$89)</f>
        <v/>
      </c>
      <c r="F89" s="228">
        <f>SUMIF('Monthly CF'!$D$9:$DT$9,F$9,'Monthly CF'!$D$89:$DT$89)</f>
        <v/>
      </c>
      <c r="G89" s="228">
        <f>SUMIF('Monthly CF'!$D$9:$DT$9,G$9,'Monthly CF'!$D$89:$DT$89)</f>
        <v/>
      </c>
      <c r="H89" s="228">
        <f>SUMIF('Monthly CF'!$D$9:$DT$9,H$9,'Monthly CF'!$D$89:$DT$89)</f>
        <v/>
      </c>
      <c r="I89" s="228">
        <f>SUMIF('Monthly CF'!$D$9:$DT$9,I$9,'Monthly CF'!$D$89:$DT$89)</f>
        <v/>
      </c>
      <c r="J89" s="228">
        <f>SUMIF('Monthly CF'!$D$9:$DT$9,J$9,'Monthly CF'!$D$89:$DT$89)</f>
        <v/>
      </c>
      <c r="K89" s="228">
        <f>SUMIF('Monthly CF'!$D$9:$DT$9,K$9,'Monthly CF'!$D$89:$DT$89)</f>
        <v/>
      </c>
      <c r="L89" s="228">
        <f>SUMIF('Monthly CF'!$D$9:$DT$9,L$9,'Monthly CF'!$D$89:$DT$89)</f>
        <v/>
      </c>
      <c r="M89" s="228">
        <f>SUMIF('Monthly CF'!$D$9:$DT$9,M$9,'Monthly CF'!$D$89:$DT$89)</f>
        <v/>
      </c>
      <c r="N89" s="228">
        <f>SUMIF('Monthly CF'!$D$9:$DT$9,N$9,'Monthly CF'!$D$89:$DT$89)</f>
        <v/>
      </c>
      <c r="O89" s="228">
        <f>SUMIF('Monthly CF'!$D$9:$DT$9,O$9,'Monthly CF'!$D$89:$DT$89)</f>
        <v/>
      </c>
    </row>
    <row r="90" ht="15" customHeight="1" s="148">
      <c r="A90" s="112" t="inlineStr">
        <is>
          <t>Furnishings</t>
        </is>
      </c>
      <c r="C90" s="228">
        <f>SUM(D90:O90)</f>
        <v/>
      </c>
      <c r="D90" s="228">
        <f>SUMIF('Monthly CF'!$D$9:$DT$9,D$9,'Monthly CF'!$D$90:$DT$90)</f>
        <v/>
      </c>
      <c r="E90" s="228">
        <f>SUMIF('Monthly CF'!$D$9:$DT$9,E$9,'Monthly CF'!$D$90:$DT$90)</f>
        <v/>
      </c>
      <c r="F90" s="228">
        <f>SUMIF('Monthly CF'!$D$9:$DT$9,F$9,'Monthly CF'!$D$90:$DT$90)</f>
        <v/>
      </c>
      <c r="G90" s="228">
        <f>SUMIF('Monthly CF'!$D$9:$DT$9,G$9,'Monthly CF'!$D$90:$DT$90)</f>
        <v/>
      </c>
      <c r="H90" s="228">
        <f>SUMIF('Monthly CF'!$D$9:$DT$9,H$9,'Monthly CF'!$D$90:$DT$90)</f>
        <v/>
      </c>
      <c r="I90" s="228">
        <f>SUMIF('Monthly CF'!$D$9:$DT$9,I$9,'Monthly CF'!$D$90:$DT$90)</f>
        <v/>
      </c>
      <c r="J90" s="228">
        <f>SUMIF('Monthly CF'!$D$9:$DT$9,J$9,'Monthly CF'!$D$90:$DT$90)</f>
        <v/>
      </c>
      <c r="K90" s="228">
        <f>SUMIF('Monthly CF'!$D$9:$DT$9,K$9,'Monthly CF'!$D$90:$DT$90)</f>
        <v/>
      </c>
      <c r="L90" s="228">
        <f>SUMIF('Monthly CF'!$D$9:$DT$9,L$9,'Monthly CF'!$D$90:$DT$90)</f>
        <v/>
      </c>
      <c r="M90" s="228">
        <f>SUMIF('Monthly CF'!$D$9:$DT$9,M$9,'Monthly CF'!$D$90:$DT$90)</f>
        <v/>
      </c>
      <c r="N90" s="228">
        <f>SUMIF('Monthly CF'!$D$9:$DT$9,N$9,'Monthly CF'!$D$90:$DT$90)</f>
        <v/>
      </c>
      <c r="O90" s="228">
        <f>SUMIF('Monthly CF'!$D$9:$DT$9,O$9,'Monthly CF'!$D$90:$DT$90)</f>
        <v/>
      </c>
    </row>
    <row r="91" ht="15" customHeight="1" s="148">
      <c r="A91" s="112" t="inlineStr">
        <is>
          <t>Hard Cost Contingency</t>
        </is>
      </c>
      <c r="C91" s="228">
        <f>SUM(D91:O91)</f>
        <v/>
      </c>
      <c r="D91" s="228">
        <f>SUMIF('Monthly CF'!$D$9:$DT$9,D$9,'Monthly CF'!$D$91:$DT$91)</f>
        <v/>
      </c>
      <c r="E91" s="228">
        <f>SUMIF('Monthly CF'!$D$9:$DT$9,E$9,'Monthly CF'!$D$91:$DT$91)</f>
        <v/>
      </c>
      <c r="F91" s="228">
        <f>SUMIF('Monthly CF'!$D$9:$DT$9,F$9,'Monthly CF'!$D$91:$DT$91)</f>
        <v/>
      </c>
      <c r="G91" s="228">
        <f>SUMIF('Monthly CF'!$D$9:$DT$9,G$9,'Monthly CF'!$D$91:$DT$91)</f>
        <v/>
      </c>
      <c r="H91" s="228">
        <f>SUMIF('Monthly CF'!$D$9:$DT$9,H$9,'Monthly CF'!$D$91:$DT$91)</f>
        <v/>
      </c>
      <c r="I91" s="228">
        <f>SUMIF('Monthly CF'!$D$9:$DT$9,I$9,'Monthly CF'!$D$91:$DT$91)</f>
        <v/>
      </c>
      <c r="J91" s="228">
        <f>SUMIF('Monthly CF'!$D$9:$DT$9,J$9,'Monthly CF'!$D$91:$DT$91)</f>
        <v/>
      </c>
      <c r="K91" s="228">
        <f>SUMIF('Monthly CF'!$D$9:$DT$9,K$9,'Monthly CF'!$D$91:$DT$91)</f>
        <v/>
      </c>
      <c r="L91" s="228">
        <f>SUMIF('Monthly CF'!$D$9:$DT$9,L$9,'Monthly CF'!$D$91:$DT$91)</f>
        <v/>
      </c>
      <c r="M91" s="228">
        <f>SUMIF('Monthly CF'!$D$9:$DT$9,M$9,'Monthly CF'!$D$91:$DT$91)</f>
        <v/>
      </c>
      <c r="N91" s="228">
        <f>SUMIF('Monthly CF'!$D$9:$DT$9,N$9,'Monthly CF'!$D$91:$DT$91)</f>
        <v/>
      </c>
      <c r="O91" s="228">
        <f>SUMIF('Monthly CF'!$D$9:$DT$9,O$9,'Monthly CF'!$D$91:$DT$91)</f>
        <v/>
      </c>
    </row>
    <row r="92" ht="15" customHeight="1" s="148">
      <c r="A92" s="112" t="inlineStr">
        <is>
          <t>Preliminary Renovation Costs</t>
        </is>
      </c>
      <c r="C92" s="228">
        <f>SUM(D92:O92)</f>
        <v/>
      </c>
      <c r="D92" s="228">
        <f>SUMIF('Monthly CF'!$D$9:$DT$9,D$9,'Monthly CF'!$D$92:$DT$92)</f>
        <v/>
      </c>
      <c r="E92" s="228">
        <f>SUMIF('Monthly CF'!$D$9:$DT$9,E$9,'Monthly CF'!$D$92:$DT$92)</f>
        <v/>
      </c>
      <c r="F92" s="228">
        <f>SUMIF('Monthly CF'!$D$9:$DT$9,F$9,'Monthly CF'!$D$92:$DT$92)</f>
        <v/>
      </c>
      <c r="G92" s="228">
        <f>SUMIF('Monthly CF'!$D$9:$DT$9,G$9,'Monthly CF'!$D$92:$DT$92)</f>
        <v/>
      </c>
      <c r="H92" s="228">
        <f>SUMIF('Monthly CF'!$D$9:$DT$9,H$9,'Monthly CF'!$D$92:$DT$92)</f>
        <v/>
      </c>
      <c r="I92" s="228">
        <f>SUMIF('Monthly CF'!$D$9:$DT$9,I$9,'Monthly CF'!$D$92:$DT$92)</f>
        <v/>
      </c>
      <c r="J92" s="228">
        <f>SUMIF('Monthly CF'!$D$9:$DT$9,J$9,'Monthly CF'!$D$92:$DT$92)</f>
        <v/>
      </c>
      <c r="K92" s="228">
        <f>SUMIF('Monthly CF'!$D$9:$DT$9,K$9,'Monthly CF'!$D$92:$DT$92)</f>
        <v/>
      </c>
      <c r="L92" s="228">
        <f>SUMIF('Monthly CF'!$D$9:$DT$9,L$9,'Monthly CF'!$D$92:$DT$92)</f>
        <v/>
      </c>
      <c r="M92" s="228">
        <f>SUMIF('Monthly CF'!$D$9:$DT$9,M$9,'Monthly CF'!$D$92:$DT$92)</f>
        <v/>
      </c>
      <c r="N92" s="228">
        <f>SUMIF('Monthly CF'!$D$9:$DT$9,N$9,'Monthly CF'!$D$92:$DT$92)</f>
        <v/>
      </c>
      <c r="O92" s="228">
        <f>SUMIF('Monthly CF'!$D$9:$DT$9,O$9,'Monthly CF'!$D$92:$DT$92)</f>
        <v/>
      </c>
    </row>
    <row r="93" ht="15" customHeight="1" s="148">
      <c r="A93" s="110" t="inlineStr">
        <is>
          <t>Subtotal: Hard Costs</t>
        </is>
      </c>
      <c r="C93" s="228">
        <f>SUM(D93:O93)</f>
        <v/>
      </c>
      <c r="D93" s="228">
        <f>SUMIF('Monthly CF'!$D$9:$DT$9,D$9,'Monthly CF'!$D$93:$DT$93)</f>
        <v/>
      </c>
      <c r="E93" s="228">
        <f>SUMIF('Monthly CF'!$D$9:$DT$9,E$9,'Monthly CF'!$D$93:$DT$93)</f>
        <v/>
      </c>
      <c r="F93" s="228">
        <f>SUMIF('Monthly CF'!$D$9:$DT$9,F$9,'Monthly CF'!$D$93:$DT$93)</f>
        <v/>
      </c>
      <c r="G93" s="228">
        <f>SUMIF('Monthly CF'!$D$9:$DT$9,G$9,'Monthly CF'!$D$93:$DT$93)</f>
        <v/>
      </c>
      <c r="H93" s="228">
        <f>SUMIF('Monthly CF'!$D$9:$DT$9,H$9,'Monthly CF'!$D$93:$DT$93)</f>
        <v/>
      </c>
      <c r="I93" s="228">
        <f>SUMIF('Monthly CF'!$D$9:$DT$9,I$9,'Monthly CF'!$D$93:$DT$93)</f>
        <v/>
      </c>
      <c r="J93" s="228">
        <f>SUMIF('Monthly CF'!$D$9:$DT$9,J$9,'Monthly CF'!$D$93:$DT$93)</f>
        <v/>
      </c>
      <c r="K93" s="228">
        <f>SUMIF('Monthly CF'!$D$9:$DT$9,K$9,'Monthly CF'!$D$93:$DT$93)</f>
        <v/>
      </c>
      <c r="L93" s="228">
        <f>SUMIF('Monthly CF'!$D$9:$DT$9,L$9,'Monthly CF'!$D$93:$DT$93)</f>
        <v/>
      </c>
      <c r="M93" s="228">
        <f>SUMIF('Monthly CF'!$D$9:$DT$9,M$9,'Monthly CF'!$D$93:$DT$93)</f>
        <v/>
      </c>
      <c r="N93" s="228">
        <f>SUMIF('Monthly CF'!$D$9:$DT$9,N$9,'Monthly CF'!$D$93:$DT$93)</f>
        <v/>
      </c>
      <c r="O93" s="228">
        <f>SUMIF('Monthly CF'!$D$9:$DT$9,O$9,'Monthly CF'!$D$93:$DT$93)</f>
        <v/>
      </c>
    </row>
    <row r="94" ht="15" customHeight="1" s="148">
      <c r="C94">
        <f>SUM(D94:O94)</f>
        <v/>
      </c>
    </row>
    <row r="95" ht="15" customHeight="1" s="148">
      <c r="A95" s="110" t="inlineStr">
        <is>
          <t>Soft Costs</t>
        </is>
      </c>
      <c r="C95" s="228">
        <f>SUM(D95:O95)</f>
        <v/>
      </c>
      <c r="D95" s="228" t="n"/>
      <c r="E95" s="228" t="n"/>
      <c r="F95" s="228" t="n"/>
      <c r="G95" s="228" t="n"/>
      <c r="H95" s="228" t="n"/>
      <c r="I95" s="228" t="n"/>
      <c r="J95" s="228" t="n"/>
      <c r="K95" s="228" t="n"/>
      <c r="L95" s="228" t="n"/>
      <c r="M95" s="228" t="n"/>
      <c r="N95" s="228" t="n"/>
      <c r="O95" s="228" t="n"/>
    </row>
    <row r="96" ht="15" customHeight="1" s="148">
      <c r="A96" s="112" t="inlineStr">
        <is>
          <t>Acquisition Management Fee</t>
        </is>
      </c>
      <c r="C96" s="228">
        <f>SUM(D96:O96)</f>
        <v/>
      </c>
      <c r="D96" s="228">
        <f>SUMIF('Monthly CF'!$D$9:$DT$9,D$9,'Monthly CF'!$D$96:$DT$96)</f>
        <v/>
      </c>
      <c r="E96" s="228">
        <f>SUMIF('Monthly CF'!$D$9:$DT$9,E$9,'Monthly CF'!$D$96:$DT$96)</f>
        <v/>
      </c>
      <c r="F96" s="228">
        <f>SUMIF('Monthly CF'!$D$9:$DT$9,F$9,'Monthly CF'!$D$96:$DT$96)</f>
        <v/>
      </c>
      <c r="G96" s="228">
        <f>SUMIF('Monthly CF'!$D$9:$DT$9,G$9,'Monthly CF'!$D$96:$DT$96)</f>
        <v/>
      </c>
      <c r="H96" s="228">
        <f>SUMIF('Monthly CF'!$D$9:$DT$9,H$9,'Monthly CF'!$D$96:$DT$96)</f>
        <v/>
      </c>
      <c r="I96" s="228">
        <f>SUMIF('Monthly CF'!$D$9:$DT$9,I$9,'Monthly CF'!$D$96:$DT$96)</f>
        <v/>
      </c>
      <c r="J96" s="228">
        <f>SUMIF('Monthly CF'!$D$9:$DT$9,J$9,'Monthly CF'!$D$96:$DT$96)</f>
        <v/>
      </c>
      <c r="K96" s="228">
        <f>SUMIF('Monthly CF'!$D$9:$DT$9,K$9,'Monthly CF'!$D$96:$DT$96)</f>
        <v/>
      </c>
      <c r="L96" s="228">
        <f>SUMIF('Monthly CF'!$D$9:$DT$9,L$9,'Monthly CF'!$D$96:$DT$96)</f>
        <v/>
      </c>
      <c r="M96" s="228">
        <f>SUMIF('Monthly CF'!$D$9:$DT$9,M$9,'Monthly CF'!$D$96:$DT$96)</f>
        <v/>
      </c>
      <c r="N96" s="228">
        <f>SUMIF('Monthly CF'!$D$9:$DT$9,N$9,'Monthly CF'!$D$96:$DT$96)</f>
        <v/>
      </c>
      <c r="O96" s="228">
        <f>SUMIF('Monthly CF'!$D$9:$DT$9,O$9,'Monthly CF'!$D$96:$DT$96)</f>
        <v/>
      </c>
    </row>
    <row r="97" ht="15" customHeight="1" s="148">
      <c r="A97" s="112" t="inlineStr">
        <is>
          <t>Bury Power Lines (Austin Energy)</t>
        </is>
      </c>
      <c r="C97" s="228">
        <f>SUM(D97:O97)</f>
        <v/>
      </c>
      <c r="D97" s="228">
        <f>SUMIF('Monthly CF'!$D$9:$DT$9,D$9,'Monthly CF'!$D$97:$DT$97)</f>
        <v/>
      </c>
      <c r="E97" s="228">
        <f>SUMIF('Monthly CF'!$D$9:$DT$9,E$9,'Monthly CF'!$D$97:$DT$97)</f>
        <v/>
      </c>
      <c r="F97" s="228">
        <f>SUMIF('Monthly CF'!$D$9:$DT$9,F$9,'Monthly CF'!$D$97:$DT$97)</f>
        <v/>
      </c>
      <c r="G97" s="228">
        <f>SUMIF('Monthly CF'!$D$9:$DT$9,G$9,'Monthly CF'!$D$97:$DT$97)</f>
        <v/>
      </c>
      <c r="H97" s="228">
        <f>SUMIF('Monthly CF'!$D$9:$DT$9,H$9,'Monthly CF'!$D$97:$DT$97)</f>
        <v/>
      </c>
      <c r="I97" s="228">
        <f>SUMIF('Monthly CF'!$D$9:$DT$9,I$9,'Monthly CF'!$D$97:$DT$97)</f>
        <v/>
      </c>
      <c r="J97" s="228">
        <f>SUMIF('Monthly CF'!$D$9:$DT$9,J$9,'Monthly CF'!$D$97:$DT$97)</f>
        <v/>
      </c>
      <c r="K97" s="228">
        <f>SUMIF('Monthly CF'!$D$9:$DT$9,K$9,'Monthly CF'!$D$97:$DT$97)</f>
        <v/>
      </c>
      <c r="L97" s="228">
        <f>SUMIF('Monthly CF'!$D$9:$DT$9,L$9,'Monthly CF'!$D$97:$DT$97)</f>
        <v/>
      </c>
      <c r="M97" s="228">
        <f>SUMIF('Monthly CF'!$D$9:$DT$9,M$9,'Monthly CF'!$D$97:$DT$97)</f>
        <v/>
      </c>
      <c r="N97" s="228">
        <f>SUMIF('Monthly CF'!$D$9:$DT$9,N$9,'Monthly CF'!$D$97:$DT$97)</f>
        <v/>
      </c>
      <c r="O97" s="228">
        <f>SUMIF('Monthly CF'!$D$9:$DT$9,O$9,'Monthly CF'!$D$97:$DT$97)</f>
        <v/>
      </c>
    </row>
    <row r="98" ht="15" customHeight="1" s="148">
      <c r="A98" s="112" t="inlineStr">
        <is>
          <t>Soft Cost Contingency</t>
        </is>
      </c>
      <c r="C98" s="228">
        <f>SUM(D98:O98)</f>
        <v/>
      </c>
      <c r="D98" s="228">
        <f>SUMIF('Monthly CF'!$D$9:$DT$9,D$9,'Monthly CF'!$D$98:$DT$98)</f>
        <v/>
      </c>
      <c r="E98" s="228">
        <f>SUMIF('Monthly CF'!$D$9:$DT$9,E$9,'Monthly CF'!$D$98:$DT$98)</f>
        <v/>
      </c>
      <c r="F98" s="228">
        <f>SUMIF('Monthly CF'!$D$9:$DT$9,F$9,'Monthly CF'!$D$98:$DT$98)</f>
        <v/>
      </c>
      <c r="G98" s="228">
        <f>SUMIF('Monthly CF'!$D$9:$DT$9,G$9,'Monthly CF'!$D$98:$DT$98)</f>
        <v/>
      </c>
      <c r="H98" s="228">
        <f>SUMIF('Monthly CF'!$D$9:$DT$9,H$9,'Monthly CF'!$D$98:$DT$98)</f>
        <v/>
      </c>
      <c r="I98" s="228">
        <f>SUMIF('Monthly CF'!$D$9:$DT$9,I$9,'Monthly CF'!$D$98:$DT$98)</f>
        <v/>
      </c>
      <c r="J98" s="228">
        <f>SUMIF('Monthly CF'!$D$9:$DT$9,J$9,'Monthly CF'!$D$98:$DT$98)</f>
        <v/>
      </c>
      <c r="K98" s="228">
        <f>SUMIF('Monthly CF'!$D$9:$DT$9,K$9,'Monthly CF'!$D$98:$DT$98)</f>
        <v/>
      </c>
      <c r="L98" s="228">
        <f>SUMIF('Monthly CF'!$D$9:$DT$9,L$9,'Monthly CF'!$D$98:$DT$98)</f>
        <v/>
      </c>
      <c r="M98" s="228">
        <f>SUMIF('Monthly CF'!$D$9:$DT$9,M$9,'Monthly CF'!$D$98:$DT$98)</f>
        <v/>
      </c>
      <c r="N98" s="228">
        <f>SUMIF('Monthly CF'!$D$9:$DT$9,N$9,'Monthly CF'!$D$98:$DT$98)</f>
        <v/>
      </c>
      <c r="O98" s="228">
        <f>SUMIF('Monthly CF'!$D$9:$DT$9,O$9,'Monthly CF'!$D$98:$DT$98)</f>
        <v/>
      </c>
    </row>
    <row r="99" ht="15" customHeight="1" s="148">
      <c r="A99" s="112" t="inlineStr">
        <is>
          <t>Preliminary Soft Costs</t>
        </is>
      </c>
      <c r="C99" s="228">
        <f>SUM(D99:O99)</f>
        <v/>
      </c>
      <c r="D99" s="228">
        <f>SUMIF('Monthly CF'!$D$9:$DT$9,D$9,'Monthly CF'!$D$99:$DT$99)</f>
        <v/>
      </c>
      <c r="E99" s="228">
        <f>SUMIF('Monthly CF'!$D$9:$DT$9,E$9,'Monthly CF'!$D$99:$DT$99)</f>
        <v/>
      </c>
      <c r="F99" s="228">
        <f>SUMIF('Monthly CF'!$D$9:$DT$9,F$9,'Monthly CF'!$D$99:$DT$99)</f>
        <v/>
      </c>
      <c r="G99" s="228">
        <f>SUMIF('Monthly CF'!$D$9:$DT$9,G$9,'Monthly CF'!$D$99:$DT$99)</f>
        <v/>
      </c>
      <c r="H99" s="228">
        <f>SUMIF('Monthly CF'!$D$9:$DT$9,H$9,'Monthly CF'!$D$99:$DT$99)</f>
        <v/>
      </c>
      <c r="I99" s="228">
        <f>SUMIF('Monthly CF'!$D$9:$DT$9,I$9,'Monthly CF'!$D$99:$DT$99)</f>
        <v/>
      </c>
      <c r="J99" s="228">
        <f>SUMIF('Monthly CF'!$D$9:$DT$9,J$9,'Monthly CF'!$D$99:$DT$99)</f>
        <v/>
      </c>
      <c r="K99" s="228">
        <f>SUMIF('Monthly CF'!$D$9:$DT$9,K$9,'Monthly CF'!$D$99:$DT$99)</f>
        <v/>
      </c>
      <c r="L99" s="228">
        <f>SUMIF('Monthly CF'!$D$9:$DT$9,L$9,'Monthly CF'!$D$99:$DT$99)</f>
        <v/>
      </c>
      <c r="M99" s="228">
        <f>SUMIF('Monthly CF'!$D$9:$DT$9,M$9,'Monthly CF'!$D$99:$DT$99)</f>
        <v/>
      </c>
      <c r="N99" s="228">
        <f>SUMIF('Monthly CF'!$D$9:$DT$9,N$9,'Monthly CF'!$D$99:$DT$99)</f>
        <v/>
      </c>
      <c r="O99" s="228">
        <f>SUMIF('Monthly CF'!$D$9:$DT$9,O$9,'Monthly CF'!$D$99:$DT$99)</f>
        <v/>
      </c>
    </row>
    <row r="100" ht="15" customHeight="1" s="148">
      <c r="A100" s="112" t="inlineStr">
        <is>
          <t>Operating Deficit</t>
        </is>
      </c>
      <c r="C100" s="228">
        <f>SUM(D100:O100)</f>
        <v/>
      </c>
      <c r="D100" s="228">
        <f>SUMIF('Monthly CF'!$D$9:$DT$9,D$9,'Monthly CF'!$D$100:$DT$100)</f>
        <v/>
      </c>
      <c r="E100" s="228">
        <f>SUMIF('Monthly CF'!$D$9:$DT$9,E$9,'Monthly CF'!$D$100:$DT$100)</f>
        <v/>
      </c>
      <c r="F100" s="228">
        <f>SUMIF('Monthly CF'!$D$9:$DT$9,F$9,'Monthly CF'!$D$100:$DT$100)</f>
        <v/>
      </c>
      <c r="G100" s="228">
        <f>SUMIF('Monthly CF'!$D$9:$DT$9,G$9,'Monthly CF'!$D$100:$DT$100)</f>
        <v/>
      </c>
      <c r="H100" s="228">
        <f>SUMIF('Monthly CF'!$D$9:$DT$9,H$9,'Monthly CF'!$D$100:$DT$100)</f>
        <v/>
      </c>
      <c r="I100" s="228">
        <f>SUMIF('Monthly CF'!$D$9:$DT$9,I$9,'Monthly CF'!$D$100:$DT$100)</f>
        <v/>
      </c>
      <c r="J100" s="228">
        <f>SUMIF('Monthly CF'!$D$9:$DT$9,J$9,'Monthly CF'!$D$100:$DT$100)</f>
        <v/>
      </c>
      <c r="K100" s="228">
        <f>SUMIF('Monthly CF'!$D$9:$DT$9,K$9,'Monthly CF'!$D$100:$DT$100)</f>
        <v/>
      </c>
      <c r="L100" s="228">
        <f>SUMIF('Monthly CF'!$D$9:$DT$9,L$9,'Monthly CF'!$D$100:$DT$100)</f>
        <v/>
      </c>
      <c r="M100" s="228">
        <f>SUMIF('Monthly CF'!$D$9:$DT$9,M$9,'Monthly CF'!$D$100:$DT$100)</f>
        <v/>
      </c>
      <c r="N100" s="228">
        <f>SUMIF('Monthly CF'!$D$9:$DT$9,N$9,'Monthly CF'!$D$100:$DT$100)</f>
        <v/>
      </c>
      <c r="O100" s="228">
        <f>SUMIF('Monthly CF'!$D$9:$DT$9,O$9,'Monthly CF'!$D$100:$DT$100)</f>
        <v/>
      </c>
    </row>
    <row r="101" ht="15" customHeight="1" s="148">
      <c r="A101" s="110" t="inlineStr">
        <is>
          <t>Subtotal- Soft Costs</t>
        </is>
      </c>
      <c r="C101" s="228">
        <f>SUM(D101:O101)</f>
        <v/>
      </c>
      <c r="D101" s="228">
        <f>SUMIF('Monthly CF'!$D$9:$DT$9,D$9,'Monthly CF'!$D$101:$DT$101)</f>
        <v/>
      </c>
      <c r="E101" s="228">
        <f>SUMIF('Monthly CF'!$D$9:$DT$9,E$9,'Monthly CF'!$D$101:$DT$101)</f>
        <v/>
      </c>
      <c r="F101" s="228">
        <f>SUMIF('Monthly CF'!$D$9:$DT$9,F$9,'Monthly CF'!$D$101:$DT$101)</f>
        <v/>
      </c>
      <c r="G101" s="228">
        <f>SUMIF('Monthly CF'!$D$9:$DT$9,G$9,'Monthly CF'!$D$101:$DT$101)</f>
        <v/>
      </c>
      <c r="H101" s="228">
        <f>SUMIF('Monthly CF'!$D$9:$DT$9,H$9,'Monthly CF'!$D$101:$DT$101)</f>
        <v/>
      </c>
      <c r="I101" s="228">
        <f>SUMIF('Monthly CF'!$D$9:$DT$9,I$9,'Monthly CF'!$D$101:$DT$101)</f>
        <v/>
      </c>
      <c r="J101" s="228">
        <f>SUMIF('Monthly CF'!$D$9:$DT$9,J$9,'Monthly CF'!$D$101:$DT$101)</f>
        <v/>
      </c>
      <c r="K101" s="228">
        <f>SUMIF('Monthly CF'!$D$9:$DT$9,K$9,'Monthly CF'!$D$101:$DT$101)</f>
        <v/>
      </c>
      <c r="L101" s="228">
        <f>SUMIF('Monthly CF'!$D$9:$DT$9,L$9,'Monthly CF'!$D$101:$DT$101)</f>
        <v/>
      </c>
      <c r="M101" s="228">
        <f>SUMIF('Monthly CF'!$D$9:$DT$9,M$9,'Monthly CF'!$D$101:$DT$101)</f>
        <v/>
      </c>
      <c r="N101" s="228">
        <f>SUMIF('Monthly CF'!$D$9:$DT$9,N$9,'Monthly CF'!$D$101:$DT$101)</f>
        <v/>
      </c>
      <c r="O101" s="228">
        <f>SUMIF('Monthly CF'!$D$9:$DT$9,O$9,'Monthly CF'!$D$101:$DT$101)</f>
        <v/>
      </c>
    </row>
    <row r="102" ht="15" customHeight="1" s="148">
      <c r="C102">
        <f>SUM(D102:O102)</f>
        <v/>
      </c>
    </row>
    <row r="103" ht="15" customHeight="1" s="148">
      <c r="A103" s="110" t="inlineStr">
        <is>
          <t>Renovation Total</t>
        </is>
      </c>
      <c r="C103" s="228">
        <f>SUM(D103:O103)</f>
        <v/>
      </c>
      <c r="D103" s="228">
        <f>SUMIF('Monthly CF'!$D$9:$DT$9,D$9,'Monthly CF'!$D$103:$DT$103)</f>
        <v/>
      </c>
      <c r="E103" s="228">
        <f>SUMIF('Monthly CF'!$D$9:$DT$9,E$9,'Monthly CF'!$D$103:$DT$103)</f>
        <v/>
      </c>
      <c r="F103" s="228">
        <f>SUMIF('Monthly CF'!$D$9:$DT$9,F$9,'Monthly CF'!$D$103:$DT$103)</f>
        <v/>
      </c>
      <c r="G103" s="228">
        <f>SUMIF('Monthly CF'!$D$9:$DT$9,G$9,'Monthly CF'!$D$103:$DT$103)</f>
        <v/>
      </c>
      <c r="H103" s="228">
        <f>SUMIF('Monthly CF'!$D$9:$DT$9,H$9,'Monthly CF'!$D$103:$DT$103)</f>
        <v/>
      </c>
      <c r="I103" s="228">
        <f>SUMIF('Monthly CF'!$D$9:$DT$9,I$9,'Monthly CF'!$D$103:$DT$103)</f>
        <v/>
      </c>
      <c r="J103" s="228">
        <f>SUMIF('Monthly CF'!$D$9:$DT$9,J$9,'Monthly CF'!$D$103:$DT$103)</f>
        <v/>
      </c>
      <c r="K103" s="228">
        <f>SUMIF('Monthly CF'!$D$9:$DT$9,K$9,'Monthly CF'!$D$103:$DT$103)</f>
        <v/>
      </c>
      <c r="L103" s="228">
        <f>SUMIF('Monthly CF'!$D$9:$DT$9,L$9,'Monthly CF'!$D$103:$DT$103)</f>
        <v/>
      </c>
      <c r="M103" s="228">
        <f>SUMIF('Monthly CF'!$D$9:$DT$9,M$9,'Monthly CF'!$D$103:$DT$103)</f>
        <v/>
      </c>
      <c r="N103" s="228">
        <f>SUMIF('Monthly CF'!$D$9:$DT$9,N$9,'Monthly CF'!$D$103:$DT$103)</f>
        <v/>
      </c>
      <c r="O103" s="228">
        <f>SUMIF('Monthly CF'!$D$9:$DT$9,O$9,'Monthly CF'!$D$103:$DT$103)</f>
        <v/>
      </c>
    </row>
    <row r="104" ht="15" customHeight="1" s="148">
      <c r="C104">
        <f>SUM(D104:O104)</f>
        <v/>
      </c>
    </row>
    <row r="105" ht="15" customHeight="1" s="148">
      <c r="A105" s="110" t="inlineStr">
        <is>
          <t>Gross Sale Proceeds</t>
        </is>
      </c>
      <c r="C105" s="228">
        <f>SUM(D105:O105)</f>
        <v/>
      </c>
      <c r="D105" s="228">
        <f>SUMIF('Monthly CF'!$D$9:$DT$9,D$9,'Monthly CF'!$D$105:$DT$105)</f>
        <v/>
      </c>
      <c r="E105" s="228">
        <f>SUMIF('Monthly CF'!$D$9:$DT$9,E$9,'Monthly CF'!$D$105:$DT$105)</f>
        <v/>
      </c>
      <c r="F105" s="228">
        <f>SUMIF('Monthly CF'!$D$9:$DT$9,F$9,'Monthly CF'!$D$105:$DT$105)</f>
        <v/>
      </c>
      <c r="G105" s="228">
        <f>SUMIF('Monthly CF'!$D$9:$DT$9,G$9,'Monthly CF'!$D$105:$DT$105)</f>
        <v/>
      </c>
      <c r="H105" s="228">
        <f>SUMIF('Monthly CF'!$D$9:$DT$9,H$9,'Monthly CF'!$D$105:$DT$105)</f>
        <v/>
      </c>
      <c r="I105" s="228">
        <f>SUMIF('Monthly CF'!$D$9:$DT$9,I$9,'Monthly CF'!$D$105:$DT$105)</f>
        <v/>
      </c>
      <c r="J105" s="228">
        <f>SUMIF('Monthly CF'!$D$9:$DT$9,J$9,'Monthly CF'!$D$105:$DT$105)</f>
        <v/>
      </c>
      <c r="K105" s="228">
        <f>SUMIF('Monthly CF'!$D$9:$DT$9,K$9,'Monthly CF'!$D$105:$DT$105)</f>
        <v/>
      </c>
      <c r="L105" s="228">
        <f>SUMIF('Monthly CF'!$D$9:$DT$9,L$9,'Monthly CF'!$D$105:$DT$105)</f>
        <v/>
      </c>
      <c r="M105" s="228">
        <f>SUMIF('Monthly CF'!$D$9:$DT$9,M$9,'Monthly CF'!$D$105:$DT$105)</f>
        <v/>
      </c>
      <c r="N105" s="228">
        <f>SUMIF('Monthly CF'!$D$9:$DT$9,N$9,'Monthly CF'!$D$105:$DT$105)</f>
        <v/>
      </c>
      <c r="O105" s="228">
        <f>SUMIF('Monthly CF'!$D$9:$DT$9,O$9,'Monthly CF'!$D$105:$DT$105)</f>
        <v/>
      </c>
    </row>
    <row r="106" ht="15" customHeight="1" s="148">
      <c r="A106" s="110" t="inlineStr">
        <is>
          <t>Disposition Costs</t>
        </is>
      </c>
      <c r="C106" s="228">
        <f>SUM(D106:O106)</f>
        <v/>
      </c>
      <c r="D106" s="228">
        <f>SUMIF('Monthly CF'!$D$9:$DT$9,D$9,'Monthly CF'!$D$106:$DT$106)</f>
        <v/>
      </c>
      <c r="E106" s="228">
        <f>SUMIF('Monthly CF'!$D$9:$DT$9,E$9,'Monthly CF'!$D$106:$DT$106)</f>
        <v/>
      </c>
      <c r="F106" s="228">
        <f>SUMIF('Monthly CF'!$D$9:$DT$9,F$9,'Monthly CF'!$D$106:$DT$106)</f>
        <v/>
      </c>
      <c r="G106" s="228">
        <f>SUMIF('Monthly CF'!$D$9:$DT$9,G$9,'Monthly CF'!$D$106:$DT$106)</f>
        <v/>
      </c>
      <c r="H106" s="228">
        <f>SUMIF('Monthly CF'!$D$9:$DT$9,H$9,'Monthly CF'!$D$106:$DT$106)</f>
        <v/>
      </c>
      <c r="I106" s="228">
        <f>SUMIF('Monthly CF'!$D$9:$DT$9,I$9,'Monthly CF'!$D$106:$DT$106)</f>
        <v/>
      </c>
      <c r="J106" s="228">
        <f>SUMIF('Monthly CF'!$D$9:$DT$9,J$9,'Monthly CF'!$D$106:$DT$106)</f>
        <v/>
      </c>
      <c r="K106" s="228">
        <f>SUMIF('Monthly CF'!$D$9:$DT$9,K$9,'Monthly CF'!$D$106:$DT$106)</f>
        <v/>
      </c>
      <c r="L106" s="228">
        <f>SUMIF('Monthly CF'!$D$9:$DT$9,L$9,'Monthly CF'!$D$106:$DT$106)</f>
        <v/>
      </c>
      <c r="M106" s="228">
        <f>SUMIF('Monthly CF'!$D$9:$DT$9,M$9,'Monthly CF'!$D$106:$DT$106)</f>
        <v/>
      </c>
      <c r="N106" s="228">
        <f>SUMIF('Monthly CF'!$D$9:$DT$9,N$9,'Monthly CF'!$D$106:$DT$106)</f>
        <v/>
      </c>
      <c r="O106" s="228">
        <f>SUMIF('Monthly CF'!$D$9:$DT$9,O$9,'Monthly CF'!$D$106:$DT$106)</f>
        <v/>
      </c>
    </row>
    <row r="107" ht="15" customHeight="1" s="148">
      <c r="A107" s="110" t="inlineStr">
        <is>
          <t>Total</t>
        </is>
      </c>
      <c r="C107" s="228">
        <f>SUM(D107:O107)</f>
        <v/>
      </c>
      <c r="D107" s="228">
        <f>SUMIF('Monthly CF'!$D$9:$DT$9,D$9,'Monthly CF'!$D$107:$DT$107)</f>
        <v/>
      </c>
      <c r="E107" s="228">
        <f>SUMIF('Monthly CF'!$D$9:$DT$9,E$9,'Monthly CF'!$D$107:$DT$107)</f>
        <v/>
      </c>
      <c r="F107" s="228">
        <f>SUMIF('Monthly CF'!$D$9:$DT$9,F$9,'Monthly CF'!$D$107:$DT$107)</f>
        <v/>
      </c>
      <c r="G107" s="228">
        <f>SUMIF('Monthly CF'!$D$9:$DT$9,G$9,'Monthly CF'!$D$107:$DT$107)</f>
        <v/>
      </c>
      <c r="H107" s="228">
        <f>SUMIF('Monthly CF'!$D$9:$DT$9,H$9,'Monthly CF'!$D$107:$DT$107)</f>
        <v/>
      </c>
      <c r="I107" s="228">
        <f>SUMIF('Monthly CF'!$D$9:$DT$9,I$9,'Monthly CF'!$D$107:$DT$107)</f>
        <v/>
      </c>
      <c r="J107" s="228">
        <f>SUMIF('Monthly CF'!$D$9:$DT$9,J$9,'Monthly CF'!$D$107:$DT$107)</f>
        <v/>
      </c>
      <c r="K107" s="228">
        <f>SUMIF('Monthly CF'!$D$9:$DT$9,K$9,'Monthly CF'!$D$107:$DT$107)</f>
        <v/>
      </c>
      <c r="L107" s="228">
        <f>SUMIF('Monthly CF'!$D$9:$DT$9,L$9,'Monthly CF'!$D$107:$DT$107)</f>
        <v/>
      </c>
      <c r="M107" s="228">
        <f>SUMIF('Monthly CF'!$D$9:$DT$9,M$9,'Monthly CF'!$D$107:$DT$107)</f>
        <v/>
      </c>
      <c r="N107" s="228">
        <f>SUMIF('Monthly CF'!$D$9:$DT$9,N$9,'Monthly CF'!$D$107:$DT$107)</f>
        <v/>
      </c>
      <c r="O107" s="228">
        <f>SUMIF('Monthly CF'!$D$9:$DT$9,O$9,'Monthly CF'!$D$107:$DT$107)</f>
        <v/>
      </c>
    </row>
    <row r="108" ht="15" customHeight="1" s="148">
      <c r="C108">
        <f>SUM(D108:O108)</f>
        <v/>
      </c>
    </row>
    <row r="109" ht="15" customHeight="1" s="148">
      <c r="A109" s="110" t="inlineStr">
        <is>
          <t>NCF Before Leverage</t>
        </is>
      </c>
      <c r="C109" s="228">
        <f>SUM(D109:O109)</f>
        <v/>
      </c>
      <c r="D109" s="228">
        <f>SUMIF('Monthly CF'!$D$9:$DT$9,D$9,'Monthly CF'!$D$109:$DT$109)</f>
        <v/>
      </c>
      <c r="E109" s="228">
        <f>SUMIF('Monthly CF'!$D$9:$DT$9,E$9,'Monthly CF'!$D$109:$DT$109)</f>
        <v/>
      </c>
      <c r="F109" s="228">
        <f>SUMIF('Monthly CF'!$D$9:$DT$9,F$9,'Monthly CF'!$D$109:$DT$109)</f>
        <v/>
      </c>
      <c r="G109" s="228">
        <f>SUMIF('Monthly CF'!$D$9:$DT$9,G$9,'Monthly CF'!$D$109:$DT$109)</f>
        <v/>
      </c>
      <c r="H109" s="228">
        <f>SUMIF('Monthly CF'!$D$9:$DT$9,H$9,'Monthly CF'!$D$109:$DT$109)</f>
        <v/>
      </c>
      <c r="I109" s="228">
        <f>SUMIF('Monthly CF'!$D$9:$DT$9,I$9,'Monthly CF'!$D$109:$DT$109)</f>
        <v/>
      </c>
      <c r="J109" s="228">
        <f>SUMIF('Monthly CF'!$D$9:$DT$9,J$9,'Monthly CF'!$D$109:$DT$109)</f>
        <v/>
      </c>
      <c r="K109" s="228">
        <f>SUMIF('Monthly CF'!$D$9:$DT$9,K$9,'Monthly CF'!$D$109:$DT$109)</f>
        <v/>
      </c>
      <c r="L109" s="228">
        <f>SUMIF('Monthly CF'!$D$9:$DT$9,L$9,'Monthly CF'!$D$109:$DT$109)</f>
        <v/>
      </c>
      <c r="M109" s="228">
        <f>SUMIF('Monthly CF'!$D$9:$DT$9,M$9,'Monthly CF'!$D$109:$DT$109)</f>
        <v/>
      </c>
      <c r="N109" s="228">
        <f>SUMIF('Monthly CF'!$D$9:$DT$9,N$9,'Monthly CF'!$D$109:$DT$109)</f>
        <v/>
      </c>
      <c r="O109" s="228">
        <f>SUMIF('Monthly CF'!$D$9:$DT$9,O$9,'Monthly CF'!$D$109:$DT$109)</f>
        <v/>
      </c>
    </row>
    <row r="110" ht="15" customHeight="1" s="148">
      <c r="A110" s="112" t="inlineStr">
        <is>
          <t>Cumulative NCF before Leverage</t>
        </is>
      </c>
      <c r="C110" s="228">
        <f>SUM(D110:O110)</f>
        <v/>
      </c>
      <c r="D110" s="228">
        <f>D$109</f>
        <v/>
      </c>
      <c r="E110" s="228">
        <f>D$110+E$109</f>
        <v/>
      </c>
      <c r="F110" s="228">
        <f>E$110+F$109</f>
        <v/>
      </c>
      <c r="G110" s="228">
        <f>F$110+G$109</f>
        <v/>
      </c>
      <c r="H110" s="228">
        <f>G$110+H$109</f>
        <v/>
      </c>
      <c r="I110" s="228">
        <f>H$110+I$109</f>
        <v/>
      </c>
      <c r="J110" s="228">
        <f>I$110+J$109</f>
        <v/>
      </c>
      <c r="K110" s="228">
        <f>J$110+K$109</f>
        <v/>
      </c>
      <c r="L110" s="228">
        <f>K$110+L$109</f>
        <v/>
      </c>
      <c r="M110" s="228">
        <f>L$110+M$109</f>
        <v/>
      </c>
      <c r="N110" s="228">
        <f>M$110+N$109</f>
        <v/>
      </c>
      <c r="O110" s="228">
        <f>N$110+O$109</f>
        <v/>
      </c>
    </row>
    <row r="111" ht="15" customHeight="1" s="148">
      <c r="C111">
        <f>SUM(D111:O111)</f>
        <v/>
      </c>
    </row>
    <row r="112" ht="15" customHeight="1" s="148">
      <c r="A112" s="110" t="inlineStr">
        <is>
          <t>Levered Cash Flow</t>
        </is>
      </c>
      <c r="C112" s="228">
        <f>SUM(D112:O112)</f>
        <v/>
      </c>
      <c r="D112" s="228" t="n"/>
      <c r="E112" s="228" t="n"/>
      <c r="F112" s="228" t="n"/>
      <c r="G112" s="228" t="n"/>
      <c r="H112" s="228" t="n"/>
      <c r="I112" s="228" t="n"/>
      <c r="J112" s="228" t="n"/>
      <c r="K112" s="228" t="n"/>
      <c r="L112" s="228" t="n"/>
      <c r="M112" s="228" t="n"/>
      <c r="N112" s="228" t="n"/>
      <c r="O112" s="228" t="n"/>
    </row>
    <row r="113" ht="15" customHeight="1" s="148">
      <c r="A113" s="112" t="inlineStr">
        <is>
          <t>Unlevered Cash Flow</t>
        </is>
      </c>
      <c r="C113" s="228">
        <f>SUM(D113:O113)</f>
        <v/>
      </c>
      <c r="D113" s="228">
        <f>SUMIF('Monthly CF'!$D$9:$DT$9,D$9,'Monthly CF'!$D$113:$DT$113)</f>
        <v/>
      </c>
      <c r="E113" s="228">
        <f>SUMIF('Monthly CF'!$D$9:$DT$9,E$9,'Monthly CF'!$D$113:$DT$113)</f>
        <v/>
      </c>
      <c r="F113" s="228">
        <f>SUMIF('Monthly CF'!$D$9:$DT$9,F$9,'Monthly CF'!$D$113:$DT$113)</f>
        <v/>
      </c>
      <c r="G113" s="228">
        <f>SUMIF('Monthly CF'!$D$9:$DT$9,G$9,'Monthly CF'!$D$113:$DT$113)</f>
        <v/>
      </c>
      <c r="H113" s="228">
        <f>SUMIF('Monthly CF'!$D$9:$DT$9,H$9,'Monthly CF'!$D$113:$DT$113)</f>
        <v/>
      </c>
      <c r="I113" s="228">
        <f>SUMIF('Monthly CF'!$D$9:$DT$9,I$9,'Monthly CF'!$D$113:$DT$113)</f>
        <v/>
      </c>
      <c r="J113" s="228">
        <f>SUMIF('Monthly CF'!$D$9:$DT$9,J$9,'Monthly CF'!$D$113:$DT$113)</f>
        <v/>
      </c>
      <c r="K113" s="228">
        <f>SUMIF('Monthly CF'!$D$9:$DT$9,K$9,'Monthly CF'!$D$113:$DT$113)</f>
        <v/>
      </c>
      <c r="L113" s="228">
        <f>SUMIF('Monthly CF'!$D$9:$DT$9,L$9,'Monthly CF'!$D$113:$DT$113)</f>
        <v/>
      </c>
      <c r="M113" s="228">
        <f>SUMIF('Monthly CF'!$D$9:$DT$9,M$9,'Monthly CF'!$D$113:$DT$113)</f>
        <v/>
      </c>
      <c r="N113" s="228">
        <f>SUMIF('Monthly CF'!$D$9:$DT$9,N$9,'Monthly CF'!$D$113:$DT$113)</f>
        <v/>
      </c>
      <c r="O113" s="228">
        <f>SUMIF('Monthly CF'!$D$9:$DT$9,O$9,'Monthly CF'!$D$113:$DT$113)</f>
        <v/>
      </c>
    </row>
    <row r="114" ht="15" customHeight="1" s="148">
      <c r="A114" s="112" t="inlineStr">
        <is>
          <t>Acquisition Loan Origination Fee</t>
        </is>
      </c>
      <c r="C114" s="228">
        <f>SUM(D114:O114)</f>
        <v/>
      </c>
      <c r="D114" s="228">
        <f>SUMIF('Monthly CF'!$D$9:$DT$9,D$9,'Monthly CF'!$D$114:$DT$114)</f>
        <v/>
      </c>
      <c r="E114" s="228">
        <f>SUMIF('Monthly CF'!$D$9:$DT$9,E$9,'Monthly CF'!$D$114:$DT$114)</f>
        <v/>
      </c>
      <c r="F114" s="228">
        <f>SUMIF('Monthly CF'!$D$9:$DT$9,F$9,'Monthly CF'!$D$114:$DT$114)</f>
        <v/>
      </c>
      <c r="G114" s="228">
        <f>SUMIF('Monthly CF'!$D$9:$DT$9,G$9,'Monthly CF'!$D$114:$DT$114)</f>
        <v/>
      </c>
      <c r="H114" s="228">
        <f>SUMIF('Monthly CF'!$D$9:$DT$9,H$9,'Monthly CF'!$D$114:$DT$114)</f>
        <v/>
      </c>
      <c r="I114" s="228">
        <f>SUMIF('Monthly CF'!$D$9:$DT$9,I$9,'Monthly CF'!$D$114:$DT$114)</f>
        <v/>
      </c>
      <c r="J114" s="228">
        <f>SUMIF('Monthly CF'!$D$9:$DT$9,J$9,'Monthly CF'!$D$114:$DT$114)</f>
        <v/>
      </c>
      <c r="K114" s="228">
        <f>SUMIF('Monthly CF'!$D$9:$DT$9,K$9,'Monthly CF'!$D$114:$DT$114)</f>
        <v/>
      </c>
      <c r="L114" s="228">
        <f>SUMIF('Monthly CF'!$D$9:$DT$9,L$9,'Monthly CF'!$D$114:$DT$114)</f>
        <v/>
      </c>
      <c r="M114" s="228">
        <f>SUMIF('Monthly CF'!$D$9:$DT$9,M$9,'Monthly CF'!$D$114:$DT$114)</f>
        <v/>
      </c>
      <c r="N114" s="228">
        <f>SUMIF('Monthly CF'!$D$9:$DT$9,N$9,'Monthly CF'!$D$114:$DT$114)</f>
        <v/>
      </c>
      <c r="O114" s="228">
        <f>SUMIF('Monthly CF'!$D$9:$DT$9,O$9,'Monthly CF'!$D$114:$DT$114)</f>
        <v/>
      </c>
    </row>
    <row r="115" ht="15" customHeight="1" s="148">
      <c r="A115" s="112" t="inlineStr">
        <is>
          <t>Acquisition Loan Exit Fee</t>
        </is>
      </c>
      <c r="C115" s="228">
        <f>SUM(D115:O115)</f>
        <v/>
      </c>
      <c r="D115" s="228">
        <f>SUMIF('Monthly CF'!$D$9:$DT$9,D$9,'Monthly CF'!$D$115:$DT$115)</f>
        <v/>
      </c>
      <c r="E115" s="228">
        <f>SUMIF('Monthly CF'!$D$9:$DT$9,E$9,'Monthly CF'!$D$115:$DT$115)</f>
        <v/>
      </c>
      <c r="F115" s="228">
        <f>SUMIF('Monthly CF'!$D$9:$DT$9,F$9,'Monthly CF'!$D$115:$DT$115)</f>
        <v/>
      </c>
      <c r="G115" s="228">
        <f>SUMIF('Monthly CF'!$D$9:$DT$9,G$9,'Monthly CF'!$D$115:$DT$115)</f>
        <v/>
      </c>
      <c r="H115" s="228">
        <f>SUMIF('Monthly CF'!$D$9:$DT$9,H$9,'Monthly CF'!$D$115:$DT$115)</f>
        <v/>
      </c>
      <c r="I115" s="228">
        <f>SUMIF('Monthly CF'!$D$9:$DT$9,I$9,'Monthly CF'!$D$115:$DT$115)</f>
        <v/>
      </c>
      <c r="J115" s="228">
        <f>SUMIF('Monthly CF'!$D$9:$DT$9,J$9,'Monthly CF'!$D$115:$DT$115)</f>
        <v/>
      </c>
      <c r="K115" s="228">
        <f>SUMIF('Monthly CF'!$D$9:$DT$9,K$9,'Monthly CF'!$D$115:$DT$115)</f>
        <v/>
      </c>
      <c r="L115" s="228">
        <f>SUMIF('Monthly CF'!$D$9:$DT$9,L$9,'Monthly CF'!$D$115:$DT$115)</f>
        <v/>
      </c>
      <c r="M115" s="228">
        <f>SUMIF('Monthly CF'!$D$9:$DT$9,M$9,'Monthly CF'!$D$115:$DT$115)</f>
        <v/>
      </c>
      <c r="N115" s="228">
        <f>SUMIF('Monthly CF'!$D$9:$DT$9,N$9,'Monthly CF'!$D$115:$DT$115)</f>
        <v/>
      </c>
      <c r="O115" s="228">
        <f>SUMIF('Monthly CF'!$D$9:$DT$9,O$9,'Monthly CF'!$D$115:$DT$115)</f>
        <v/>
      </c>
    </row>
    <row r="116" ht="15" customHeight="1" s="148">
      <c r="A116" s="112" t="inlineStr">
        <is>
          <t>Acquisition Loan Interest Expense</t>
        </is>
      </c>
      <c r="C116" s="228">
        <f>SUM(D116:O116)</f>
        <v/>
      </c>
      <c r="D116" s="228">
        <f>SUMIF('Monthly CF'!$D$9:$DT$9,D$9,'Monthly CF'!$D$116:$DT$116)</f>
        <v/>
      </c>
      <c r="E116" s="228">
        <f>SUMIF('Monthly CF'!$D$9:$DT$9,E$9,'Monthly CF'!$D$116:$DT$116)</f>
        <v/>
      </c>
      <c r="F116" s="228">
        <f>SUMIF('Monthly CF'!$D$9:$DT$9,F$9,'Monthly CF'!$D$116:$DT$116)</f>
        <v/>
      </c>
      <c r="G116" s="228">
        <f>SUMIF('Monthly CF'!$D$9:$DT$9,G$9,'Monthly CF'!$D$116:$DT$116)</f>
        <v/>
      </c>
      <c r="H116" s="228">
        <f>SUMIF('Monthly CF'!$D$9:$DT$9,H$9,'Monthly CF'!$D$116:$DT$116)</f>
        <v/>
      </c>
      <c r="I116" s="228">
        <f>SUMIF('Monthly CF'!$D$9:$DT$9,I$9,'Monthly CF'!$D$116:$DT$116)</f>
        <v/>
      </c>
      <c r="J116" s="228">
        <f>SUMIF('Monthly CF'!$D$9:$DT$9,J$9,'Monthly CF'!$D$116:$DT$116)</f>
        <v/>
      </c>
      <c r="K116" s="228">
        <f>SUMIF('Monthly CF'!$D$9:$DT$9,K$9,'Monthly CF'!$D$116:$DT$116)</f>
        <v/>
      </c>
      <c r="L116" s="228">
        <f>SUMIF('Monthly CF'!$D$9:$DT$9,L$9,'Monthly CF'!$D$116:$DT$116)</f>
        <v/>
      </c>
      <c r="M116" s="228">
        <f>SUMIF('Monthly CF'!$D$9:$DT$9,M$9,'Monthly CF'!$D$116:$DT$116)</f>
        <v/>
      </c>
      <c r="N116" s="228">
        <f>SUMIF('Monthly CF'!$D$9:$DT$9,N$9,'Monthly CF'!$D$116:$DT$116)</f>
        <v/>
      </c>
      <c r="O116" s="228">
        <f>SUMIF('Monthly CF'!$D$9:$DT$9,O$9,'Monthly CF'!$D$116:$DT$116)</f>
        <v/>
      </c>
    </row>
    <row r="117" ht="15" customHeight="1" s="148">
      <c r="A117" s="112" t="inlineStr">
        <is>
          <t>Acquisition Loan Principal Paydown</t>
        </is>
      </c>
      <c r="C117" s="228">
        <f>SUM(D117:O117)</f>
        <v/>
      </c>
      <c r="D117" s="228">
        <f>SUMIF('Monthly CF'!$D$9:$DT$9,D$9,'Monthly CF'!$D$117:$DT$117)</f>
        <v/>
      </c>
      <c r="E117" s="228">
        <f>SUMIF('Monthly CF'!$D$9:$DT$9,E$9,'Monthly CF'!$D$117:$DT$117)</f>
        <v/>
      </c>
      <c r="F117" s="228">
        <f>SUMIF('Monthly CF'!$D$9:$DT$9,F$9,'Monthly CF'!$D$117:$DT$117)</f>
        <v/>
      </c>
      <c r="G117" s="228">
        <f>SUMIF('Monthly CF'!$D$9:$DT$9,G$9,'Monthly CF'!$D$117:$DT$117)</f>
        <v/>
      </c>
      <c r="H117" s="228">
        <f>SUMIF('Monthly CF'!$D$9:$DT$9,H$9,'Monthly CF'!$D$117:$DT$117)</f>
        <v/>
      </c>
      <c r="I117" s="228">
        <f>SUMIF('Monthly CF'!$D$9:$DT$9,I$9,'Monthly CF'!$D$117:$DT$117)</f>
        <v/>
      </c>
      <c r="J117" s="228">
        <f>SUMIF('Monthly CF'!$D$9:$DT$9,J$9,'Monthly CF'!$D$117:$DT$117)</f>
        <v/>
      </c>
      <c r="K117" s="228">
        <f>SUMIF('Monthly CF'!$D$9:$DT$9,K$9,'Monthly CF'!$D$117:$DT$117)</f>
        <v/>
      </c>
      <c r="L117" s="228">
        <f>SUMIF('Monthly CF'!$D$9:$DT$9,L$9,'Monthly CF'!$D$117:$DT$117)</f>
        <v/>
      </c>
      <c r="M117" s="228">
        <f>SUMIF('Monthly CF'!$D$9:$DT$9,M$9,'Monthly CF'!$D$117:$DT$117)</f>
        <v/>
      </c>
      <c r="N117" s="228">
        <f>SUMIF('Monthly CF'!$D$9:$DT$9,N$9,'Monthly CF'!$D$117:$DT$117)</f>
        <v/>
      </c>
      <c r="O117" s="228">
        <f>SUMIF('Monthly CF'!$D$9:$DT$9,O$9,'Monthly CF'!$D$117:$DT$117)</f>
        <v/>
      </c>
    </row>
    <row r="118" ht="15" customHeight="1" s="148">
      <c r="A118" s="112" t="inlineStr">
        <is>
          <t>Acquisition Loan Final Repayment</t>
        </is>
      </c>
      <c r="C118" s="228">
        <f>SUM(D118:O118)</f>
        <v/>
      </c>
      <c r="D118" s="228">
        <f>SUMIF('Monthly CF'!$D$9:$DT$9,D$9,'Monthly CF'!$D$118:$DT$118)</f>
        <v/>
      </c>
      <c r="E118" s="228">
        <f>SUMIF('Monthly CF'!$D$9:$DT$9,E$9,'Monthly CF'!$D$118:$DT$118)</f>
        <v/>
      </c>
      <c r="F118" s="228">
        <f>SUMIF('Monthly CF'!$D$9:$DT$9,F$9,'Monthly CF'!$D$118:$DT$118)</f>
        <v/>
      </c>
      <c r="G118" s="228">
        <f>SUMIF('Monthly CF'!$D$9:$DT$9,G$9,'Monthly CF'!$D$118:$DT$118)</f>
        <v/>
      </c>
      <c r="H118" s="228">
        <f>SUMIF('Monthly CF'!$D$9:$DT$9,H$9,'Monthly CF'!$D$118:$DT$118)</f>
        <v/>
      </c>
      <c r="I118" s="228">
        <f>SUMIF('Monthly CF'!$D$9:$DT$9,I$9,'Monthly CF'!$D$118:$DT$118)</f>
        <v/>
      </c>
      <c r="J118" s="228">
        <f>SUMIF('Monthly CF'!$D$9:$DT$9,J$9,'Monthly CF'!$D$118:$DT$118)</f>
        <v/>
      </c>
      <c r="K118" s="228">
        <f>SUMIF('Monthly CF'!$D$9:$DT$9,K$9,'Monthly CF'!$D$118:$DT$118)</f>
        <v/>
      </c>
      <c r="L118" s="228">
        <f>SUMIF('Monthly CF'!$D$9:$DT$9,L$9,'Monthly CF'!$D$118:$DT$118)</f>
        <v/>
      </c>
      <c r="M118" s="228">
        <f>SUMIF('Monthly CF'!$D$9:$DT$9,M$9,'Monthly CF'!$D$118:$DT$118)</f>
        <v/>
      </c>
      <c r="N118" s="228">
        <f>SUMIF('Monthly CF'!$D$9:$DT$9,N$9,'Monthly CF'!$D$118:$DT$118)</f>
        <v/>
      </c>
      <c r="O118" s="228">
        <f>SUMIF('Monthly CF'!$D$9:$DT$9,O$9,'Monthly CF'!$D$118:$DT$118)</f>
        <v/>
      </c>
    </row>
    <row r="119" ht="15" customHeight="1" s="148">
      <c r="A119" s="112" t="inlineStr">
        <is>
          <t>Working Capital Release</t>
        </is>
      </c>
      <c r="C119" s="228">
        <f>SUM(D119:O119)</f>
        <v/>
      </c>
      <c r="D119" s="228">
        <f>SUMIF('Monthly CF'!$D$9:$DT$9,D$9,'Monthly CF'!$D$119:$DT$119)</f>
        <v/>
      </c>
      <c r="E119" s="228">
        <f>SUMIF('Monthly CF'!$D$9:$DT$9,E$9,'Monthly CF'!$D$119:$DT$119)</f>
        <v/>
      </c>
      <c r="F119" s="228">
        <f>SUMIF('Monthly CF'!$D$9:$DT$9,F$9,'Monthly CF'!$D$119:$DT$119)</f>
        <v/>
      </c>
      <c r="G119" s="228">
        <f>SUMIF('Monthly CF'!$D$9:$DT$9,G$9,'Monthly CF'!$D$119:$DT$119)</f>
        <v/>
      </c>
      <c r="H119" s="228">
        <f>SUMIF('Monthly CF'!$D$9:$DT$9,H$9,'Monthly CF'!$D$119:$DT$119)</f>
        <v/>
      </c>
      <c r="I119" s="228">
        <f>SUMIF('Monthly CF'!$D$9:$DT$9,I$9,'Monthly CF'!$D$119:$DT$119)</f>
        <v/>
      </c>
      <c r="J119" s="228">
        <f>SUMIF('Monthly CF'!$D$9:$DT$9,J$9,'Monthly CF'!$D$119:$DT$119)</f>
        <v/>
      </c>
      <c r="K119" s="228">
        <f>SUMIF('Monthly CF'!$D$9:$DT$9,K$9,'Monthly CF'!$D$119:$DT$119)</f>
        <v/>
      </c>
      <c r="L119" s="228">
        <f>SUMIF('Monthly CF'!$D$9:$DT$9,L$9,'Monthly CF'!$D$119:$DT$119)</f>
        <v/>
      </c>
      <c r="M119" s="228">
        <f>SUMIF('Monthly CF'!$D$9:$DT$9,M$9,'Monthly CF'!$D$119:$DT$119)</f>
        <v/>
      </c>
      <c r="N119" s="228">
        <f>SUMIF('Monthly CF'!$D$9:$DT$9,N$9,'Monthly CF'!$D$119:$DT$119)</f>
        <v/>
      </c>
      <c r="O119" s="228">
        <f>SUMIF('Monthly CF'!$D$9:$DT$9,O$9,'Monthly CF'!$D$119:$DT$119)</f>
        <v/>
      </c>
    </row>
    <row r="120" ht="15" customHeight="1" s="148">
      <c r="A120" s="112" t="inlineStr">
        <is>
          <t>Refi Debt Origination Fee</t>
        </is>
      </c>
      <c r="C120" s="228">
        <f>SUM(D120:O120)</f>
        <v/>
      </c>
      <c r="D120" s="228">
        <f>SUMIF('Monthly CF'!$D$9:$DT$9,D$9,'Monthly CF'!$D$120:$DT$120)</f>
        <v/>
      </c>
      <c r="E120" s="228">
        <f>SUMIF('Monthly CF'!$D$9:$DT$9,E$9,'Monthly CF'!$D$120:$DT$120)</f>
        <v/>
      </c>
      <c r="F120" s="228">
        <f>SUMIF('Monthly CF'!$D$9:$DT$9,F$9,'Monthly CF'!$D$120:$DT$120)</f>
        <v/>
      </c>
      <c r="G120" s="228">
        <f>SUMIF('Monthly CF'!$D$9:$DT$9,G$9,'Monthly CF'!$D$120:$DT$120)</f>
        <v/>
      </c>
      <c r="H120" s="228">
        <f>SUMIF('Monthly CF'!$D$9:$DT$9,H$9,'Monthly CF'!$D$120:$DT$120)</f>
        <v/>
      </c>
      <c r="I120" s="228">
        <f>SUMIF('Monthly CF'!$D$9:$DT$9,I$9,'Monthly CF'!$D$120:$DT$120)</f>
        <v/>
      </c>
      <c r="J120" s="228">
        <f>SUMIF('Monthly CF'!$D$9:$DT$9,J$9,'Monthly CF'!$D$120:$DT$120)</f>
        <v/>
      </c>
      <c r="K120" s="228">
        <f>SUMIF('Monthly CF'!$D$9:$DT$9,K$9,'Monthly CF'!$D$120:$DT$120)</f>
        <v/>
      </c>
      <c r="L120" s="228">
        <f>SUMIF('Monthly CF'!$D$9:$DT$9,L$9,'Monthly CF'!$D$120:$DT$120)</f>
        <v/>
      </c>
      <c r="M120" s="228">
        <f>SUMIF('Monthly CF'!$D$9:$DT$9,M$9,'Monthly CF'!$D$120:$DT$120)</f>
        <v/>
      </c>
      <c r="N120" s="228">
        <f>SUMIF('Monthly CF'!$D$9:$DT$9,N$9,'Monthly CF'!$D$120:$DT$120)</f>
        <v/>
      </c>
      <c r="O120" s="228">
        <f>SUMIF('Monthly CF'!$D$9:$DT$9,O$9,'Monthly CF'!$D$120:$DT$120)</f>
        <v/>
      </c>
    </row>
    <row r="121" ht="15" customHeight="1" s="148">
      <c r="A121" s="112" t="inlineStr">
        <is>
          <t>Refi Debt Exit Fee</t>
        </is>
      </c>
      <c r="C121" s="228">
        <f>SUM(D121:O121)</f>
        <v/>
      </c>
      <c r="D121" s="228">
        <f>SUMIF('Monthly CF'!$D$9:$DT$9,D$9,'Monthly CF'!$D$121:$DT$121)</f>
        <v/>
      </c>
      <c r="E121" s="228">
        <f>SUMIF('Monthly CF'!$D$9:$DT$9,E$9,'Monthly CF'!$D$121:$DT$121)</f>
        <v/>
      </c>
      <c r="F121" s="228">
        <f>SUMIF('Monthly CF'!$D$9:$DT$9,F$9,'Monthly CF'!$D$121:$DT$121)</f>
        <v/>
      </c>
      <c r="G121" s="228">
        <f>SUMIF('Monthly CF'!$D$9:$DT$9,G$9,'Monthly CF'!$D$121:$DT$121)</f>
        <v/>
      </c>
      <c r="H121" s="228">
        <f>SUMIF('Monthly CF'!$D$9:$DT$9,H$9,'Monthly CF'!$D$121:$DT$121)</f>
        <v/>
      </c>
      <c r="I121" s="228">
        <f>SUMIF('Monthly CF'!$D$9:$DT$9,I$9,'Monthly CF'!$D$121:$DT$121)</f>
        <v/>
      </c>
      <c r="J121" s="228">
        <f>SUMIF('Monthly CF'!$D$9:$DT$9,J$9,'Monthly CF'!$D$121:$DT$121)</f>
        <v/>
      </c>
      <c r="K121" s="228">
        <f>SUMIF('Monthly CF'!$D$9:$DT$9,K$9,'Monthly CF'!$D$121:$DT$121)</f>
        <v/>
      </c>
      <c r="L121" s="228">
        <f>SUMIF('Monthly CF'!$D$9:$DT$9,L$9,'Monthly CF'!$D$121:$DT$121)</f>
        <v/>
      </c>
      <c r="M121" s="228">
        <f>SUMIF('Monthly CF'!$D$9:$DT$9,M$9,'Monthly CF'!$D$121:$DT$121)</f>
        <v/>
      </c>
      <c r="N121" s="228">
        <f>SUMIF('Monthly CF'!$D$9:$DT$9,N$9,'Monthly CF'!$D$121:$DT$121)</f>
        <v/>
      </c>
      <c r="O121" s="228">
        <f>SUMIF('Monthly CF'!$D$9:$DT$9,O$9,'Monthly CF'!$D$121:$DT$121)</f>
        <v/>
      </c>
    </row>
    <row r="122" ht="15" customHeight="1" s="148">
      <c r="A122" s="112" t="inlineStr">
        <is>
          <t>Refi Debt Interest Expense</t>
        </is>
      </c>
      <c r="C122" s="228">
        <f>SUM(D122:O122)</f>
        <v/>
      </c>
      <c r="D122" s="228">
        <f>SUMIF('Monthly CF'!$D$9:$DT$9,D$9,'Monthly CF'!$D$122:$DT$122)</f>
        <v/>
      </c>
      <c r="E122" s="228">
        <f>SUMIF('Monthly CF'!$D$9:$DT$9,E$9,'Monthly CF'!$D$122:$DT$122)</f>
        <v/>
      </c>
      <c r="F122" s="228">
        <f>SUMIF('Monthly CF'!$D$9:$DT$9,F$9,'Monthly CF'!$D$122:$DT$122)</f>
        <v/>
      </c>
      <c r="G122" s="228">
        <f>SUMIF('Monthly CF'!$D$9:$DT$9,G$9,'Monthly CF'!$D$122:$DT$122)</f>
        <v/>
      </c>
      <c r="H122" s="228">
        <f>SUMIF('Monthly CF'!$D$9:$DT$9,H$9,'Monthly CF'!$D$122:$DT$122)</f>
        <v/>
      </c>
      <c r="I122" s="228">
        <f>SUMIF('Monthly CF'!$D$9:$DT$9,I$9,'Monthly CF'!$D$122:$DT$122)</f>
        <v/>
      </c>
      <c r="J122" s="228">
        <f>SUMIF('Monthly CF'!$D$9:$DT$9,J$9,'Monthly CF'!$D$122:$DT$122)</f>
        <v/>
      </c>
      <c r="K122" s="228">
        <f>SUMIF('Monthly CF'!$D$9:$DT$9,K$9,'Monthly CF'!$D$122:$DT$122)</f>
        <v/>
      </c>
      <c r="L122" s="228">
        <f>SUMIF('Monthly CF'!$D$9:$DT$9,L$9,'Monthly CF'!$D$122:$DT$122)</f>
        <v/>
      </c>
      <c r="M122" s="228">
        <f>SUMIF('Monthly CF'!$D$9:$DT$9,M$9,'Monthly CF'!$D$122:$DT$122)</f>
        <v/>
      </c>
      <c r="N122" s="228">
        <f>SUMIF('Monthly CF'!$D$9:$DT$9,N$9,'Monthly CF'!$D$122:$DT$122)</f>
        <v/>
      </c>
      <c r="O122" s="228">
        <f>SUMIF('Monthly CF'!$D$9:$DT$9,O$9,'Monthly CF'!$D$122:$DT$122)</f>
        <v/>
      </c>
    </row>
    <row r="123" ht="15" customHeight="1" s="148">
      <c r="A123" s="112" t="inlineStr">
        <is>
          <t>Refi Debt Principal Paydown</t>
        </is>
      </c>
      <c r="C123" s="228">
        <f>SUM(D123:O123)</f>
        <v/>
      </c>
      <c r="D123" s="228">
        <f>SUMIF('Monthly CF'!$D$9:$DT$9,D$9,'Monthly CF'!$D$123:$DT$123)</f>
        <v/>
      </c>
      <c r="E123" s="228">
        <f>SUMIF('Monthly CF'!$D$9:$DT$9,E$9,'Monthly CF'!$D$123:$DT$123)</f>
        <v/>
      </c>
      <c r="F123" s="228">
        <f>SUMIF('Monthly CF'!$D$9:$DT$9,F$9,'Monthly CF'!$D$123:$DT$123)</f>
        <v/>
      </c>
      <c r="G123" s="228">
        <f>SUMIF('Monthly CF'!$D$9:$DT$9,G$9,'Monthly CF'!$D$123:$DT$123)</f>
        <v/>
      </c>
      <c r="H123" s="228">
        <f>SUMIF('Monthly CF'!$D$9:$DT$9,H$9,'Monthly CF'!$D$123:$DT$123)</f>
        <v/>
      </c>
      <c r="I123" s="228">
        <f>SUMIF('Monthly CF'!$D$9:$DT$9,I$9,'Monthly CF'!$D$123:$DT$123)</f>
        <v/>
      </c>
      <c r="J123" s="228">
        <f>SUMIF('Monthly CF'!$D$9:$DT$9,J$9,'Monthly CF'!$D$123:$DT$123)</f>
        <v/>
      </c>
      <c r="K123" s="228">
        <f>SUMIF('Monthly CF'!$D$9:$DT$9,K$9,'Monthly CF'!$D$123:$DT$123)</f>
        <v/>
      </c>
      <c r="L123" s="228">
        <f>SUMIF('Monthly CF'!$D$9:$DT$9,L$9,'Monthly CF'!$D$123:$DT$123)</f>
        <v/>
      </c>
      <c r="M123" s="228">
        <f>SUMIF('Monthly CF'!$D$9:$DT$9,M$9,'Monthly CF'!$D$123:$DT$123)</f>
        <v/>
      </c>
      <c r="N123" s="228">
        <f>SUMIF('Monthly CF'!$D$9:$DT$9,N$9,'Monthly CF'!$D$123:$DT$123)</f>
        <v/>
      </c>
      <c r="O123" s="228">
        <f>SUMIF('Monthly CF'!$D$9:$DT$9,O$9,'Monthly CF'!$D$123:$DT$123)</f>
        <v/>
      </c>
    </row>
    <row r="124" ht="15" customHeight="1" s="148">
      <c r="A124" s="112" t="inlineStr">
        <is>
          <t>Refi Final Repayment</t>
        </is>
      </c>
      <c r="C124" s="228">
        <f>SUM(D124:O124)</f>
        <v/>
      </c>
      <c r="D124" s="228">
        <f>SUMIF('Monthly CF'!$D$9:$DT$9,D$9,'Monthly CF'!$D$124:$DT$124)</f>
        <v/>
      </c>
      <c r="E124" s="228">
        <f>SUMIF('Monthly CF'!$D$9:$DT$9,E$9,'Monthly CF'!$D$124:$DT$124)</f>
        <v/>
      </c>
      <c r="F124" s="228">
        <f>SUMIF('Monthly CF'!$D$9:$DT$9,F$9,'Monthly CF'!$D$124:$DT$124)</f>
        <v/>
      </c>
      <c r="G124" s="228">
        <f>SUMIF('Monthly CF'!$D$9:$DT$9,G$9,'Monthly CF'!$D$124:$DT$124)</f>
        <v/>
      </c>
      <c r="H124" s="228">
        <f>SUMIF('Monthly CF'!$D$9:$DT$9,H$9,'Monthly CF'!$D$124:$DT$124)</f>
        <v/>
      </c>
      <c r="I124" s="228">
        <f>SUMIF('Monthly CF'!$D$9:$DT$9,I$9,'Monthly CF'!$D$124:$DT$124)</f>
        <v/>
      </c>
      <c r="J124" s="228">
        <f>SUMIF('Monthly CF'!$D$9:$DT$9,J$9,'Monthly CF'!$D$124:$DT$124)</f>
        <v/>
      </c>
      <c r="K124" s="228">
        <f>SUMIF('Monthly CF'!$D$9:$DT$9,K$9,'Monthly CF'!$D$124:$DT$124)</f>
        <v/>
      </c>
      <c r="L124" s="228">
        <f>SUMIF('Monthly CF'!$D$9:$DT$9,L$9,'Monthly CF'!$D$124:$DT$124)</f>
        <v/>
      </c>
      <c r="M124" s="228">
        <f>SUMIF('Monthly CF'!$D$9:$DT$9,M$9,'Monthly CF'!$D$124:$DT$124)</f>
        <v/>
      </c>
      <c r="N124" s="228">
        <f>SUMIF('Monthly CF'!$D$9:$DT$9,N$9,'Monthly CF'!$D$124:$DT$124)</f>
        <v/>
      </c>
      <c r="O124" s="228">
        <f>SUMIF('Monthly CF'!$D$9:$DT$9,O$9,'Monthly CF'!$D$124:$DT$124)</f>
        <v/>
      </c>
    </row>
    <row r="125" ht="15" customHeight="1" s="148">
      <c r="A125" s="112" t="inlineStr">
        <is>
          <t>Mezz Origination Fee</t>
        </is>
      </c>
      <c r="C125" s="228">
        <f>SUM(D125:O125)</f>
        <v/>
      </c>
      <c r="D125" s="228">
        <f>SUMIF('Monthly CF'!$D$9:$DT$9,D$9,'Monthly CF'!$D$125:$DT$125)</f>
        <v/>
      </c>
      <c r="E125" s="228">
        <f>SUMIF('Monthly CF'!$D$9:$DT$9,E$9,'Monthly CF'!$D$125:$DT$125)</f>
        <v/>
      </c>
      <c r="F125" s="228">
        <f>SUMIF('Monthly CF'!$D$9:$DT$9,F$9,'Monthly CF'!$D$125:$DT$125)</f>
        <v/>
      </c>
      <c r="G125" s="228">
        <f>SUMIF('Monthly CF'!$D$9:$DT$9,G$9,'Monthly CF'!$D$125:$DT$125)</f>
        <v/>
      </c>
      <c r="H125" s="228">
        <f>SUMIF('Monthly CF'!$D$9:$DT$9,H$9,'Monthly CF'!$D$125:$DT$125)</f>
        <v/>
      </c>
      <c r="I125" s="228">
        <f>SUMIF('Monthly CF'!$D$9:$DT$9,I$9,'Monthly CF'!$D$125:$DT$125)</f>
        <v/>
      </c>
      <c r="J125" s="228">
        <f>SUMIF('Monthly CF'!$D$9:$DT$9,J$9,'Monthly CF'!$D$125:$DT$125)</f>
        <v/>
      </c>
      <c r="K125" s="228">
        <f>SUMIF('Monthly CF'!$D$9:$DT$9,K$9,'Monthly CF'!$D$125:$DT$125)</f>
        <v/>
      </c>
      <c r="L125" s="228">
        <f>SUMIF('Monthly CF'!$D$9:$DT$9,L$9,'Monthly CF'!$D$125:$DT$125)</f>
        <v/>
      </c>
      <c r="M125" s="228">
        <f>SUMIF('Monthly CF'!$D$9:$DT$9,M$9,'Monthly CF'!$D$125:$DT$125)</f>
        <v/>
      </c>
      <c r="N125" s="228">
        <f>SUMIF('Monthly CF'!$D$9:$DT$9,N$9,'Monthly CF'!$D$125:$DT$125)</f>
        <v/>
      </c>
      <c r="O125" s="228">
        <f>SUMIF('Monthly CF'!$D$9:$DT$9,O$9,'Monthly CF'!$D$125:$DT$125)</f>
        <v/>
      </c>
    </row>
    <row r="126" ht="15" customHeight="1" s="148">
      <c r="A126" s="112" t="inlineStr">
        <is>
          <t>Mezz Debt Proceeds</t>
        </is>
      </c>
      <c r="C126" s="228">
        <f>SUM(D126:O126)</f>
        <v/>
      </c>
      <c r="D126" s="228">
        <f>SUMIF('Monthly CF'!$D$9:$DT$9,D$9,'Monthly CF'!$D$126:$DT$126)</f>
        <v/>
      </c>
      <c r="E126" s="228">
        <f>SUMIF('Monthly CF'!$D$9:$DT$9,E$9,'Monthly CF'!$D$126:$DT$126)</f>
        <v/>
      </c>
      <c r="F126" s="228">
        <f>SUMIF('Monthly CF'!$D$9:$DT$9,F$9,'Monthly CF'!$D$126:$DT$126)</f>
        <v/>
      </c>
      <c r="G126" s="228">
        <f>SUMIF('Monthly CF'!$D$9:$DT$9,G$9,'Monthly CF'!$D$126:$DT$126)</f>
        <v/>
      </c>
      <c r="H126" s="228">
        <f>SUMIF('Monthly CF'!$D$9:$DT$9,H$9,'Monthly CF'!$D$126:$DT$126)</f>
        <v/>
      </c>
      <c r="I126" s="228">
        <f>SUMIF('Monthly CF'!$D$9:$DT$9,I$9,'Monthly CF'!$D$126:$DT$126)</f>
        <v/>
      </c>
      <c r="J126" s="228">
        <f>SUMIF('Monthly CF'!$D$9:$DT$9,J$9,'Monthly CF'!$D$126:$DT$126)</f>
        <v/>
      </c>
      <c r="K126" s="228">
        <f>SUMIF('Monthly CF'!$D$9:$DT$9,K$9,'Monthly CF'!$D$126:$DT$126)</f>
        <v/>
      </c>
      <c r="L126" s="228">
        <f>SUMIF('Monthly CF'!$D$9:$DT$9,L$9,'Monthly CF'!$D$126:$DT$126)</f>
        <v/>
      </c>
      <c r="M126" s="228">
        <f>SUMIF('Monthly CF'!$D$9:$DT$9,M$9,'Monthly CF'!$D$126:$DT$126)</f>
        <v/>
      </c>
      <c r="N126" s="228">
        <f>SUMIF('Monthly CF'!$D$9:$DT$9,N$9,'Monthly CF'!$D$126:$DT$126)</f>
        <v/>
      </c>
      <c r="O126" s="228">
        <f>SUMIF('Monthly CF'!$D$9:$DT$9,O$9,'Monthly CF'!$D$126:$DT$126)</f>
        <v/>
      </c>
    </row>
    <row r="127" ht="15" customHeight="1" s="148">
      <c r="A127" s="112" t="inlineStr">
        <is>
          <t>Mezz Debt Interest Pay</t>
        </is>
      </c>
      <c r="C127" s="228">
        <f>SUM(D127:O127)</f>
        <v/>
      </c>
      <c r="D127" s="228">
        <f>SUMIF('Monthly CF'!$D$9:$DT$9,D$9,'Monthly CF'!$D$127:$DT$127)</f>
        <v/>
      </c>
      <c r="E127" s="228">
        <f>SUMIF('Monthly CF'!$D$9:$DT$9,E$9,'Monthly CF'!$D$127:$DT$127)</f>
        <v/>
      </c>
      <c r="F127" s="228">
        <f>SUMIF('Monthly CF'!$D$9:$DT$9,F$9,'Monthly CF'!$D$127:$DT$127)</f>
        <v/>
      </c>
      <c r="G127" s="228">
        <f>SUMIF('Monthly CF'!$D$9:$DT$9,G$9,'Monthly CF'!$D$127:$DT$127)</f>
        <v/>
      </c>
      <c r="H127" s="228">
        <f>SUMIF('Monthly CF'!$D$9:$DT$9,H$9,'Monthly CF'!$D$127:$DT$127)</f>
        <v/>
      </c>
      <c r="I127" s="228">
        <f>SUMIF('Monthly CF'!$D$9:$DT$9,I$9,'Monthly CF'!$D$127:$DT$127)</f>
        <v/>
      </c>
      <c r="J127" s="228">
        <f>SUMIF('Monthly CF'!$D$9:$DT$9,J$9,'Monthly CF'!$D$127:$DT$127)</f>
        <v/>
      </c>
      <c r="K127" s="228">
        <f>SUMIF('Monthly CF'!$D$9:$DT$9,K$9,'Monthly CF'!$D$127:$DT$127)</f>
        <v/>
      </c>
      <c r="L127" s="228">
        <f>SUMIF('Monthly CF'!$D$9:$DT$9,L$9,'Monthly CF'!$D$127:$DT$127)</f>
        <v/>
      </c>
      <c r="M127" s="228">
        <f>SUMIF('Monthly CF'!$D$9:$DT$9,M$9,'Monthly CF'!$D$127:$DT$127)</f>
        <v/>
      </c>
      <c r="N127" s="228">
        <f>SUMIF('Monthly CF'!$D$9:$DT$9,N$9,'Monthly CF'!$D$127:$DT$127)</f>
        <v/>
      </c>
      <c r="O127" s="228">
        <f>SUMIF('Monthly CF'!$D$9:$DT$9,O$9,'Monthly CF'!$D$127:$DT$127)</f>
        <v/>
      </c>
    </row>
    <row r="128" ht="15" customHeight="1" s="148">
      <c r="A128" s="112" t="inlineStr">
        <is>
          <t>Mezz Debt Principal Repayment</t>
        </is>
      </c>
      <c r="C128" s="228">
        <f>SUM(D128:O128)</f>
        <v/>
      </c>
      <c r="D128" s="228">
        <f>SUMIF('Monthly CF'!$D$9:$DT$9,D$9,'Monthly CF'!$D$128:$DT$128)</f>
        <v/>
      </c>
      <c r="E128" s="228">
        <f>SUMIF('Monthly CF'!$D$9:$DT$9,E$9,'Monthly CF'!$D$128:$DT$128)</f>
        <v/>
      </c>
      <c r="F128" s="228">
        <f>SUMIF('Monthly CF'!$D$9:$DT$9,F$9,'Monthly CF'!$D$128:$DT$128)</f>
        <v/>
      </c>
      <c r="G128" s="228">
        <f>SUMIF('Monthly CF'!$D$9:$DT$9,G$9,'Monthly CF'!$D$128:$DT$128)</f>
        <v/>
      </c>
      <c r="H128" s="228">
        <f>SUMIF('Monthly CF'!$D$9:$DT$9,H$9,'Monthly CF'!$D$128:$DT$128)</f>
        <v/>
      </c>
      <c r="I128" s="228">
        <f>SUMIF('Monthly CF'!$D$9:$DT$9,I$9,'Monthly CF'!$D$128:$DT$128)</f>
        <v/>
      </c>
      <c r="J128" s="228">
        <f>SUMIF('Monthly CF'!$D$9:$DT$9,J$9,'Monthly CF'!$D$128:$DT$128)</f>
        <v/>
      </c>
      <c r="K128" s="228">
        <f>SUMIF('Monthly CF'!$D$9:$DT$9,K$9,'Monthly CF'!$D$128:$DT$128)</f>
        <v/>
      </c>
      <c r="L128" s="228">
        <f>SUMIF('Monthly CF'!$D$9:$DT$9,L$9,'Monthly CF'!$D$128:$DT$128)</f>
        <v/>
      </c>
      <c r="M128" s="228">
        <f>SUMIF('Monthly CF'!$D$9:$DT$9,M$9,'Monthly CF'!$D$128:$DT$128)</f>
        <v/>
      </c>
      <c r="N128" s="228">
        <f>SUMIF('Monthly CF'!$D$9:$DT$9,N$9,'Monthly CF'!$D$128:$DT$128)</f>
        <v/>
      </c>
      <c r="O128" s="228">
        <f>SUMIF('Monthly CF'!$D$9:$DT$9,O$9,'Monthly CF'!$D$128:$DT$128)</f>
        <v/>
      </c>
    </row>
    <row r="129" ht="15" customHeight="1" s="148">
      <c r="A129" s="110" t="inlineStr">
        <is>
          <t>Debt Proceeds</t>
        </is>
      </c>
      <c r="C129" s="228">
        <f>SUM(D129:O129)</f>
        <v/>
      </c>
      <c r="D129" s="228">
        <f>SUMIF('Monthly CF'!$D$9:$DT$9,D$9,'Monthly CF'!$D$129:$DT$129)</f>
        <v/>
      </c>
      <c r="E129" s="228">
        <f>SUMIF('Monthly CF'!$D$9:$DT$9,E$9,'Monthly CF'!$D$129:$DT$129)</f>
        <v/>
      </c>
      <c r="F129" s="228">
        <f>SUMIF('Monthly CF'!$D$9:$DT$9,F$9,'Monthly CF'!$D$129:$DT$129)</f>
        <v/>
      </c>
      <c r="G129" s="228">
        <f>SUMIF('Monthly CF'!$D$9:$DT$9,G$9,'Monthly CF'!$D$129:$DT$129)</f>
        <v/>
      </c>
      <c r="H129" s="228">
        <f>SUMIF('Monthly CF'!$D$9:$DT$9,H$9,'Monthly CF'!$D$129:$DT$129)</f>
        <v/>
      </c>
      <c r="I129" s="228">
        <f>SUMIF('Monthly CF'!$D$9:$DT$9,I$9,'Monthly CF'!$D$129:$DT$129)</f>
        <v/>
      </c>
      <c r="J129" s="228">
        <f>SUMIF('Monthly CF'!$D$9:$DT$9,J$9,'Monthly CF'!$D$129:$DT$129)</f>
        <v/>
      </c>
      <c r="K129" s="228">
        <f>SUMIF('Monthly CF'!$D$9:$DT$9,K$9,'Monthly CF'!$D$129:$DT$129)</f>
        <v/>
      </c>
      <c r="L129" s="228">
        <f>SUMIF('Monthly CF'!$D$9:$DT$9,L$9,'Monthly CF'!$D$129:$DT$129)</f>
        <v/>
      </c>
      <c r="M129" s="228">
        <f>SUMIF('Monthly CF'!$D$9:$DT$9,M$9,'Monthly CF'!$D$129:$DT$129)</f>
        <v/>
      </c>
      <c r="N129" s="228">
        <f>SUMIF('Monthly CF'!$D$9:$DT$9,N$9,'Monthly CF'!$D$129:$DT$129)</f>
        <v/>
      </c>
      <c r="O129" s="228">
        <f>SUMIF('Monthly CF'!$D$9:$DT$9,O$9,'Monthly CF'!$D$129:$DT$129)</f>
        <v/>
      </c>
    </row>
    <row r="130" ht="15" customHeight="1" s="148">
      <c r="A130" s="112" t="inlineStr">
        <is>
          <t>Cash Sweep Funding</t>
        </is>
      </c>
      <c r="C130" s="228">
        <f>SUM(D130:O130)</f>
        <v/>
      </c>
      <c r="D130" s="228">
        <f>SUMIF('Monthly CF'!$D$9:$DT$9,D$9,'Monthly CF'!$D$130:$DT$130)</f>
        <v/>
      </c>
      <c r="E130" s="228">
        <f>SUMIF('Monthly CF'!$D$9:$DT$9,E$9,'Monthly CF'!$D$130:$DT$130)</f>
        <v/>
      </c>
      <c r="F130" s="228">
        <f>SUMIF('Monthly CF'!$D$9:$DT$9,F$9,'Monthly CF'!$D$130:$DT$130)</f>
        <v/>
      </c>
      <c r="G130" s="228">
        <f>SUMIF('Monthly CF'!$D$9:$DT$9,G$9,'Monthly CF'!$D$130:$DT$130)</f>
        <v/>
      </c>
      <c r="H130" s="228">
        <f>SUMIF('Monthly CF'!$D$9:$DT$9,H$9,'Monthly CF'!$D$130:$DT$130)</f>
        <v/>
      </c>
      <c r="I130" s="228">
        <f>SUMIF('Monthly CF'!$D$9:$DT$9,I$9,'Monthly CF'!$D$130:$DT$130)</f>
        <v/>
      </c>
      <c r="J130" s="228">
        <f>SUMIF('Monthly CF'!$D$9:$DT$9,J$9,'Monthly CF'!$D$130:$DT$130)</f>
        <v/>
      </c>
      <c r="K130" s="228">
        <f>SUMIF('Monthly CF'!$D$9:$DT$9,K$9,'Monthly CF'!$D$130:$DT$130)</f>
        <v/>
      </c>
      <c r="L130" s="228">
        <f>SUMIF('Monthly CF'!$D$9:$DT$9,L$9,'Monthly CF'!$D$130:$DT$130)</f>
        <v/>
      </c>
      <c r="M130" s="228">
        <f>SUMIF('Monthly CF'!$D$9:$DT$9,M$9,'Monthly CF'!$D$130:$DT$130)</f>
        <v/>
      </c>
      <c r="N130" s="228">
        <f>SUMIF('Monthly CF'!$D$9:$DT$9,N$9,'Monthly CF'!$D$130:$DT$130)</f>
        <v/>
      </c>
      <c r="O130" s="228">
        <f>SUMIF('Monthly CF'!$D$9:$DT$9,O$9,'Monthly CF'!$D$130:$DT$130)</f>
        <v/>
      </c>
    </row>
    <row r="131" ht="15" customHeight="1" s="148">
      <c r="A131" s="112" t="inlineStr">
        <is>
          <t>Cash Sweep Proceeds</t>
        </is>
      </c>
      <c r="C131" s="228">
        <f>SUM(D131:O131)</f>
        <v/>
      </c>
      <c r="D131" s="228">
        <f>SUMIF('Monthly CF'!$D$9:$DT$9,D$9,'Monthly CF'!$D$131:$DT$131)</f>
        <v/>
      </c>
      <c r="E131" s="228">
        <f>SUMIF('Monthly CF'!$D$9:$DT$9,E$9,'Monthly CF'!$D$131:$DT$131)</f>
        <v/>
      </c>
      <c r="F131" s="228">
        <f>SUMIF('Monthly CF'!$D$9:$DT$9,F$9,'Monthly CF'!$D$131:$DT$131)</f>
        <v/>
      </c>
      <c r="G131" s="228">
        <f>SUMIF('Monthly CF'!$D$9:$DT$9,G$9,'Monthly CF'!$D$131:$DT$131)</f>
        <v/>
      </c>
      <c r="H131" s="228">
        <f>SUMIF('Monthly CF'!$D$9:$DT$9,H$9,'Monthly CF'!$D$131:$DT$131)</f>
        <v/>
      </c>
      <c r="I131" s="228">
        <f>SUMIF('Monthly CF'!$D$9:$DT$9,I$9,'Monthly CF'!$D$131:$DT$131)</f>
        <v/>
      </c>
      <c r="J131" s="228">
        <f>SUMIF('Monthly CF'!$D$9:$DT$9,J$9,'Monthly CF'!$D$131:$DT$131)</f>
        <v/>
      </c>
      <c r="K131" s="228">
        <f>SUMIF('Monthly CF'!$D$9:$DT$9,K$9,'Monthly CF'!$D$131:$DT$131)</f>
        <v/>
      </c>
      <c r="L131" s="228">
        <f>SUMIF('Monthly CF'!$D$9:$DT$9,L$9,'Monthly CF'!$D$131:$DT$131)</f>
        <v/>
      </c>
      <c r="M131" s="228">
        <f>SUMIF('Monthly CF'!$D$9:$DT$9,M$9,'Monthly CF'!$D$131:$DT$131)</f>
        <v/>
      </c>
      <c r="N131" s="228">
        <f>SUMIF('Monthly CF'!$D$9:$DT$9,N$9,'Monthly CF'!$D$131:$DT$131)</f>
        <v/>
      </c>
      <c r="O131" s="228">
        <f>SUMIF('Monthly CF'!$D$9:$DT$9,O$9,'Monthly CF'!$D$131:$DT$131)</f>
        <v/>
      </c>
    </row>
    <row r="132" ht="15" customHeight="1" s="148">
      <c r="A132" s="110" t="inlineStr">
        <is>
          <t>NCF After Leverage</t>
        </is>
      </c>
      <c r="C132" s="228">
        <f>SUM(D132:O132)</f>
        <v/>
      </c>
      <c r="D132" s="228">
        <f>SUMIF('Monthly CF'!$D$9:$DT$9,D$9,'Monthly CF'!$D$132:$DT$132)</f>
        <v/>
      </c>
      <c r="E132" s="228">
        <f>SUMIF('Monthly CF'!$D$9:$DT$9,E$9,'Monthly CF'!$D$132:$DT$132)</f>
        <v/>
      </c>
      <c r="F132" s="228">
        <f>SUMIF('Monthly CF'!$D$9:$DT$9,F$9,'Monthly CF'!$D$132:$DT$132)</f>
        <v/>
      </c>
      <c r="G132" s="228">
        <f>SUMIF('Monthly CF'!$D$9:$DT$9,G$9,'Monthly CF'!$D$132:$DT$132)</f>
        <v/>
      </c>
      <c r="H132" s="228">
        <f>SUMIF('Monthly CF'!$D$9:$DT$9,H$9,'Monthly CF'!$D$132:$DT$132)</f>
        <v/>
      </c>
      <c r="I132" s="228">
        <f>SUMIF('Monthly CF'!$D$9:$DT$9,I$9,'Monthly CF'!$D$132:$DT$132)</f>
        <v/>
      </c>
      <c r="J132" s="228">
        <f>SUMIF('Monthly CF'!$D$9:$DT$9,J$9,'Monthly CF'!$D$132:$DT$132)</f>
        <v/>
      </c>
      <c r="K132" s="228">
        <f>SUMIF('Monthly CF'!$D$9:$DT$9,K$9,'Monthly CF'!$D$132:$DT$132)</f>
        <v/>
      </c>
      <c r="L132" s="228">
        <f>SUMIF('Monthly CF'!$D$9:$DT$9,L$9,'Monthly CF'!$D$132:$DT$132)</f>
        <v/>
      </c>
      <c r="M132" s="228">
        <f>SUMIF('Monthly CF'!$D$9:$DT$9,M$9,'Monthly CF'!$D$132:$DT$132)</f>
        <v/>
      </c>
      <c r="N132" s="228">
        <f>SUMIF('Monthly CF'!$D$9:$DT$9,N$9,'Monthly CF'!$D$132:$DT$132)</f>
        <v/>
      </c>
      <c r="O132" s="228">
        <f>SUMIF('Monthly CF'!$D$9:$DT$9,O$9,'Monthly CF'!$D$132:$DT$132)</f>
        <v/>
      </c>
    </row>
    <row r="133" ht="15" customHeight="1" s="148">
      <c r="A133" s="112" t="inlineStr">
        <is>
          <t>Cumulative NCF after Leverage</t>
        </is>
      </c>
      <c r="C133" s="228">
        <f>SUM(D133:O133)</f>
        <v/>
      </c>
      <c r="D133" s="228">
        <f>D$132</f>
        <v/>
      </c>
      <c r="E133" s="228">
        <f>D$133+E$132</f>
        <v/>
      </c>
      <c r="F133" s="228">
        <f>E$133+F$132</f>
        <v/>
      </c>
      <c r="G133" s="228">
        <f>F$133+G$132</f>
        <v/>
      </c>
      <c r="H133" s="228">
        <f>G$133+H$132</f>
        <v/>
      </c>
      <c r="I133" s="228">
        <f>H$133+I$132</f>
        <v/>
      </c>
      <c r="J133" s="228">
        <f>I$133+J$132</f>
        <v/>
      </c>
      <c r="K133" s="228">
        <f>J$133+K$132</f>
        <v/>
      </c>
      <c r="L133" s="228">
        <f>K$133+L$132</f>
        <v/>
      </c>
      <c r="M133" s="228">
        <f>L$133+M$132</f>
        <v/>
      </c>
      <c r="N133" s="228">
        <f>M$133+N$132</f>
        <v/>
      </c>
      <c r="O133" s="228">
        <f>N$133+O$132</f>
        <v/>
      </c>
    </row>
    <row r="134" ht="15" customHeight="1" s="148">
      <c r="C134">
        <f>SUM(D134:O134)</f>
        <v/>
      </c>
    </row>
    <row r="135" ht="15" customHeight="1" s="148">
      <c r="C135">
        <f>SUM(D135:O135)</f>
        <v/>
      </c>
    </row>
    <row r="136" ht="15" customHeight="1" s="148">
      <c r="C136">
        <f>SUM(D136:O136)</f>
        <v/>
      </c>
    </row>
    <row r="137" ht="15" customHeight="1" s="148">
      <c r="C137">
        <f>SUM(D137:O137)</f>
        <v/>
      </c>
    </row>
    <row r="138" ht="15" customHeight="1" s="148">
      <c r="C138">
        <f>SUM(D138:O138)</f>
        <v/>
      </c>
    </row>
    <row r="139" ht="15" customHeight="1" s="148">
      <c r="C139">
        <f>SUM(D139:O139)</f>
        <v/>
      </c>
    </row>
    <row r="140" ht="15" customHeight="1" s="148">
      <c r="C140">
        <f>SUM(D140:O140)</f>
        <v/>
      </c>
    </row>
    <row r="141" ht="15" customHeight="1" s="148">
      <c r="C141">
        <f>SUM(D141:O141)</f>
        <v/>
      </c>
    </row>
    <row r="142" ht="15" customHeight="1" s="148">
      <c r="C142">
        <f>SUM(D142:O142)</f>
        <v/>
      </c>
    </row>
    <row r="143" ht="15" customHeight="1" s="148">
      <c r="C143">
        <f>SUM(D143:O143)</f>
        <v/>
      </c>
    </row>
    <row r="144" ht="15" customHeight="1" s="148">
      <c r="C144">
        <f>SUM(D144:O144)</f>
        <v/>
      </c>
    </row>
    <row r="145" ht="15" customHeight="1" s="148">
      <c r="C145">
        <f>SUM(D145:O145)</f>
        <v/>
      </c>
    </row>
    <row r="146" ht="15" customHeight="1" s="148">
      <c r="C146">
        <f>SUM(D146:O146)</f>
        <v/>
      </c>
    </row>
    <row r="147" ht="15" customHeight="1" s="148">
      <c r="C147">
        <f>SUM(D147:O147)</f>
        <v/>
      </c>
    </row>
    <row r="148" ht="15" customHeight="1" s="148">
      <c r="C148">
        <f>SUM(D148:O148)</f>
        <v/>
      </c>
    </row>
    <row r="149" ht="15" customHeight="1" s="148">
      <c r="C149">
        <f>SUM(D149:O149)</f>
        <v/>
      </c>
    </row>
    <row r="150" ht="15" customHeight="1" s="148">
      <c r="C150">
        <f>SUM(D150:O150)</f>
        <v/>
      </c>
    </row>
    <row r="151" ht="15" customHeight="1" s="148">
      <c r="C151">
        <f>SUM(D151:O151)</f>
        <v/>
      </c>
    </row>
    <row r="152" ht="15" customHeight="1" s="148">
      <c r="C152">
        <f>SUM(D152:O152)</f>
        <v/>
      </c>
    </row>
    <row r="153" ht="15" customHeight="1" s="148">
      <c r="C153">
        <f>SUM(D153:O153)</f>
        <v/>
      </c>
    </row>
    <row r="154" ht="15" customHeight="1" s="148">
      <c r="C154">
        <f>SUM(D154:O154)</f>
        <v/>
      </c>
      <c r="D154" s="232" t="n"/>
      <c r="E154" s="232" t="n"/>
      <c r="F154" s="232" t="n"/>
      <c r="G154" s="232" t="n"/>
      <c r="H154" s="232" t="n"/>
      <c r="I154" s="232" t="n"/>
      <c r="J154" s="232" t="n"/>
      <c r="K154" s="232" t="n"/>
      <c r="L154" s="232" t="n"/>
      <c r="M154" s="232" t="n"/>
      <c r="N154" s="232" t="n"/>
      <c r="O154" s="232" t="n"/>
    </row>
    <row r="155" ht="15" customHeight="1" s="148">
      <c r="C155">
        <f>SUM(D155:O155)</f>
        <v/>
      </c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</row>
    <row r="156" ht="15" customHeight="1" s="148">
      <c r="C156">
        <f>SUM(D156:O156)</f>
        <v/>
      </c>
      <c r="D156" s="232" t="n"/>
      <c r="E156" s="232" t="n"/>
      <c r="F156" s="232" t="n"/>
      <c r="G156" s="232" t="n"/>
      <c r="H156" s="232" t="n"/>
      <c r="I156" s="232" t="n"/>
      <c r="J156" s="232" t="n"/>
      <c r="K156" s="232" t="n"/>
      <c r="L156" s="232" t="n"/>
      <c r="M156" s="232" t="n"/>
      <c r="N156" s="232" t="n"/>
      <c r="O156" s="232" t="n"/>
    </row>
    <row r="157" ht="15" customHeight="1" s="148">
      <c r="C157">
        <f>SUM(D157:O157)</f>
        <v/>
      </c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</row>
    <row r="158" ht="15" customHeight="1" s="148">
      <c r="C158">
        <f>SUM(D158:O158)</f>
        <v/>
      </c>
      <c r="D158" s="232" t="n"/>
      <c r="E158" s="232" t="n"/>
      <c r="F158" s="232" t="n"/>
      <c r="G158" s="232" t="n"/>
      <c r="H158" s="232" t="n"/>
      <c r="I158" s="232" t="n"/>
      <c r="J158" s="232" t="n"/>
      <c r="K158" s="232" t="n"/>
      <c r="L158" s="232" t="n"/>
      <c r="M158" s="232" t="n"/>
      <c r="N158" s="232" t="n"/>
      <c r="O158" s="232" t="n"/>
    </row>
    <row r="159" ht="15" customHeight="1" s="148">
      <c r="C159">
        <f>SUM(D159:O159)</f>
        <v/>
      </c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</row>
    <row r="160" ht="15" customHeight="1" s="148">
      <c r="C160">
        <f>SUM(D160:O160)</f>
        <v/>
      </c>
      <c r="D160" s="232" t="n"/>
      <c r="E160" s="232" t="n"/>
      <c r="F160" s="232" t="n"/>
      <c r="G160" s="232" t="n"/>
      <c r="H160" s="232" t="n"/>
      <c r="I160" s="232" t="n"/>
      <c r="J160" s="232" t="n"/>
      <c r="K160" s="232" t="n"/>
      <c r="L160" s="232" t="n"/>
      <c r="M160" s="232" t="n"/>
      <c r="N160" s="232" t="n"/>
      <c r="O160" s="232" t="n"/>
    </row>
    <row r="161" ht="15" customHeight="1" s="148">
      <c r="C161">
        <f>SUM(D161:O161)</f>
        <v/>
      </c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</row>
    <row r="162" ht="15" customHeight="1" s="148">
      <c r="C162">
        <f>SUM(D162:O162)</f>
        <v/>
      </c>
      <c r="D162" s="232" t="n"/>
      <c r="E162" s="232" t="n"/>
      <c r="F162" s="232" t="n"/>
      <c r="G162" s="232" t="n"/>
      <c r="H162" s="232" t="n"/>
      <c r="I162" s="232" t="n"/>
      <c r="J162" s="232" t="n"/>
      <c r="K162" s="232" t="n"/>
      <c r="L162" s="232" t="n"/>
      <c r="M162" s="232" t="n"/>
      <c r="N162" s="232" t="n"/>
      <c r="O162" s="232" t="n"/>
    </row>
    <row r="163" ht="15" customHeight="1" s="148">
      <c r="C163">
        <f>SUM(D163:O163)</f>
        <v/>
      </c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</row>
    <row r="164" ht="15" customHeight="1" s="148">
      <c r="C164">
        <f>SUM(D164:O164)</f>
        <v/>
      </c>
      <c r="D164" s="232" t="n"/>
      <c r="E164" s="232" t="n"/>
      <c r="F164" s="232" t="n"/>
      <c r="G164" s="232" t="n"/>
      <c r="H164" s="232" t="n"/>
      <c r="I164" s="232" t="n"/>
      <c r="J164" s="232" t="n"/>
      <c r="K164" s="232" t="n"/>
      <c r="L164" s="232" t="n"/>
      <c r="M164" s="232" t="n"/>
      <c r="N164" s="232" t="n"/>
      <c r="O164" s="232" t="n"/>
    </row>
    <row r="165" ht="15" customHeight="1" s="148">
      <c r="C165">
        <f>SUM(D165:O165)</f>
        <v/>
      </c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</row>
    <row r="166" ht="15" customHeight="1" s="148">
      <c r="C166">
        <f>SUM(D166:O166)</f>
        <v/>
      </c>
      <c r="D166" s="232" t="n"/>
      <c r="E166" s="232" t="n"/>
      <c r="F166" s="232" t="n"/>
      <c r="G166" s="232" t="n"/>
      <c r="H166" s="232" t="n"/>
      <c r="I166" s="232" t="n"/>
      <c r="J166" s="232" t="n"/>
      <c r="K166" s="232" t="n"/>
      <c r="L166" s="232" t="n"/>
      <c r="M166" s="232" t="n"/>
      <c r="N166" s="232" t="n"/>
      <c r="O166" s="232" t="n"/>
    </row>
    <row r="167" ht="15" customHeight="1" s="148">
      <c r="C167">
        <f>SUM(D167:O167)</f>
        <v/>
      </c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</row>
    <row r="168" ht="15" customHeight="1" s="148">
      <c r="C168">
        <f>SUM(D168:O168)</f>
        <v/>
      </c>
      <c r="D168" s="232" t="n"/>
      <c r="E168" s="232" t="n"/>
      <c r="F168" s="232" t="n"/>
      <c r="G168" s="232" t="n"/>
      <c r="H168" s="232" t="n"/>
      <c r="I168" s="232" t="n"/>
      <c r="J168" s="232" t="n"/>
      <c r="K168" s="232" t="n"/>
      <c r="L168" s="232" t="n"/>
      <c r="M168" s="232" t="n"/>
      <c r="N168" s="232" t="n"/>
      <c r="O168" s="232" t="n"/>
    </row>
    <row r="169" ht="15" customHeight="1" s="148">
      <c r="C169">
        <f>SUM(D169:O169)</f>
        <v/>
      </c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</row>
    <row r="170" ht="15" customHeight="1" s="148">
      <c r="C170">
        <f>SUM(D170:O170)</f>
        <v/>
      </c>
      <c r="D170" s="232" t="n"/>
      <c r="E170" s="232" t="n"/>
      <c r="F170" s="232" t="n"/>
      <c r="G170" s="232" t="n"/>
      <c r="H170" s="232" t="n"/>
      <c r="I170" s="232" t="n"/>
      <c r="J170" s="232" t="n"/>
      <c r="K170" s="232" t="n"/>
      <c r="L170" s="232" t="n"/>
      <c r="M170" s="232" t="n"/>
      <c r="N170" s="232" t="n"/>
      <c r="O170" s="232" t="n"/>
    </row>
    <row r="171" ht="15" customHeight="1" s="148">
      <c r="C171">
        <f>SUM(D171:O171)</f>
        <v/>
      </c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</row>
    <row r="172" ht="15" customHeight="1" s="148">
      <c r="C172">
        <f>SUM(D172:O172)</f>
        <v/>
      </c>
      <c r="D172" s="232" t="n"/>
      <c r="E172" s="232" t="n"/>
      <c r="F172" s="232" t="n"/>
      <c r="G172" s="232" t="n"/>
      <c r="H172" s="232" t="n"/>
      <c r="I172" s="232" t="n"/>
      <c r="J172" s="232" t="n"/>
      <c r="K172" s="232" t="n"/>
      <c r="L172" s="232" t="n"/>
      <c r="M172" s="232" t="n"/>
      <c r="N172" s="232" t="n"/>
      <c r="O172" s="232" t="n"/>
    </row>
    <row r="173" ht="15" customHeight="1" s="148">
      <c r="C173">
        <f>SUM(D173:O173)</f>
        <v/>
      </c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</row>
    <row r="174" ht="15" customHeight="1" s="148">
      <c r="C174">
        <f>SUM(D174:O174)</f>
        <v/>
      </c>
    </row>
    <row r="175" ht="15" customHeight="1" s="148">
      <c r="C175">
        <f>SUM(D175:O175)</f>
        <v/>
      </c>
    </row>
    <row r="176" ht="15" customHeight="1" s="148">
      <c r="C176">
        <f>SUM(D176:O176)</f>
        <v/>
      </c>
    </row>
    <row r="177" ht="15" customHeight="1" s="148">
      <c r="C177">
        <f>SUM(D177:O177)</f>
        <v/>
      </c>
    </row>
    <row r="178" ht="15" customHeight="1" s="148">
      <c r="C178">
        <f>SUM(D178:O178)</f>
        <v/>
      </c>
    </row>
    <row r="179" ht="15" customHeight="1" s="148">
      <c r="C179">
        <f>SUM(D179:O179)</f>
        <v/>
      </c>
    </row>
    <row r="180" ht="15" customHeight="1" s="148">
      <c r="C180">
        <f>SUM(D180:O180)</f>
        <v/>
      </c>
    </row>
    <row r="181" ht="15" customHeight="1" s="148">
      <c r="A181" t="inlineStr">
        <is>
          <t>Acq Begin Bal</t>
        </is>
      </c>
      <c r="C181">
        <f>SUM(D181:O181)</f>
        <v/>
      </c>
      <c r="D181" s="232">
        <f>IFERROR(INDEX('Monthly CF'!$D$181:$DT$181,1,MATCH(D$9,'Monthly CF'!$D$9:$DT$9,0)),0)</f>
        <v/>
      </c>
      <c r="E181" s="232">
        <f>IFERROR(INDEX('Monthly CF'!$D$181:$DT$181,1,MATCH(E$9,'Monthly CF'!$D$9:$DT$9,0)),0)</f>
        <v/>
      </c>
      <c r="F181" s="232">
        <f>IFERROR(INDEX('Monthly CF'!$D$181:$DT$181,1,MATCH(F$9,'Monthly CF'!$D$9:$DT$9,0)),0)</f>
        <v/>
      </c>
      <c r="G181" s="232">
        <f>IFERROR(INDEX('Monthly CF'!$D$181:$DT$181,1,MATCH(G$9,'Monthly CF'!$D$9:$DT$9,0)),0)</f>
        <v/>
      </c>
      <c r="H181" s="232">
        <f>IFERROR(INDEX('Monthly CF'!$D$181:$DT$181,1,MATCH(H$9,'Monthly CF'!$D$9:$DT$9,0)),0)</f>
        <v/>
      </c>
      <c r="I181" s="232">
        <f>IFERROR(INDEX('Monthly CF'!$D$181:$DT$181,1,MATCH(I$9,'Monthly CF'!$D$9:$DT$9,0)),0)</f>
        <v/>
      </c>
      <c r="J181" s="232">
        <f>IFERROR(INDEX('Monthly CF'!$D$181:$DT$181,1,MATCH(J$9,'Monthly CF'!$D$9:$DT$9,0)),0)</f>
        <v/>
      </c>
      <c r="K181" s="232">
        <f>IFERROR(INDEX('Monthly CF'!$D$181:$DT$181,1,MATCH(K$9,'Monthly CF'!$D$9:$DT$9,0)),0)</f>
        <v/>
      </c>
      <c r="L181" s="232">
        <f>IFERROR(INDEX('Monthly CF'!$D$181:$DT$181,1,MATCH(L$9,'Monthly CF'!$D$9:$DT$9,0)),0)</f>
        <v/>
      </c>
      <c r="M181" s="232">
        <f>IFERROR(INDEX('Monthly CF'!$D$181:$DT$181,1,MATCH(M$9,'Monthly CF'!$D$9:$DT$9,0)),0)</f>
        <v/>
      </c>
      <c r="N181" s="232">
        <f>IFERROR(INDEX('Monthly CF'!$D$181:$DT$181,1,MATCH(N$9,'Monthly CF'!$D$9:$DT$9,0)),0)</f>
        <v/>
      </c>
      <c r="O181" s="232">
        <f>IFERROR(INDEX('Monthly CF'!$D$181:$DT$181,1,MATCH(O$9,'Monthly CF'!$D$9:$DT$9,0)),0)</f>
        <v/>
      </c>
    </row>
    <row r="182" ht="15" customHeight="1" s="148">
      <c r="A182" t="inlineStr">
        <is>
          <t>Acq Proceeds</t>
        </is>
      </c>
      <c r="C182">
        <f>SUM(D182:O182)</f>
        <v/>
      </c>
      <c r="D182" s="232">
        <f>SUMIF('Monthly CF'!$D$9:$DT$9,D$9,'Monthly CF'!$D$182:$DT$182)</f>
        <v/>
      </c>
      <c r="E182" s="232">
        <f>SUMIF('Monthly CF'!$D$9:$DT$9,E$9,'Monthly CF'!$D$182:$DT$182)</f>
        <v/>
      </c>
      <c r="F182" s="232">
        <f>SUMIF('Monthly CF'!$D$9:$DT$9,F$9,'Monthly CF'!$D$182:$DT$182)</f>
        <v/>
      </c>
      <c r="G182" s="232">
        <f>SUMIF('Monthly CF'!$D$9:$DT$9,G$9,'Monthly CF'!$D$182:$DT$182)</f>
        <v/>
      </c>
      <c r="H182" s="232">
        <f>SUMIF('Monthly CF'!$D$9:$DT$9,H$9,'Monthly CF'!$D$182:$DT$182)</f>
        <v/>
      </c>
      <c r="I182" s="232">
        <f>SUMIF('Monthly CF'!$D$9:$DT$9,I$9,'Monthly CF'!$D$182:$DT$182)</f>
        <v/>
      </c>
      <c r="J182" s="232">
        <f>SUMIF('Monthly CF'!$D$9:$DT$9,J$9,'Monthly CF'!$D$182:$DT$182)</f>
        <v/>
      </c>
      <c r="K182" s="232">
        <f>SUMIF('Monthly CF'!$D$9:$DT$9,K$9,'Monthly CF'!$D$182:$DT$182)</f>
        <v/>
      </c>
      <c r="L182" s="232">
        <f>SUMIF('Monthly CF'!$D$9:$DT$9,L$9,'Monthly CF'!$D$182:$DT$182)</f>
        <v/>
      </c>
      <c r="M182" s="232">
        <f>SUMIF('Monthly CF'!$D$9:$DT$9,M$9,'Monthly CF'!$D$182:$DT$182)</f>
        <v/>
      </c>
      <c r="N182" s="232">
        <f>SUMIF('Monthly CF'!$D$9:$DT$9,N$9,'Monthly CF'!$D$182:$DT$182)</f>
        <v/>
      </c>
      <c r="O182" s="232">
        <f>SUMIF('Monthly CF'!$D$9:$DT$9,O$9,'Monthly CF'!$D$182:$DT$182)</f>
        <v/>
      </c>
    </row>
    <row r="183" ht="15" customHeight="1" s="148">
      <c r="A183" t="inlineStr">
        <is>
          <t>Acq Payment</t>
        </is>
      </c>
      <c r="C183">
        <f>SUM(D183:O183)</f>
        <v/>
      </c>
      <c r="D183" s="232">
        <f>SUMIF('Monthly CF'!$D$9:$DT$9,D$9,'Monthly CF'!$D$183:$DT$183)</f>
        <v/>
      </c>
      <c r="E183" s="232">
        <f>SUMIF('Monthly CF'!$D$9:$DT$9,E$9,'Monthly CF'!$D$183:$DT$183)</f>
        <v/>
      </c>
      <c r="F183" s="232">
        <f>SUMIF('Monthly CF'!$D$9:$DT$9,F$9,'Monthly CF'!$D$183:$DT$183)</f>
        <v/>
      </c>
      <c r="G183" s="232">
        <f>SUMIF('Monthly CF'!$D$9:$DT$9,G$9,'Monthly CF'!$D$183:$DT$183)</f>
        <v/>
      </c>
      <c r="H183" s="232">
        <f>SUMIF('Monthly CF'!$D$9:$DT$9,H$9,'Monthly CF'!$D$183:$DT$183)</f>
        <v/>
      </c>
      <c r="I183" s="232">
        <f>SUMIF('Monthly CF'!$D$9:$DT$9,I$9,'Monthly CF'!$D$183:$DT$183)</f>
        <v/>
      </c>
      <c r="J183" s="232">
        <f>SUMIF('Monthly CF'!$D$9:$DT$9,J$9,'Monthly CF'!$D$183:$DT$183)</f>
        <v/>
      </c>
      <c r="K183" s="232">
        <f>SUMIF('Monthly CF'!$D$9:$DT$9,K$9,'Monthly CF'!$D$183:$DT$183)</f>
        <v/>
      </c>
      <c r="L183" s="232">
        <f>SUMIF('Monthly CF'!$D$9:$DT$9,L$9,'Monthly CF'!$D$183:$DT$183)</f>
        <v/>
      </c>
      <c r="M183" s="232">
        <f>SUMIF('Monthly CF'!$D$9:$DT$9,M$9,'Monthly CF'!$D$183:$DT$183)</f>
        <v/>
      </c>
      <c r="N183" s="232">
        <f>SUMIF('Monthly CF'!$D$9:$DT$9,N$9,'Monthly CF'!$D$183:$DT$183)</f>
        <v/>
      </c>
      <c r="O183" s="232">
        <f>SUMIF('Monthly CF'!$D$9:$DT$9,O$9,'Monthly CF'!$D$183:$DT$183)</f>
        <v/>
      </c>
    </row>
    <row r="184" ht="15" customHeight="1" s="148">
      <c r="A184" t="inlineStr">
        <is>
          <t>Acq Interest</t>
        </is>
      </c>
      <c r="C184">
        <f>SUM(D184:O184)</f>
        <v/>
      </c>
      <c r="D184" s="232">
        <f>SUMIF('Monthly CF'!$D$9:$DT$9,D$9,'Monthly CF'!$D$184:$DT$184)</f>
        <v/>
      </c>
      <c r="E184" s="232">
        <f>SUMIF('Monthly CF'!$D$9:$DT$9,E$9,'Monthly CF'!$D$184:$DT$184)</f>
        <v/>
      </c>
      <c r="F184" s="232">
        <f>SUMIF('Monthly CF'!$D$9:$DT$9,F$9,'Monthly CF'!$D$184:$DT$184)</f>
        <v/>
      </c>
      <c r="G184" s="232">
        <f>SUMIF('Monthly CF'!$D$9:$DT$9,G$9,'Monthly CF'!$D$184:$DT$184)</f>
        <v/>
      </c>
      <c r="H184" s="232">
        <f>SUMIF('Monthly CF'!$D$9:$DT$9,H$9,'Monthly CF'!$D$184:$DT$184)</f>
        <v/>
      </c>
      <c r="I184" s="232">
        <f>SUMIF('Monthly CF'!$D$9:$DT$9,I$9,'Monthly CF'!$D$184:$DT$184)</f>
        <v/>
      </c>
      <c r="J184" s="232">
        <f>SUMIF('Monthly CF'!$D$9:$DT$9,J$9,'Monthly CF'!$D$184:$DT$184)</f>
        <v/>
      </c>
      <c r="K184" s="232">
        <f>SUMIF('Monthly CF'!$D$9:$DT$9,K$9,'Monthly CF'!$D$184:$DT$184)</f>
        <v/>
      </c>
      <c r="L184" s="232">
        <f>SUMIF('Monthly CF'!$D$9:$DT$9,L$9,'Monthly CF'!$D$184:$DT$184)</f>
        <v/>
      </c>
      <c r="M184" s="232">
        <f>SUMIF('Monthly CF'!$D$9:$DT$9,M$9,'Monthly CF'!$D$184:$DT$184)</f>
        <v/>
      </c>
      <c r="N184" s="232">
        <f>SUMIF('Monthly CF'!$D$9:$DT$9,N$9,'Monthly CF'!$D$184:$DT$184)</f>
        <v/>
      </c>
      <c r="O184" s="232">
        <f>SUMIF('Monthly CF'!$D$9:$DT$9,O$9,'Monthly CF'!$D$184:$DT$184)</f>
        <v/>
      </c>
    </row>
    <row r="185" ht="15" customHeight="1" s="148">
      <c r="A185" t="inlineStr">
        <is>
          <t>Acq Principal</t>
        </is>
      </c>
      <c r="C185">
        <f>SUM(D185:O185)</f>
        <v/>
      </c>
      <c r="D185" s="232">
        <f>SUMIF('Monthly CF'!$D$9:$DT$9,D$9,'Monthly CF'!$D$185:$DT$185)</f>
        <v/>
      </c>
      <c r="E185" s="232">
        <f>SUMIF('Monthly CF'!$D$9:$DT$9,E$9,'Monthly CF'!$D$185:$DT$185)</f>
        <v/>
      </c>
      <c r="F185" s="232">
        <f>SUMIF('Monthly CF'!$D$9:$DT$9,F$9,'Monthly CF'!$D$185:$DT$185)</f>
        <v/>
      </c>
      <c r="G185" s="232">
        <f>SUMIF('Monthly CF'!$D$9:$DT$9,G$9,'Monthly CF'!$D$185:$DT$185)</f>
        <v/>
      </c>
      <c r="H185" s="232">
        <f>SUMIF('Monthly CF'!$D$9:$DT$9,H$9,'Monthly CF'!$D$185:$DT$185)</f>
        <v/>
      </c>
      <c r="I185" s="232">
        <f>SUMIF('Monthly CF'!$D$9:$DT$9,I$9,'Monthly CF'!$D$185:$DT$185)</f>
        <v/>
      </c>
      <c r="J185" s="232">
        <f>SUMIF('Monthly CF'!$D$9:$DT$9,J$9,'Monthly CF'!$D$185:$DT$185)</f>
        <v/>
      </c>
      <c r="K185" s="232">
        <f>SUMIF('Monthly CF'!$D$9:$DT$9,K$9,'Monthly CF'!$D$185:$DT$185)</f>
        <v/>
      </c>
      <c r="L185" s="232">
        <f>SUMIF('Monthly CF'!$D$9:$DT$9,L$9,'Monthly CF'!$D$185:$DT$185)</f>
        <v/>
      </c>
      <c r="M185" s="232">
        <f>SUMIF('Monthly CF'!$D$9:$DT$9,M$9,'Monthly CF'!$D$185:$DT$185)</f>
        <v/>
      </c>
      <c r="N185" s="232">
        <f>SUMIF('Monthly CF'!$D$9:$DT$9,N$9,'Monthly CF'!$D$185:$DT$185)</f>
        <v/>
      </c>
      <c r="O185" s="232">
        <f>SUMIF('Monthly CF'!$D$9:$DT$9,O$9,'Monthly CF'!$D$185:$DT$185)</f>
        <v/>
      </c>
    </row>
    <row r="186" ht="15" customHeight="1" s="148">
      <c r="A186" t="inlineStr">
        <is>
          <t>Acq End Bal</t>
        </is>
      </c>
      <c r="C186">
        <f>SUM(D186:O186)</f>
        <v/>
      </c>
      <c r="D186" s="232">
        <f>IFERROR(INDEX('Monthly CF'!$D$186:$DT$186,1,IFERROR(MATCH(D$9+1,'Monthly CF'!$D$9:$DT$9,0)-1,COLUMNS('Monthly CF'!$D$9:$DT$9))),0)</f>
        <v/>
      </c>
      <c r="E186" s="232">
        <f>IFERROR(INDEX('Monthly CF'!$D$186:$DT$186,1,IFERROR(MATCH(E$9+1,'Monthly CF'!$D$9:$DT$9,0)-1,COLUMNS('Monthly CF'!$D$9:$DT$9))),0)</f>
        <v/>
      </c>
      <c r="F186" s="232">
        <f>IFERROR(INDEX('Monthly CF'!$D$186:$DT$186,1,IFERROR(MATCH(F$9+1,'Monthly CF'!$D$9:$DT$9,0)-1,COLUMNS('Monthly CF'!$D$9:$DT$9))),0)</f>
        <v/>
      </c>
      <c r="G186" s="232">
        <f>IFERROR(INDEX('Monthly CF'!$D$186:$DT$186,1,IFERROR(MATCH(G$9+1,'Monthly CF'!$D$9:$DT$9,0)-1,COLUMNS('Monthly CF'!$D$9:$DT$9))),0)</f>
        <v/>
      </c>
      <c r="H186" s="232">
        <f>IFERROR(INDEX('Monthly CF'!$D$186:$DT$186,1,IFERROR(MATCH(H$9+1,'Monthly CF'!$D$9:$DT$9,0)-1,COLUMNS('Monthly CF'!$D$9:$DT$9))),0)</f>
        <v/>
      </c>
      <c r="I186" s="232">
        <f>IFERROR(INDEX('Monthly CF'!$D$186:$DT$186,1,IFERROR(MATCH(I$9+1,'Monthly CF'!$D$9:$DT$9,0)-1,COLUMNS('Monthly CF'!$D$9:$DT$9))),0)</f>
        <v/>
      </c>
      <c r="J186" s="232">
        <f>IFERROR(INDEX('Monthly CF'!$D$186:$DT$186,1,IFERROR(MATCH(J$9+1,'Monthly CF'!$D$9:$DT$9,0)-1,COLUMNS('Monthly CF'!$D$9:$DT$9))),0)</f>
        <v/>
      </c>
      <c r="K186" s="232">
        <f>IFERROR(INDEX('Monthly CF'!$D$186:$DT$186,1,IFERROR(MATCH(K$9+1,'Monthly CF'!$D$9:$DT$9,0)-1,COLUMNS('Monthly CF'!$D$9:$DT$9))),0)</f>
        <v/>
      </c>
      <c r="L186" s="232">
        <f>IFERROR(INDEX('Monthly CF'!$D$186:$DT$186,1,IFERROR(MATCH(L$9+1,'Monthly CF'!$D$9:$DT$9,0)-1,COLUMNS('Monthly CF'!$D$9:$DT$9))),0)</f>
        <v/>
      </c>
      <c r="M186" s="232">
        <f>IFERROR(INDEX('Monthly CF'!$D$186:$DT$186,1,IFERROR(MATCH(M$9+1,'Monthly CF'!$D$9:$DT$9,0)-1,COLUMNS('Monthly CF'!$D$9:$DT$9))),0)</f>
        <v/>
      </c>
      <c r="N186" s="232">
        <f>IFERROR(INDEX('Monthly CF'!$D$186:$DT$186,1,IFERROR(MATCH(N$9+1,'Monthly CF'!$D$9:$DT$9,0)-1,COLUMNS('Monthly CF'!$D$9:$DT$9))),0)</f>
        <v/>
      </c>
      <c r="O186" s="232">
        <f>IFERROR(INDEX('Monthly CF'!$D$186:$DT$186,1,IFERROR(MATCH(O$9+1,'Monthly CF'!$D$9:$DT$9,0)-1,COLUMNS('Monthly CF'!$D$9:$DT$9))),0)</f>
        <v/>
      </c>
    </row>
    <row r="187" ht="15" customHeight="1" s="148">
      <c r="A187" t="inlineStr">
        <is>
          <t>Acq Final Repay</t>
        </is>
      </c>
      <c r="C187">
        <f>SUM(D187:O187)</f>
        <v/>
      </c>
      <c r="D187" s="232">
        <f>SUMIF('Monthly CF'!$D$9:$DT$9,D$9,'Monthly CF'!$D$187:$DT$187)</f>
        <v/>
      </c>
      <c r="E187" s="232">
        <f>SUMIF('Monthly CF'!$D$9:$DT$9,E$9,'Monthly CF'!$D$187:$DT$187)</f>
        <v/>
      </c>
      <c r="F187" s="232">
        <f>SUMIF('Monthly CF'!$D$9:$DT$9,F$9,'Monthly CF'!$D$187:$DT$187)</f>
        <v/>
      </c>
      <c r="G187" s="232">
        <f>SUMIF('Monthly CF'!$D$9:$DT$9,G$9,'Monthly CF'!$D$187:$DT$187)</f>
        <v/>
      </c>
      <c r="H187" s="232">
        <f>SUMIF('Monthly CF'!$D$9:$DT$9,H$9,'Monthly CF'!$D$187:$DT$187)</f>
        <v/>
      </c>
      <c r="I187" s="232">
        <f>SUMIF('Monthly CF'!$D$9:$DT$9,I$9,'Monthly CF'!$D$187:$DT$187)</f>
        <v/>
      </c>
      <c r="J187" s="232">
        <f>SUMIF('Monthly CF'!$D$9:$DT$9,J$9,'Monthly CF'!$D$187:$DT$187)</f>
        <v/>
      </c>
      <c r="K187" s="232">
        <f>SUMIF('Monthly CF'!$D$9:$DT$9,K$9,'Monthly CF'!$D$187:$DT$187)</f>
        <v/>
      </c>
      <c r="L187" s="232">
        <f>SUMIF('Monthly CF'!$D$9:$DT$9,L$9,'Monthly CF'!$D$187:$DT$187)</f>
        <v/>
      </c>
      <c r="M187" s="232">
        <f>SUMIF('Monthly CF'!$D$9:$DT$9,M$9,'Monthly CF'!$D$187:$DT$187)</f>
        <v/>
      </c>
      <c r="N187" s="232">
        <f>SUMIF('Monthly CF'!$D$9:$DT$9,N$9,'Monthly CF'!$D$187:$DT$187)</f>
        <v/>
      </c>
      <c r="O187" s="232">
        <f>SUMIF('Monthly CF'!$D$9:$DT$9,O$9,'Monthly CF'!$D$187:$DT$187)</f>
        <v/>
      </c>
    </row>
    <row r="188" ht="15" customHeight="1" s="148">
      <c r="C188">
        <f>SUM(D188:O188)</f>
        <v/>
      </c>
    </row>
    <row r="189" ht="15" customHeight="1" s="148">
      <c r="A189" t="inlineStr">
        <is>
          <t>Refi Begin Bal</t>
        </is>
      </c>
      <c r="C189">
        <f>SUM(D189:O189)</f>
        <v/>
      </c>
      <c r="D189" s="232">
        <f>IFERROR(INDEX('Monthly CF'!$D$189:$DT$189,1,MATCH(D$9,'Monthly CF'!$D$9:$DT$9,0)),0)</f>
        <v/>
      </c>
      <c r="E189" s="232">
        <f>IFERROR(INDEX('Monthly CF'!$D$189:$DT$189,1,MATCH(E$9,'Monthly CF'!$D$9:$DT$9,0)),0)</f>
        <v/>
      </c>
      <c r="F189" s="232">
        <f>IFERROR(INDEX('Monthly CF'!$D$189:$DT$189,1,MATCH(F$9,'Monthly CF'!$D$9:$DT$9,0)),0)</f>
        <v/>
      </c>
      <c r="G189" s="232">
        <f>IFERROR(INDEX('Monthly CF'!$D$189:$DT$189,1,MATCH(G$9,'Monthly CF'!$D$9:$DT$9,0)),0)</f>
        <v/>
      </c>
      <c r="H189" s="232">
        <f>IFERROR(INDEX('Monthly CF'!$D$189:$DT$189,1,MATCH(H$9,'Monthly CF'!$D$9:$DT$9,0)),0)</f>
        <v/>
      </c>
      <c r="I189" s="232">
        <f>IFERROR(INDEX('Monthly CF'!$D$189:$DT$189,1,MATCH(I$9,'Monthly CF'!$D$9:$DT$9,0)),0)</f>
        <v/>
      </c>
      <c r="J189" s="232">
        <f>IFERROR(INDEX('Monthly CF'!$D$189:$DT$189,1,MATCH(J$9,'Monthly CF'!$D$9:$DT$9,0)),0)</f>
        <v/>
      </c>
      <c r="K189" s="232">
        <f>IFERROR(INDEX('Monthly CF'!$D$189:$DT$189,1,MATCH(K$9,'Monthly CF'!$D$9:$DT$9,0)),0)</f>
        <v/>
      </c>
      <c r="L189" s="232">
        <f>IFERROR(INDEX('Monthly CF'!$D$189:$DT$189,1,MATCH(L$9,'Monthly CF'!$D$9:$DT$9,0)),0)</f>
        <v/>
      </c>
      <c r="M189" s="232">
        <f>IFERROR(INDEX('Monthly CF'!$D$189:$DT$189,1,MATCH(M$9,'Monthly CF'!$D$9:$DT$9,0)),0)</f>
        <v/>
      </c>
      <c r="N189" s="232">
        <f>IFERROR(INDEX('Monthly CF'!$D$189:$DT$189,1,MATCH(N$9,'Monthly CF'!$D$9:$DT$9,0)),0)</f>
        <v/>
      </c>
      <c r="O189" s="232">
        <f>IFERROR(INDEX('Monthly CF'!$D$189:$DT$189,1,MATCH(O$9,'Monthly CF'!$D$9:$DT$9,0)),0)</f>
        <v/>
      </c>
    </row>
    <row r="190" ht="15" customHeight="1" s="148">
      <c r="A190" t="inlineStr">
        <is>
          <t>Refi Proceeds</t>
        </is>
      </c>
      <c r="C190">
        <f>SUM(D190:O190)</f>
        <v/>
      </c>
      <c r="D190" s="232">
        <f>SUMIF('Monthly CF'!$D$9:$DT$9,D$9,'Monthly CF'!$D$190:$DT$190)</f>
        <v/>
      </c>
      <c r="E190" s="232">
        <f>SUMIF('Monthly CF'!$D$9:$DT$9,E$9,'Monthly CF'!$D$190:$DT$190)</f>
        <v/>
      </c>
      <c r="F190" s="232">
        <f>SUMIF('Monthly CF'!$D$9:$DT$9,F$9,'Monthly CF'!$D$190:$DT$190)</f>
        <v/>
      </c>
      <c r="G190" s="232">
        <f>SUMIF('Monthly CF'!$D$9:$DT$9,G$9,'Monthly CF'!$D$190:$DT$190)</f>
        <v/>
      </c>
      <c r="H190" s="232">
        <f>SUMIF('Monthly CF'!$D$9:$DT$9,H$9,'Monthly CF'!$D$190:$DT$190)</f>
        <v/>
      </c>
      <c r="I190" s="232">
        <f>SUMIF('Monthly CF'!$D$9:$DT$9,I$9,'Monthly CF'!$D$190:$DT$190)</f>
        <v/>
      </c>
      <c r="J190" s="232">
        <f>SUMIF('Monthly CF'!$D$9:$DT$9,J$9,'Monthly CF'!$D$190:$DT$190)</f>
        <v/>
      </c>
      <c r="K190" s="232">
        <f>SUMIF('Monthly CF'!$D$9:$DT$9,K$9,'Monthly CF'!$D$190:$DT$190)</f>
        <v/>
      </c>
      <c r="L190" s="232">
        <f>SUMIF('Monthly CF'!$D$9:$DT$9,L$9,'Monthly CF'!$D$190:$DT$190)</f>
        <v/>
      </c>
      <c r="M190" s="232">
        <f>SUMIF('Monthly CF'!$D$9:$DT$9,M$9,'Monthly CF'!$D$190:$DT$190)</f>
        <v/>
      </c>
      <c r="N190" s="232">
        <f>SUMIF('Monthly CF'!$D$9:$DT$9,N$9,'Monthly CF'!$D$190:$DT$190)</f>
        <v/>
      </c>
      <c r="O190" s="232">
        <f>SUMIF('Monthly CF'!$D$9:$DT$9,O$9,'Monthly CF'!$D$190:$DT$190)</f>
        <v/>
      </c>
    </row>
    <row r="191" ht="15" customHeight="1" s="148">
      <c r="A191" t="inlineStr">
        <is>
          <t>Refi Payment</t>
        </is>
      </c>
      <c r="C191">
        <f>SUM(D191:O191)</f>
        <v/>
      </c>
      <c r="D191" s="232">
        <f>SUMIF('Monthly CF'!$D$9:$DT$9,D$9,'Monthly CF'!$D$191:$DT$191)</f>
        <v/>
      </c>
      <c r="E191" s="232">
        <f>SUMIF('Monthly CF'!$D$9:$DT$9,E$9,'Monthly CF'!$D$191:$DT$191)</f>
        <v/>
      </c>
      <c r="F191" s="232">
        <f>SUMIF('Monthly CF'!$D$9:$DT$9,F$9,'Monthly CF'!$D$191:$DT$191)</f>
        <v/>
      </c>
      <c r="G191" s="232">
        <f>SUMIF('Monthly CF'!$D$9:$DT$9,G$9,'Monthly CF'!$D$191:$DT$191)</f>
        <v/>
      </c>
      <c r="H191" s="232">
        <f>SUMIF('Monthly CF'!$D$9:$DT$9,H$9,'Monthly CF'!$D$191:$DT$191)</f>
        <v/>
      </c>
      <c r="I191" s="232">
        <f>SUMIF('Monthly CF'!$D$9:$DT$9,I$9,'Monthly CF'!$D$191:$DT$191)</f>
        <v/>
      </c>
      <c r="J191" s="232">
        <f>SUMIF('Monthly CF'!$D$9:$DT$9,J$9,'Monthly CF'!$D$191:$DT$191)</f>
        <v/>
      </c>
      <c r="K191" s="232">
        <f>SUMIF('Monthly CF'!$D$9:$DT$9,K$9,'Monthly CF'!$D$191:$DT$191)</f>
        <v/>
      </c>
      <c r="L191" s="232">
        <f>SUMIF('Monthly CF'!$D$9:$DT$9,L$9,'Monthly CF'!$D$191:$DT$191)</f>
        <v/>
      </c>
      <c r="M191" s="232">
        <f>SUMIF('Monthly CF'!$D$9:$DT$9,M$9,'Monthly CF'!$D$191:$DT$191)</f>
        <v/>
      </c>
      <c r="N191" s="232">
        <f>SUMIF('Monthly CF'!$D$9:$DT$9,N$9,'Monthly CF'!$D$191:$DT$191)</f>
        <v/>
      </c>
      <c r="O191" s="232">
        <f>SUMIF('Monthly CF'!$D$9:$DT$9,O$9,'Monthly CF'!$D$191:$DT$191)</f>
        <v/>
      </c>
    </row>
    <row r="192" ht="15" customHeight="1" s="148">
      <c r="A192" t="inlineStr">
        <is>
          <t>Refi Interest</t>
        </is>
      </c>
      <c r="C192">
        <f>SUM(D192:O192)</f>
        <v/>
      </c>
      <c r="D192" s="232">
        <f>SUMIF('Monthly CF'!$D$9:$DT$9,D$9,'Monthly CF'!$D$192:$DT$192)</f>
        <v/>
      </c>
      <c r="E192" s="232">
        <f>SUMIF('Monthly CF'!$D$9:$DT$9,E$9,'Monthly CF'!$D$192:$DT$192)</f>
        <v/>
      </c>
      <c r="F192" s="232">
        <f>SUMIF('Monthly CF'!$D$9:$DT$9,F$9,'Monthly CF'!$D$192:$DT$192)</f>
        <v/>
      </c>
      <c r="G192" s="232">
        <f>SUMIF('Monthly CF'!$D$9:$DT$9,G$9,'Monthly CF'!$D$192:$DT$192)</f>
        <v/>
      </c>
      <c r="H192" s="232">
        <f>SUMIF('Monthly CF'!$D$9:$DT$9,H$9,'Monthly CF'!$D$192:$DT$192)</f>
        <v/>
      </c>
      <c r="I192" s="232">
        <f>SUMIF('Monthly CF'!$D$9:$DT$9,I$9,'Monthly CF'!$D$192:$DT$192)</f>
        <v/>
      </c>
      <c r="J192" s="232">
        <f>SUMIF('Monthly CF'!$D$9:$DT$9,J$9,'Monthly CF'!$D$192:$DT$192)</f>
        <v/>
      </c>
      <c r="K192" s="232">
        <f>SUMIF('Monthly CF'!$D$9:$DT$9,K$9,'Monthly CF'!$D$192:$DT$192)</f>
        <v/>
      </c>
      <c r="L192" s="232">
        <f>SUMIF('Monthly CF'!$D$9:$DT$9,L$9,'Monthly CF'!$D$192:$DT$192)</f>
        <v/>
      </c>
      <c r="M192" s="232">
        <f>SUMIF('Monthly CF'!$D$9:$DT$9,M$9,'Monthly CF'!$D$192:$DT$192)</f>
        <v/>
      </c>
      <c r="N192" s="232">
        <f>SUMIF('Monthly CF'!$D$9:$DT$9,N$9,'Monthly CF'!$D$192:$DT$192)</f>
        <v/>
      </c>
      <c r="O192" s="232">
        <f>SUMIF('Monthly CF'!$D$9:$DT$9,O$9,'Monthly CF'!$D$192:$DT$192)</f>
        <v/>
      </c>
    </row>
    <row r="193" ht="15" customHeight="1" s="148">
      <c r="A193" t="inlineStr">
        <is>
          <t>Refi Principal</t>
        </is>
      </c>
      <c r="C193">
        <f>SUM(D193:O193)</f>
        <v/>
      </c>
      <c r="D193" s="232">
        <f>SUMIF('Monthly CF'!$D$9:$DT$9,D$9,'Monthly CF'!$D$193:$DT$193)</f>
        <v/>
      </c>
      <c r="E193" s="232">
        <f>SUMIF('Monthly CF'!$D$9:$DT$9,E$9,'Monthly CF'!$D$193:$DT$193)</f>
        <v/>
      </c>
      <c r="F193" s="232">
        <f>SUMIF('Monthly CF'!$D$9:$DT$9,F$9,'Monthly CF'!$D$193:$DT$193)</f>
        <v/>
      </c>
      <c r="G193" s="232">
        <f>SUMIF('Monthly CF'!$D$9:$DT$9,G$9,'Monthly CF'!$D$193:$DT$193)</f>
        <v/>
      </c>
      <c r="H193" s="232">
        <f>SUMIF('Monthly CF'!$D$9:$DT$9,H$9,'Monthly CF'!$D$193:$DT$193)</f>
        <v/>
      </c>
      <c r="I193" s="232">
        <f>SUMIF('Monthly CF'!$D$9:$DT$9,I$9,'Monthly CF'!$D$193:$DT$193)</f>
        <v/>
      </c>
      <c r="J193" s="232">
        <f>SUMIF('Monthly CF'!$D$9:$DT$9,J$9,'Monthly CF'!$D$193:$DT$193)</f>
        <v/>
      </c>
      <c r="K193" s="232">
        <f>SUMIF('Monthly CF'!$D$9:$DT$9,K$9,'Monthly CF'!$D$193:$DT$193)</f>
        <v/>
      </c>
      <c r="L193" s="232">
        <f>SUMIF('Monthly CF'!$D$9:$DT$9,L$9,'Monthly CF'!$D$193:$DT$193)</f>
        <v/>
      </c>
      <c r="M193" s="232">
        <f>SUMIF('Monthly CF'!$D$9:$DT$9,M$9,'Monthly CF'!$D$193:$DT$193)</f>
        <v/>
      </c>
      <c r="N193" s="232">
        <f>SUMIF('Monthly CF'!$D$9:$DT$9,N$9,'Monthly CF'!$D$193:$DT$193)</f>
        <v/>
      </c>
      <c r="O193" s="232">
        <f>SUMIF('Monthly CF'!$D$9:$DT$9,O$9,'Monthly CF'!$D$193:$DT$193)</f>
        <v/>
      </c>
    </row>
    <row r="194" ht="15" customHeight="1" s="148">
      <c r="A194" t="inlineStr">
        <is>
          <t>Refi End Bal</t>
        </is>
      </c>
      <c r="C194">
        <f>SUM(D194:O194)</f>
        <v/>
      </c>
      <c r="D194" s="232">
        <f>IFERROR(INDEX('Monthly CF'!$D$194:$DT$194,1,IFERROR(MATCH(D$9+1,'Monthly CF'!$D$9:$DT$9,0)-1,COLUMNS('Monthly CF'!$D$9:$DT$9))),0)</f>
        <v/>
      </c>
      <c r="E194" s="232">
        <f>IFERROR(INDEX('Monthly CF'!$D$194:$DT$194,1,IFERROR(MATCH(E$9+1,'Monthly CF'!$D$9:$DT$9,0)-1,COLUMNS('Monthly CF'!$D$9:$DT$9))),0)</f>
        <v/>
      </c>
      <c r="F194" s="232">
        <f>IFERROR(INDEX('Monthly CF'!$D$194:$DT$194,1,IFERROR(MATCH(F$9+1,'Monthly CF'!$D$9:$DT$9,0)-1,COLUMNS('Monthly CF'!$D$9:$DT$9))),0)</f>
        <v/>
      </c>
      <c r="G194" s="232">
        <f>IFERROR(INDEX('Monthly CF'!$D$194:$DT$194,1,IFERROR(MATCH(G$9+1,'Monthly CF'!$D$9:$DT$9,0)-1,COLUMNS('Monthly CF'!$D$9:$DT$9))),0)</f>
        <v/>
      </c>
      <c r="H194" s="232">
        <f>IFERROR(INDEX('Monthly CF'!$D$194:$DT$194,1,IFERROR(MATCH(H$9+1,'Monthly CF'!$D$9:$DT$9,0)-1,COLUMNS('Monthly CF'!$D$9:$DT$9))),0)</f>
        <v/>
      </c>
      <c r="I194" s="232">
        <f>IFERROR(INDEX('Monthly CF'!$D$194:$DT$194,1,IFERROR(MATCH(I$9+1,'Monthly CF'!$D$9:$DT$9,0)-1,COLUMNS('Monthly CF'!$D$9:$DT$9))),0)</f>
        <v/>
      </c>
      <c r="J194" s="232">
        <f>IFERROR(INDEX('Monthly CF'!$D$194:$DT$194,1,IFERROR(MATCH(J$9+1,'Monthly CF'!$D$9:$DT$9,0)-1,COLUMNS('Monthly CF'!$D$9:$DT$9))),0)</f>
        <v/>
      </c>
      <c r="K194" s="232">
        <f>IFERROR(INDEX('Monthly CF'!$D$194:$DT$194,1,IFERROR(MATCH(K$9+1,'Monthly CF'!$D$9:$DT$9,0)-1,COLUMNS('Monthly CF'!$D$9:$DT$9))),0)</f>
        <v/>
      </c>
      <c r="L194" s="232">
        <f>IFERROR(INDEX('Monthly CF'!$D$194:$DT$194,1,IFERROR(MATCH(L$9+1,'Monthly CF'!$D$9:$DT$9,0)-1,COLUMNS('Monthly CF'!$D$9:$DT$9))),0)</f>
        <v/>
      </c>
      <c r="M194" s="232">
        <f>IFERROR(INDEX('Monthly CF'!$D$194:$DT$194,1,IFERROR(MATCH(M$9+1,'Monthly CF'!$D$9:$DT$9,0)-1,COLUMNS('Monthly CF'!$D$9:$DT$9))),0)</f>
        <v/>
      </c>
      <c r="N194" s="232">
        <f>IFERROR(INDEX('Monthly CF'!$D$194:$DT$194,1,IFERROR(MATCH(N$9+1,'Monthly CF'!$D$9:$DT$9,0)-1,COLUMNS('Monthly CF'!$D$9:$DT$9))),0)</f>
        <v/>
      </c>
      <c r="O194" s="232">
        <f>IFERROR(INDEX('Monthly CF'!$D$194:$DT$194,1,IFERROR(MATCH(O$9+1,'Monthly CF'!$D$9:$DT$9,0)-1,COLUMNS('Monthly CF'!$D$9:$DT$9))),0)</f>
        <v/>
      </c>
    </row>
    <row r="195" ht="15" customHeight="1" s="148">
      <c r="A195" t="inlineStr">
        <is>
          <t>Refi Final Repay</t>
        </is>
      </c>
      <c r="C195">
        <f>SUM(D195:O195)</f>
        <v/>
      </c>
      <c r="D195" s="232">
        <f>SUMIF('Monthly CF'!$D$9:$DT$9,D$9,'Monthly CF'!$D$195:$DT$195)</f>
        <v/>
      </c>
      <c r="E195" s="232">
        <f>SUMIF('Monthly CF'!$D$9:$DT$9,E$9,'Monthly CF'!$D$195:$DT$195)</f>
        <v/>
      </c>
      <c r="F195" s="232">
        <f>SUMIF('Monthly CF'!$D$9:$DT$9,F$9,'Monthly CF'!$D$195:$DT$195)</f>
        <v/>
      </c>
      <c r="G195" s="232">
        <f>SUMIF('Monthly CF'!$D$9:$DT$9,G$9,'Monthly CF'!$D$195:$DT$195)</f>
        <v/>
      </c>
      <c r="H195" s="232">
        <f>SUMIF('Monthly CF'!$D$9:$DT$9,H$9,'Monthly CF'!$D$195:$DT$195)</f>
        <v/>
      </c>
      <c r="I195" s="232">
        <f>SUMIF('Monthly CF'!$D$9:$DT$9,I$9,'Monthly CF'!$D$195:$DT$195)</f>
        <v/>
      </c>
      <c r="J195" s="232">
        <f>SUMIF('Monthly CF'!$D$9:$DT$9,J$9,'Monthly CF'!$D$195:$DT$195)</f>
        <v/>
      </c>
      <c r="K195" s="232">
        <f>SUMIF('Monthly CF'!$D$9:$DT$9,K$9,'Monthly CF'!$D$195:$DT$195)</f>
        <v/>
      </c>
      <c r="L195" s="232">
        <f>SUMIF('Monthly CF'!$D$9:$DT$9,L$9,'Monthly CF'!$D$195:$DT$195)</f>
        <v/>
      </c>
      <c r="M195" s="232">
        <f>SUMIF('Monthly CF'!$D$9:$DT$9,M$9,'Monthly CF'!$D$195:$DT$195)</f>
        <v/>
      </c>
      <c r="N195" s="232">
        <f>SUMIF('Monthly CF'!$D$9:$DT$9,N$9,'Monthly CF'!$D$195:$DT$195)</f>
        <v/>
      </c>
      <c r="O195" s="232">
        <f>SUMIF('Monthly CF'!$D$9:$DT$9,O$9,'Monthly CF'!$D$195:$DT$195)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7"/>
  <sheetViews>
    <sheetView topLeftCell="C7" workbookViewId="0">
      <selection activeCell="H23" sqref="H23:H30"/>
    </sheetView>
  </sheetViews>
  <sheetFormatPr baseColWidth="10" defaultColWidth="8.6640625" defaultRowHeight="13"/>
  <cols>
    <col width="30" customWidth="1" style="148" min="1" max="1"/>
    <col width="12" customWidth="1" style="148" min="2" max="2"/>
    <col width="10" customWidth="1" style="148" min="3" max="3"/>
    <col width="12" customWidth="1" style="148" min="4" max="4"/>
    <col width="16" customWidth="1" style="148" min="5" max="5"/>
    <col width="10" customWidth="1" style="148" min="6" max="6"/>
    <col width="2" customWidth="1" style="148" min="7" max="7"/>
    <col width="30" customWidth="1" style="148" min="8" max="8"/>
    <col width="14" customWidth="1" style="148" min="9" max="11"/>
  </cols>
  <sheetData>
    <row r="1" ht="15" customHeight="1" s="148">
      <c r="A1" s="100" t="inlineStr">
        <is>
          <t>Project Name</t>
        </is>
      </c>
      <c r="B1" s="101">
        <f>Assumptions!$F$7</f>
        <v/>
      </c>
    </row>
    <row r="2" ht="15" customHeight="1" s="148">
      <c r="A2" s="100" t="inlineStr">
        <is>
          <t>City, State</t>
        </is>
      </c>
      <c r="B2" s="101">
        <f>Assumptions!$F$8</f>
        <v/>
      </c>
    </row>
    <row r="3"/>
    <row r="4" ht="15" customHeight="1" s="148">
      <c r="A4" s="3" t="inlineStr">
        <is>
          <t>Investment Summary</t>
        </is>
      </c>
    </row>
    <row r="5"/>
    <row r="6" ht="15" customHeight="1" s="148">
      <c r="A6" s="187" t="inlineStr">
        <is>
          <t>Executive Summary</t>
        </is>
      </c>
      <c r="B6" s="153" t="n"/>
      <c r="C6" s="153" t="n"/>
      <c r="D6" s="153" t="n"/>
      <c r="E6" s="153" t="n"/>
      <c r="F6" s="150" t="n"/>
      <c r="H6" s="187" t="inlineStr">
        <is>
          <t>General Information</t>
        </is>
      </c>
      <c r="I6" s="153" t="n"/>
      <c r="J6" s="153" t="n"/>
      <c r="K6" s="150" t="n"/>
    </row>
    <row r="7" ht="15" customHeight="1" s="148">
      <c r="A7" s="186" t="inlineStr">
        <is>
          <t>1. Investment Overview</t>
        </is>
      </c>
      <c r="B7" s="153" t="n"/>
      <c r="C7" s="153" t="n"/>
      <c r="D7" s="153" t="n"/>
      <c r="E7" s="153" t="n"/>
      <c r="F7" s="150" t="n"/>
      <c r="H7" s="99" t="inlineStr">
        <is>
          <t>Property Type</t>
        </is>
      </c>
      <c r="I7" s="191" t="inlineStr">
        <is>
          <t>Industrial</t>
        </is>
      </c>
      <c r="J7" s="153" t="n"/>
      <c r="K7" s="150" t="n"/>
    </row>
    <row r="8" ht="15" customHeight="1" s="148">
      <c r="A8" s="190" t="inlineStr">
        <is>
          <t>Summary narrative (editable): describe the investment thesis, asset, and business plan.</t>
        </is>
      </c>
      <c r="B8" s="155" t="n"/>
      <c r="C8" s="155" t="n"/>
      <c r="D8" s="155" t="n"/>
      <c r="E8" s="155" t="n"/>
      <c r="F8" s="158" t="n"/>
      <c r="H8" s="99" t="inlineStr">
        <is>
          <t>Location</t>
        </is>
      </c>
      <c r="I8" s="191">
        <f>Assumptions!$F$8</f>
        <v/>
      </c>
      <c r="J8" s="153" t="n"/>
      <c r="K8" s="150" t="n"/>
    </row>
    <row r="9" ht="15" customHeight="1" s="148">
      <c r="A9" s="177" t="n"/>
      <c r="F9" s="163" t="n"/>
      <c r="H9" s="99" t="inlineStr">
        <is>
          <t>Building Net Square Footage</t>
        </is>
      </c>
      <c r="I9" s="194">
        <f>Assumptions!$F$13</f>
        <v/>
      </c>
      <c r="J9" s="153" t="n"/>
      <c r="K9" s="150" t="n"/>
    </row>
    <row r="10" ht="15" customHeight="1" s="148">
      <c r="A10" s="177" t="n"/>
      <c r="F10" s="163" t="n"/>
    </row>
    <row r="11" ht="15" customHeight="1" s="148">
      <c r="A11" s="177" t="n"/>
      <c r="F11" s="163" t="n"/>
      <c r="H11" s="187" t="inlineStr">
        <is>
          <t>Financial Information</t>
        </is>
      </c>
      <c r="I11" s="153" t="n"/>
      <c r="J11" s="153" t="n"/>
      <c r="K11" s="150" t="n"/>
    </row>
    <row r="12" ht="15" customHeight="1" s="148">
      <c r="A12" s="177" t="n"/>
      <c r="F12" s="163" t="n"/>
      <c r="H12" s="99" t="inlineStr">
        <is>
          <t>Acquisition Price</t>
        </is>
      </c>
      <c r="I12" s="188">
        <f>'Model Outputs'!$E$16</f>
        <v/>
      </c>
      <c r="J12" s="153" t="n"/>
      <c r="K12" s="150" t="n"/>
    </row>
    <row r="13" ht="15" customHeight="1" s="148">
      <c r="A13" s="177" t="n"/>
      <c r="F13" s="163" t="n"/>
      <c r="H13" s="99" t="inlineStr">
        <is>
          <t>Renovation Costs</t>
        </is>
      </c>
      <c r="I13" s="188">
        <f>'Model Outputs'!$E$17</f>
        <v/>
      </c>
      <c r="J13" s="153" t="n"/>
      <c r="K13" s="150" t="n"/>
    </row>
    <row r="14" ht="15" customHeight="1" s="148">
      <c r="A14" s="178" t="n"/>
      <c r="B14" s="165" t="n"/>
      <c r="C14" s="165" t="n"/>
      <c r="D14" s="165" t="n"/>
      <c r="E14" s="165" t="n"/>
      <c r="F14" s="179" t="n"/>
      <c r="H14" s="99" t="inlineStr">
        <is>
          <t>All In Cost</t>
        </is>
      </c>
      <c r="I14" s="188">
        <f>SUM(I12,I13)</f>
        <v/>
      </c>
      <c r="J14" s="153" t="n"/>
      <c r="K14" s="150" t="n"/>
    </row>
    <row r="15" ht="15" customHeight="1" s="148">
      <c r="H15" s="99" t="inlineStr">
        <is>
          <t>All In Cost Per Square Foot</t>
        </is>
      </c>
      <c r="I15" s="193">
        <f>IFERROR(I14/Assumptions!$F$13,0)</f>
        <v/>
      </c>
      <c r="J15" s="153" t="n"/>
      <c r="K15" s="150" t="n"/>
    </row>
    <row r="16" ht="15" customHeight="1" s="148">
      <c r="A16" s="186" t="inlineStr">
        <is>
          <t>2. Strong population and wage growth</t>
        </is>
      </c>
      <c r="B16" s="153" t="n"/>
      <c r="C16" s="153" t="n"/>
      <c r="D16" s="153" t="n"/>
      <c r="E16" s="153" t="n"/>
      <c r="F16" s="150" t="n"/>
    </row>
    <row r="17" ht="15" customHeight="1" s="148">
      <c r="A17" s="190" t="inlineStr">
        <is>
          <t>Summary narrative (editable): key demand drivers, demographics, and market tailwinds.</t>
        </is>
      </c>
      <c r="B17" s="155" t="n"/>
      <c r="C17" s="155" t="n"/>
      <c r="D17" s="155" t="n"/>
      <c r="E17" s="155" t="n"/>
      <c r="F17" s="158" t="n"/>
      <c r="H17" s="187" t="inlineStr">
        <is>
          <t>Sale Assumptions</t>
        </is>
      </c>
      <c r="I17" s="153" t="n"/>
      <c r="J17" s="153" t="n"/>
      <c r="K17" s="150" t="n"/>
    </row>
    <row r="18" ht="15" customHeight="1" s="148">
      <c r="A18" s="177" t="n"/>
      <c r="F18" s="163" t="n"/>
      <c r="H18" s="99" t="inlineStr">
        <is>
          <t>Exit Date</t>
        </is>
      </c>
      <c r="I18" s="192">
        <f>Assumptions!$F$28</f>
        <v/>
      </c>
      <c r="J18" s="153" t="n"/>
      <c r="K18" s="150" t="n"/>
    </row>
    <row r="19" ht="15" customHeight="1" s="148">
      <c r="A19" s="177" t="n"/>
      <c r="F19" s="163" t="n"/>
      <c r="H19" s="99" t="inlineStr">
        <is>
          <t>Gross Exit Proceeds</t>
        </is>
      </c>
      <c r="I19" s="188">
        <f>Assumptions!$F$31</f>
        <v/>
      </c>
      <c r="J19" s="153" t="n"/>
      <c r="K19" s="150" t="n"/>
    </row>
    <row r="20" ht="15" customHeight="1" s="148">
      <c r="A20" s="177" t="n"/>
      <c r="F20" s="163" t="n"/>
      <c r="H20" s="99" t="inlineStr">
        <is>
          <t>Gross Exit Price / Square Foot</t>
        </is>
      </c>
      <c r="I20" s="193">
        <f>Assumptions!$F$32</f>
        <v/>
      </c>
      <c r="J20" s="153" t="n"/>
      <c r="K20" s="150" t="n"/>
    </row>
    <row r="21" ht="15" customHeight="1" s="148">
      <c r="A21" s="177" t="n"/>
      <c r="F21" s="163" t="n"/>
    </row>
    <row r="22" ht="15" customHeight="1" s="148">
      <c r="A22" s="178" t="n"/>
      <c r="B22" s="165" t="n"/>
      <c r="C22" s="165" t="n"/>
      <c r="D22" s="165" t="n"/>
      <c r="E22" s="165" t="n"/>
      <c r="F22" s="179" t="n"/>
      <c r="H22" s="187" t="inlineStr">
        <is>
          <t>Equity Returns Summary</t>
        </is>
      </c>
      <c r="I22" s="153" t="n"/>
      <c r="J22" s="153" t="n"/>
      <c r="K22" s="150" t="n"/>
    </row>
    <row r="23" ht="15" customHeight="1" s="148">
      <c r="H23" s="99" t="inlineStr">
        <is>
          <t>Unlevered IRR</t>
        </is>
      </c>
      <c r="I23" s="189">
        <f>'Returns Summary'!$C$8</f>
        <v/>
      </c>
      <c r="J23" s="153" t="n"/>
      <c r="K23" s="150" t="n"/>
    </row>
    <row r="24" ht="15" customHeight="1" s="148">
      <c r="A24" s="186" t="inlineStr">
        <is>
          <t>3. Location</t>
        </is>
      </c>
      <c r="B24" s="153" t="n"/>
      <c r="C24" s="153" t="n"/>
      <c r="D24" s="153" t="n"/>
      <c r="E24" s="153" t="n"/>
      <c r="F24" s="150" t="n"/>
      <c r="H24" s="99" t="inlineStr">
        <is>
          <t>Unlevered Peak Capital</t>
        </is>
      </c>
      <c r="I24" s="188">
        <f>'Returns Summary'!$C$9</f>
        <v/>
      </c>
      <c r="J24" s="153" t="n"/>
      <c r="K24" s="150" t="n"/>
    </row>
    <row r="25" ht="15" customHeight="1" s="148">
      <c r="A25" s="190" t="inlineStr">
        <is>
          <t>Summary narrative (editable): site/location advantages, access, and submarket context.</t>
        </is>
      </c>
      <c r="B25" s="155" t="n"/>
      <c r="C25" s="155" t="n"/>
      <c r="D25" s="155" t="n"/>
      <c r="E25" s="155" t="n"/>
      <c r="F25" s="158" t="n"/>
      <c r="H25" s="99" t="inlineStr">
        <is>
          <t>Unlevered Net Profit</t>
        </is>
      </c>
      <c r="I25" s="188">
        <f>'Returns Summary'!$C$10</f>
        <v/>
      </c>
      <c r="J25" s="153" t="n"/>
      <c r="K25" s="150" t="n"/>
    </row>
    <row r="26" ht="15" customHeight="1" s="148">
      <c r="A26" s="177" t="n"/>
      <c r="F26" s="163" t="n"/>
      <c r="H26" s="99" t="inlineStr">
        <is>
          <t>Unlevered Profit Multiple</t>
        </is>
      </c>
      <c r="I26" s="233">
        <f>'Returns Summary'!$C$11</f>
        <v/>
      </c>
      <c r="J26" s="153" t="n"/>
      <c r="K26" s="150" t="n"/>
    </row>
    <row r="27" ht="15" customHeight="1" s="148">
      <c r="A27" s="177" t="n"/>
      <c r="F27" s="163" t="n"/>
      <c r="H27" s="99" t="inlineStr">
        <is>
          <t>Levered IRR</t>
        </is>
      </c>
      <c r="I27" s="189">
        <f>'Returns Summary'!$C$12</f>
        <v/>
      </c>
      <c r="J27" s="153" t="n"/>
      <c r="K27" s="150" t="n"/>
    </row>
    <row r="28" ht="15" customHeight="1" s="148">
      <c r="A28" s="177" t="n"/>
      <c r="F28" s="163" t="n"/>
      <c r="H28" s="99" t="inlineStr">
        <is>
          <t>Levered Peak Capital</t>
        </is>
      </c>
      <c r="I28" s="188">
        <f>'Returns Summary'!$C$13</f>
        <v/>
      </c>
      <c r="J28" s="153" t="n"/>
      <c r="K28" s="150" t="n"/>
    </row>
    <row r="29" ht="15" customHeight="1" s="148">
      <c r="A29" s="177" t="n"/>
      <c r="F29" s="163" t="n"/>
      <c r="H29" s="99" t="inlineStr">
        <is>
          <t>Levered Net Profit</t>
        </is>
      </c>
      <c r="I29" s="188">
        <f>'Returns Summary'!$C$14</f>
        <v/>
      </c>
      <c r="J29" s="153" t="n"/>
      <c r="K29" s="150" t="n"/>
    </row>
    <row r="30" ht="15" customHeight="1" s="148">
      <c r="A30" s="178" t="n"/>
      <c r="B30" s="165" t="n"/>
      <c r="C30" s="165" t="n"/>
      <c r="D30" s="165" t="n"/>
      <c r="E30" s="165" t="n"/>
      <c r="F30" s="179" t="n"/>
      <c r="H30" s="99" t="inlineStr">
        <is>
          <t>Levered Profit Multiple</t>
        </is>
      </c>
      <c r="I30" s="233">
        <f>'Returns Summary'!$C$15</f>
        <v/>
      </c>
      <c r="J30" s="153" t="n"/>
      <c r="K30" s="150" t="n"/>
    </row>
    <row r="31" ht="15" customHeight="1" s="148">
      <c r="H31" s="99" t="inlineStr">
        <is>
          <t>Investor IRR</t>
        </is>
      </c>
      <c r="I31" s="189" t="n"/>
      <c r="J31" s="153" t="n"/>
      <c r="K31" s="150" t="n"/>
    </row>
    <row r="32" ht="15" customHeight="1" s="148">
      <c r="A32" s="186" t="inlineStr">
        <is>
          <t>4. Property Description</t>
        </is>
      </c>
      <c r="B32" s="153" t="n"/>
      <c r="C32" s="153" t="n"/>
      <c r="D32" s="153" t="n"/>
      <c r="E32" s="153" t="n"/>
      <c r="F32" s="150" t="n"/>
      <c r="H32" s="99" t="inlineStr">
        <is>
          <t>Investor Peak Capital</t>
        </is>
      </c>
      <c r="I32" s="188" t="n"/>
      <c r="J32" s="153" t="n"/>
      <c r="K32" s="150" t="n"/>
    </row>
    <row r="33" ht="15" customHeight="1" s="148">
      <c r="A33" s="190" t="inlineStr">
        <is>
          <t>Property description (editable):
- Floor 1: ...
- Levels 2–4: ...</t>
        </is>
      </c>
      <c r="B33" s="155" t="n"/>
      <c r="C33" s="155" t="n"/>
      <c r="D33" s="155" t="n"/>
      <c r="E33" s="155" t="n"/>
      <c r="F33" s="158" t="n"/>
      <c r="H33" s="99" t="inlineStr">
        <is>
          <t>Investor Net Profit</t>
        </is>
      </c>
      <c r="I33" s="188" t="n"/>
      <c r="J33" s="153" t="n"/>
      <c r="K33" s="150" t="n"/>
    </row>
    <row r="34" ht="15" customHeight="1" s="148">
      <c r="A34" s="177" t="n"/>
      <c r="F34" s="163" t="n"/>
      <c r="H34" s="99" t="inlineStr">
        <is>
          <t>Investor Profit Multiple</t>
        </is>
      </c>
      <c r="I34" s="233" t="n"/>
      <c r="J34" s="153" t="n"/>
      <c r="K34" s="150" t="n"/>
    </row>
    <row r="35" ht="15" customHeight="1" s="148">
      <c r="A35" s="177" t="n"/>
      <c r="F35" s="163" t="n"/>
    </row>
    <row r="36" ht="15" customHeight="1" s="148">
      <c r="A36" s="178" t="n"/>
      <c r="B36" s="165" t="n"/>
      <c r="C36" s="165" t="n"/>
      <c r="D36" s="165" t="n"/>
      <c r="E36" s="165" t="n"/>
      <c r="F36" s="179" t="n"/>
      <c r="H36" s="187" t="inlineStr">
        <is>
          <t>Waterfall Assumptions</t>
        </is>
      </c>
      <c r="I36" s="153" t="n"/>
      <c r="J36" s="153" t="n"/>
      <c r="K36" s="150" t="n"/>
    </row>
    <row r="37" ht="15" customHeight="1" s="148">
      <c r="H37" s="99" t="inlineStr">
        <is>
          <t>Limited Partner Equity %</t>
        </is>
      </c>
      <c r="I37" s="189">
        <f>Assumptions!$P$43</f>
        <v/>
      </c>
      <c r="J37" s="153" t="n"/>
      <c r="K37" s="150" t="n"/>
    </row>
    <row r="38" ht="15" customHeight="1" s="148">
      <c r="H38" s="99" t="inlineStr">
        <is>
          <t>General Partner Equity %</t>
        </is>
      </c>
      <c r="I38" s="189">
        <f>Assumptions!$P$44</f>
        <v/>
      </c>
      <c r="J38" s="153" t="n"/>
      <c r="K38" s="150" t="n"/>
    </row>
    <row r="39" ht="15" customHeight="1" s="148">
      <c r="H39" s="99" t="inlineStr">
        <is>
          <t>First Promote Hurdle</t>
        </is>
      </c>
      <c r="I39" s="189">
        <f>Assumptions!$P$45</f>
        <v/>
      </c>
      <c r="J39" s="153" t="n"/>
      <c r="K39" s="150" t="n"/>
    </row>
    <row r="40" ht="15" customHeight="1" s="148">
      <c r="H40" s="99" t="inlineStr">
        <is>
          <t>Promote After 1st Hurdle</t>
        </is>
      </c>
      <c r="I40" s="189">
        <f>Assumptions!$P$46</f>
        <v/>
      </c>
      <c r="J40" s="153" t="n"/>
      <c r="K40" s="150" t="n"/>
    </row>
    <row r="42" ht="15" customHeight="1" s="148">
      <c r="H42" s="187" t="inlineStr">
        <is>
          <t>Contact</t>
        </is>
      </c>
      <c r="I42" s="153" t="n"/>
      <c r="J42" s="153" t="n"/>
      <c r="K42" s="150" t="n"/>
    </row>
    <row r="43" ht="15" customHeight="1" s="148">
      <c r="H43" s="99" t="inlineStr">
        <is>
          <t>Contact Name</t>
        </is>
      </c>
      <c r="I43" s="191" t="inlineStr">
        <is>
          <t>Contact Name</t>
        </is>
      </c>
      <c r="J43" s="153" t="n"/>
      <c r="K43" s="150" t="n"/>
    </row>
    <row r="44" ht="15" customHeight="1" s="148">
      <c r="H44" s="99" t="inlineStr">
        <is>
          <t>Email</t>
        </is>
      </c>
      <c r="I44" s="191" t="inlineStr">
        <is>
          <t>contact@email.com</t>
        </is>
      </c>
      <c r="J44" s="153" t="n"/>
      <c r="K44" s="150" t="n"/>
    </row>
    <row r="46" ht="15" customHeight="1" s="148">
      <c r="A46" s="187" t="inlineStr">
        <is>
          <t>Yearly Cashflow Projections</t>
        </is>
      </c>
      <c r="B46" s="153" t="n"/>
      <c r="C46" s="153" t="n"/>
      <c r="D46" s="153" t="n"/>
      <c r="E46" s="153" t="n"/>
      <c r="F46" s="153" t="n"/>
      <c r="G46" s="153" t="n"/>
      <c r="H46" s="150" t="n"/>
    </row>
    <row r="47" ht="68.75" customHeight="1" s="148">
      <c r="A47" s="186" t="n"/>
      <c r="B47" s="131" t="inlineStr">
        <is>
          <t>Year 0</t>
        </is>
      </c>
      <c r="C47" s="131" t="inlineStr">
        <is>
          <t>Year 1</t>
        </is>
      </c>
      <c r="D47" s="131" t="inlineStr">
        <is>
          <t>Year 2</t>
        </is>
      </c>
      <c r="E47" s="131" t="inlineStr">
        <is>
          <t>Year 3</t>
        </is>
      </c>
      <c r="F47" s="131" t="inlineStr">
        <is>
          <t>Year 4</t>
        </is>
      </c>
      <c r="G47" s="131" t="inlineStr">
        <is>
          <t>Year 5</t>
        </is>
      </c>
      <c r="H47" s="131" t="inlineStr">
        <is>
          <t>Year 6</t>
        </is>
      </c>
      <c r="I47" s="131" t="inlineStr">
        <is>
          <t>Year 7</t>
        </is>
      </c>
      <c r="J47" s="131" t="inlineStr">
        <is>
          <t>Year 8</t>
        </is>
      </c>
      <c r="K47" s="131" t="inlineStr">
        <is>
          <t>Year 9</t>
        </is>
      </c>
      <c r="L47" s="131" t="inlineStr">
        <is>
          <t>Year 10</t>
        </is>
      </c>
      <c r="M47" s="131" t="inlineStr">
        <is>
          <t>Total</t>
        </is>
      </c>
    </row>
    <row r="48" ht="15" customHeight="1" s="148">
      <c r="A48" s="99" t="inlineStr">
        <is>
          <t>Effective Gross Income</t>
        </is>
      </c>
      <c r="B48" s="188">
        <f>'Annual CF'!$D$35</f>
        <v/>
      </c>
      <c r="C48" s="188">
        <f>'Annual CF'!$E$35</f>
        <v/>
      </c>
      <c r="D48" s="188">
        <f>'Annual CF'!$F$35</f>
        <v/>
      </c>
      <c r="E48" s="188">
        <f>'Annual CF'!$G$35</f>
        <v/>
      </c>
      <c r="F48" s="188">
        <f>'Annual CF'!$H$35</f>
        <v/>
      </c>
      <c r="G48" s="188">
        <f>'Annual CF'!$I$35</f>
        <v/>
      </c>
      <c r="H48" s="188">
        <f>'Annual CF'!$J$35</f>
        <v/>
      </c>
      <c r="I48" s="188">
        <f>'Annual CF'!$K$35</f>
        <v/>
      </c>
      <c r="J48" s="188">
        <f>'Annual CF'!$L$35</f>
        <v/>
      </c>
      <c r="K48" s="188">
        <f>'Annual CF'!$M$35</f>
        <v/>
      </c>
      <c r="L48" s="188">
        <f>'Annual CF'!$N$35</f>
        <v/>
      </c>
      <c r="M48" s="188">
        <f>'Annual CF'!$C$35</f>
        <v/>
      </c>
    </row>
    <row r="49" ht="113.5" customHeight="1" s="148">
      <c r="A49" s="99" t="inlineStr">
        <is>
          <t>Total Operating Expenses</t>
        </is>
      </c>
      <c r="B49" s="234">
        <f>'Annual CF'!$D$54</f>
        <v/>
      </c>
      <c r="C49" s="234">
        <f>'Annual CF'!$E$54</f>
        <v/>
      </c>
      <c r="D49" s="234">
        <f>'Annual CF'!$F$54</f>
        <v/>
      </c>
      <c r="E49" s="234">
        <f>'Annual CF'!$G$54</f>
        <v/>
      </c>
      <c r="F49" s="234">
        <f>'Annual CF'!$H$54</f>
        <v/>
      </c>
      <c r="G49" s="234">
        <f>'Annual CF'!$I$54</f>
        <v/>
      </c>
      <c r="H49" s="234">
        <f>'Annual CF'!$J$54</f>
        <v/>
      </c>
      <c r="I49" s="234">
        <f>'Annual CF'!$K$54</f>
        <v/>
      </c>
      <c r="J49" s="234">
        <f>'Annual CF'!$L$54</f>
        <v/>
      </c>
      <c r="K49" s="234">
        <f>'Annual CF'!$M$54</f>
        <v/>
      </c>
      <c r="L49" s="234">
        <f>'Annual CF'!$N$54</f>
        <v/>
      </c>
      <c r="M49" s="234">
        <f>'Annual CF'!$C$54</f>
        <v/>
      </c>
    </row>
    <row r="50" ht="15" customHeight="1" s="148">
      <c r="A50" s="99" t="inlineStr">
        <is>
          <t>Net Operating Income</t>
        </is>
      </c>
      <c r="B50" s="188">
        <f>'Annual CF'!$D$56</f>
        <v/>
      </c>
      <c r="C50" s="188">
        <f>'Annual CF'!$E$56</f>
        <v/>
      </c>
      <c r="D50" s="188">
        <f>'Annual CF'!$F$56</f>
        <v/>
      </c>
      <c r="E50" s="188">
        <f>'Annual CF'!$G$56</f>
        <v/>
      </c>
      <c r="F50" s="188">
        <f>'Annual CF'!$H$56</f>
        <v/>
      </c>
      <c r="G50" s="188">
        <f>'Annual CF'!$I$56</f>
        <v/>
      </c>
      <c r="H50" s="188">
        <f>'Annual CF'!$J$56</f>
        <v/>
      </c>
      <c r="I50" s="188">
        <f>'Annual CF'!$K$56</f>
        <v/>
      </c>
      <c r="J50" s="188">
        <f>'Annual CF'!$L$56</f>
        <v/>
      </c>
      <c r="K50" s="188">
        <f>'Annual CF'!$M$56</f>
        <v/>
      </c>
      <c r="L50" s="188">
        <f>'Annual CF'!$N$56</f>
        <v/>
      </c>
      <c r="M50" s="188">
        <f>'Annual CF'!$C$56</f>
        <v/>
      </c>
    </row>
    <row r="51" ht="23.75" customHeight="1" s="148">
      <c r="A51" s="99" t="inlineStr">
        <is>
          <t>Non-Operating Expenses</t>
        </is>
      </c>
      <c r="B51" s="234">
        <f>'Annual CF'!$D$61</f>
        <v/>
      </c>
      <c r="C51" s="234">
        <f>'Annual CF'!$E$61</f>
        <v/>
      </c>
      <c r="D51" s="234">
        <f>'Annual CF'!$F$61</f>
        <v/>
      </c>
      <c r="E51" s="234">
        <f>'Annual CF'!$G$61</f>
        <v/>
      </c>
      <c r="F51" s="234">
        <f>'Annual CF'!$H$61</f>
        <v/>
      </c>
      <c r="G51" s="234">
        <f>'Annual CF'!$I$61</f>
        <v/>
      </c>
      <c r="H51" s="234">
        <f>'Annual CF'!$J$61</f>
        <v/>
      </c>
      <c r="I51" s="234">
        <f>'Annual CF'!$K$61</f>
        <v/>
      </c>
      <c r="J51" s="234">
        <f>'Annual CF'!$L$61</f>
        <v/>
      </c>
      <c r="K51" s="234">
        <f>'Annual CF'!$M$61</f>
        <v/>
      </c>
      <c r="L51" s="234">
        <f>'Annual CF'!$N$61</f>
        <v/>
      </c>
      <c r="M51" s="234">
        <f>'Annual CF'!$C$61</f>
        <v/>
      </c>
    </row>
    <row r="52" ht="102.25" customHeight="1" s="148">
      <c r="A52" s="99" t="inlineStr">
        <is>
          <t>CapEx, TI, LC</t>
        </is>
      </c>
      <c r="B52" s="234">
        <f>'Annual CF'!$D$70</f>
        <v/>
      </c>
      <c r="C52" s="234">
        <f>'Annual CF'!$E$70</f>
        <v/>
      </c>
      <c r="D52" s="234">
        <f>'Annual CF'!$F$70</f>
        <v/>
      </c>
      <c r="E52" s="234">
        <f>'Annual CF'!$G$70</f>
        <v/>
      </c>
      <c r="F52" s="234">
        <f>'Annual CF'!$H$70</f>
        <v/>
      </c>
      <c r="G52" s="234">
        <f>'Annual CF'!$I$70</f>
        <v/>
      </c>
      <c r="H52" s="234">
        <f>'Annual CF'!$J$70</f>
        <v/>
      </c>
      <c r="I52" s="234">
        <f>'Annual CF'!$K$70</f>
        <v/>
      </c>
      <c r="J52" s="234">
        <f>'Annual CF'!$L$70</f>
        <v/>
      </c>
      <c r="K52" s="234">
        <f>'Annual CF'!$M$70</f>
        <v/>
      </c>
      <c r="L52" s="234">
        <f>'Annual CF'!$N$70</f>
        <v/>
      </c>
      <c r="M52" s="234">
        <f>'Annual CF'!$C$70</f>
        <v/>
      </c>
    </row>
    <row r="53" ht="23.75" customHeight="1" s="148">
      <c r="A53" s="99" t="inlineStr">
        <is>
          <t>Acquisition Cost</t>
        </is>
      </c>
      <c r="B53" s="234">
        <f>'Annual CF'!$D$76</f>
        <v/>
      </c>
      <c r="C53" s="234">
        <f>'Annual CF'!$E$76</f>
        <v/>
      </c>
      <c r="D53" s="234">
        <f>'Annual CF'!$F$76</f>
        <v/>
      </c>
      <c r="E53" s="234">
        <f>'Annual CF'!$G$76</f>
        <v/>
      </c>
      <c r="F53" s="234">
        <f>'Annual CF'!$H$76</f>
        <v/>
      </c>
      <c r="G53" s="234">
        <f>'Annual CF'!$I$76</f>
        <v/>
      </c>
      <c r="H53" s="234">
        <f>'Annual CF'!$J$76</f>
        <v/>
      </c>
      <c r="I53" s="234">
        <f>'Annual CF'!$K$76</f>
        <v/>
      </c>
      <c r="J53" s="234">
        <f>'Annual CF'!$L$76</f>
        <v/>
      </c>
      <c r="K53" s="234">
        <f>'Annual CF'!$M$76</f>
        <v/>
      </c>
      <c r="L53" s="234">
        <f>'Annual CF'!$N$76</f>
        <v/>
      </c>
      <c r="M53" s="234">
        <f>'Annual CF'!$C$76</f>
        <v/>
      </c>
    </row>
    <row r="54" ht="23.75" customHeight="1" s="148">
      <c r="A54" s="99" t="inlineStr">
        <is>
          <t>Renovation Total</t>
        </is>
      </c>
      <c r="B54" s="234">
        <f>'Annual CF'!$D$103</f>
        <v/>
      </c>
      <c r="C54" s="234">
        <f>'Annual CF'!$E$103</f>
        <v/>
      </c>
      <c r="D54" s="234">
        <f>'Annual CF'!$F$103</f>
        <v/>
      </c>
      <c r="E54" s="234">
        <f>'Annual CF'!$G$103</f>
        <v/>
      </c>
      <c r="F54" s="234">
        <f>'Annual CF'!$H$103</f>
        <v/>
      </c>
      <c r="G54" s="234">
        <f>'Annual CF'!$I$103</f>
        <v/>
      </c>
      <c r="H54" s="234">
        <f>'Annual CF'!$J$103</f>
        <v/>
      </c>
      <c r="I54" s="234">
        <f>'Annual CF'!$K$103</f>
        <v/>
      </c>
      <c r="J54" s="234">
        <f>'Annual CF'!$L$103</f>
        <v/>
      </c>
      <c r="K54" s="234">
        <f>'Annual CF'!$M$103</f>
        <v/>
      </c>
      <c r="L54" s="234">
        <f>'Annual CF'!$N$103</f>
        <v/>
      </c>
      <c r="M54" s="234">
        <f>'Annual CF'!$C$103</f>
        <v/>
      </c>
    </row>
    <row r="55" ht="15" customHeight="1" s="148">
      <c r="A55" s="99" t="inlineStr">
        <is>
          <t>Net Exit Proceeds</t>
        </is>
      </c>
      <c r="B55" s="188">
        <f>'Annual CF'!$D$107</f>
        <v/>
      </c>
      <c r="C55" s="188">
        <f>'Annual CF'!$E$107</f>
        <v/>
      </c>
      <c r="D55" s="188">
        <f>'Annual CF'!$F$107</f>
        <v/>
      </c>
      <c r="E55" s="188">
        <f>'Annual CF'!$G$107</f>
        <v/>
      </c>
      <c r="F55" s="188">
        <f>'Annual CF'!$H$107</f>
        <v/>
      </c>
      <c r="G55" s="188">
        <f>'Annual CF'!$I$107</f>
        <v/>
      </c>
      <c r="H55" s="188">
        <f>'Annual CF'!$J$107</f>
        <v/>
      </c>
      <c r="I55" s="188">
        <f>'Annual CF'!$K$107</f>
        <v/>
      </c>
      <c r="J55" s="188">
        <f>'Annual CF'!$L$107</f>
        <v/>
      </c>
      <c r="K55" s="188">
        <f>'Annual CF'!$M$107</f>
        <v/>
      </c>
      <c r="L55" s="188">
        <f>'Annual CF'!$N$107</f>
        <v/>
      </c>
      <c r="M55" s="188">
        <f>'Annual CF'!$C$107</f>
        <v/>
      </c>
    </row>
    <row r="56" ht="124.5" customHeight="1" s="148">
      <c r="A56" s="99" t="inlineStr">
        <is>
          <t>Unlevered Cashflow</t>
        </is>
      </c>
      <c r="B56" s="234">
        <f>'Annual CF'!$D$109</f>
        <v/>
      </c>
      <c r="C56" s="234">
        <f>'Annual CF'!$E$109</f>
        <v/>
      </c>
      <c r="D56" s="234">
        <f>'Annual CF'!$F$109</f>
        <v/>
      </c>
      <c r="E56" s="234">
        <f>'Annual CF'!$G$109</f>
        <v/>
      </c>
      <c r="F56" s="234">
        <f>'Annual CF'!$H$109</f>
        <v/>
      </c>
      <c r="G56" s="234">
        <f>'Annual CF'!$I$109</f>
        <v/>
      </c>
      <c r="H56" s="234">
        <f>'Annual CF'!$J$109</f>
        <v/>
      </c>
      <c r="I56" s="234">
        <f>'Annual CF'!$K$109</f>
        <v/>
      </c>
      <c r="J56" s="234">
        <f>'Annual CF'!$L$109</f>
        <v/>
      </c>
      <c r="K56" s="234">
        <f>'Annual CF'!$M$109</f>
        <v/>
      </c>
      <c r="L56" s="234">
        <f>'Annual CF'!$N$109</f>
        <v/>
      </c>
      <c r="M56" s="234">
        <f>'Annual CF'!$C$109</f>
        <v/>
      </c>
    </row>
    <row r="58" ht="23.75" customHeight="1" s="148">
      <c r="A58" s="99" t="inlineStr">
        <is>
          <t>Acquisition Loan Origination Fee</t>
        </is>
      </c>
      <c r="B58" s="234">
        <f>'Annual CF'!$D$114</f>
        <v/>
      </c>
      <c r="C58" s="234">
        <f>'Annual CF'!$E$114</f>
        <v/>
      </c>
      <c r="D58" s="234">
        <f>'Annual CF'!$F$114</f>
        <v/>
      </c>
      <c r="E58" s="234">
        <f>'Annual CF'!$G$114</f>
        <v/>
      </c>
      <c r="F58" s="234">
        <f>'Annual CF'!$H$114</f>
        <v/>
      </c>
      <c r="G58" s="234">
        <f>'Annual CF'!$I$114</f>
        <v/>
      </c>
      <c r="H58" s="234">
        <f>'Annual CF'!$J$114</f>
        <v/>
      </c>
      <c r="I58" s="234">
        <f>'Annual CF'!$K$114</f>
        <v/>
      </c>
      <c r="J58" s="234">
        <f>'Annual CF'!$L$114</f>
        <v/>
      </c>
      <c r="K58" s="234">
        <f>'Annual CF'!$M$114</f>
        <v/>
      </c>
      <c r="L58" s="234">
        <f>'Annual CF'!$N$114</f>
        <v/>
      </c>
      <c r="M58" s="234">
        <f>'Annual CF'!$C$114</f>
        <v/>
      </c>
    </row>
    <row r="59" ht="23.75" customHeight="1" s="148">
      <c r="A59" s="99" t="inlineStr">
        <is>
          <t>Acquisition Loan Exit Fee</t>
        </is>
      </c>
      <c r="B59" s="234">
        <f>'Annual CF'!$D$115</f>
        <v/>
      </c>
      <c r="C59" s="234">
        <f>'Annual CF'!$E$115</f>
        <v/>
      </c>
      <c r="D59" s="234">
        <f>'Annual CF'!$F$115</f>
        <v/>
      </c>
      <c r="E59" s="234">
        <f>'Annual CF'!$G$115</f>
        <v/>
      </c>
      <c r="F59" s="234">
        <f>'Annual CF'!$H$115</f>
        <v/>
      </c>
      <c r="G59" s="234">
        <f>'Annual CF'!$I$115</f>
        <v/>
      </c>
      <c r="H59" s="234">
        <f>'Annual CF'!$J$115</f>
        <v/>
      </c>
      <c r="I59" s="234">
        <f>'Annual CF'!$K$115</f>
        <v/>
      </c>
      <c r="J59" s="234">
        <f>'Annual CF'!$L$115</f>
        <v/>
      </c>
      <c r="K59" s="234">
        <f>'Annual CF'!$M$115</f>
        <v/>
      </c>
      <c r="L59" s="234">
        <f>'Annual CF'!$N$115</f>
        <v/>
      </c>
      <c r="M59" s="234">
        <f>'Annual CF'!$C$115</f>
        <v/>
      </c>
    </row>
    <row r="60" ht="23.75" customHeight="1" s="148">
      <c r="A60" s="99" t="inlineStr">
        <is>
          <t>Acquisition Loan Interest Expense</t>
        </is>
      </c>
      <c r="B60" s="234">
        <f>'Annual CF'!$D$116</f>
        <v/>
      </c>
      <c r="C60" s="234">
        <f>'Annual CF'!$E$116</f>
        <v/>
      </c>
      <c r="D60" s="234">
        <f>'Annual CF'!$F$116</f>
        <v/>
      </c>
      <c r="E60" s="234">
        <f>'Annual CF'!$G$116</f>
        <v/>
      </c>
      <c r="F60" s="234">
        <f>'Annual CF'!$H$116</f>
        <v/>
      </c>
      <c r="G60" s="234">
        <f>'Annual CF'!$I$116</f>
        <v/>
      </c>
      <c r="H60" s="234">
        <f>'Annual CF'!$J$116</f>
        <v/>
      </c>
      <c r="I60" s="234">
        <f>'Annual CF'!$K$116</f>
        <v/>
      </c>
      <c r="J60" s="234">
        <f>'Annual CF'!$L$116</f>
        <v/>
      </c>
      <c r="K60" s="234">
        <f>'Annual CF'!$M$116</f>
        <v/>
      </c>
      <c r="L60" s="234">
        <f>'Annual CF'!$N$116</f>
        <v/>
      </c>
      <c r="M60" s="234">
        <f>'Annual CF'!$C$116</f>
        <v/>
      </c>
    </row>
    <row r="61" ht="23.75" customHeight="1" s="148">
      <c r="A61" s="99" t="inlineStr">
        <is>
          <t>Acquisition Loan Principal Paydown</t>
        </is>
      </c>
      <c r="B61" s="234">
        <f>'Annual CF'!$D$117</f>
        <v/>
      </c>
      <c r="C61" s="234">
        <f>'Annual CF'!$E$117</f>
        <v/>
      </c>
      <c r="D61" s="234">
        <f>'Annual CF'!$F$117</f>
        <v/>
      </c>
      <c r="E61" s="234">
        <f>'Annual CF'!$G$117</f>
        <v/>
      </c>
      <c r="F61" s="234">
        <f>'Annual CF'!$H$117</f>
        <v/>
      </c>
      <c r="G61" s="234">
        <f>'Annual CF'!$I$117</f>
        <v/>
      </c>
      <c r="H61" s="234">
        <f>'Annual CF'!$J$117</f>
        <v/>
      </c>
      <c r="I61" s="234">
        <f>'Annual CF'!$K$117</f>
        <v/>
      </c>
      <c r="J61" s="234">
        <f>'Annual CF'!$L$117</f>
        <v/>
      </c>
      <c r="K61" s="234">
        <f>'Annual CF'!$M$117</f>
        <v/>
      </c>
      <c r="L61" s="234">
        <f>'Annual CF'!$N$117</f>
        <v/>
      </c>
      <c r="M61" s="234">
        <f>'Annual CF'!$C$117</f>
        <v/>
      </c>
    </row>
    <row r="62" ht="23.75" customHeight="1" s="148">
      <c r="A62" s="99" t="inlineStr">
        <is>
          <t>Acquisition Loan Final Repayment</t>
        </is>
      </c>
      <c r="B62" s="234">
        <f>'Annual CF'!$D$118</f>
        <v/>
      </c>
      <c r="C62" s="234">
        <f>'Annual CF'!$E$118</f>
        <v/>
      </c>
      <c r="D62" s="234">
        <f>'Annual CF'!$F$118</f>
        <v/>
      </c>
      <c r="E62" s="234">
        <f>'Annual CF'!$G$118</f>
        <v/>
      </c>
      <c r="F62" s="234">
        <f>'Annual CF'!$H$118</f>
        <v/>
      </c>
      <c r="G62" s="234">
        <f>'Annual CF'!$I$118</f>
        <v/>
      </c>
      <c r="H62" s="234">
        <f>'Annual CF'!$J$118</f>
        <v/>
      </c>
      <c r="I62" s="234">
        <f>'Annual CF'!$K$118</f>
        <v/>
      </c>
      <c r="J62" s="234">
        <f>'Annual CF'!$L$118</f>
        <v/>
      </c>
      <c r="K62" s="234">
        <f>'Annual CF'!$M$118</f>
        <v/>
      </c>
      <c r="L62" s="234">
        <f>'Annual CF'!$N$118</f>
        <v/>
      </c>
      <c r="M62" s="234">
        <f>'Annual CF'!$C$118</f>
        <v/>
      </c>
    </row>
    <row r="63" ht="15" customHeight="1" s="148">
      <c r="A63" s="99" t="inlineStr">
        <is>
          <t>Working Capital Release</t>
        </is>
      </c>
      <c r="B63" s="188">
        <f>'Annual CF'!$D$119</f>
        <v/>
      </c>
      <c r="C63" s="188">
        <f>'Annual CF'!$E$119</f>
        <v/>
      </c>
      <c r="D63" s="188">
        <f>'Annual CF'!$F$119</f>
        <v/>
      </c>
      <c r="E63" s="188">
        <f>'Annual CF'!$G$119</f>
        <v/>
      </c>
      <c r="F63" s="188">
        <f>'Annual CF'!$H$119</f>
        <v/>
      </c>
      <c r="G63" s="188">
        <f>'Annual CF'!$I$119</f>
        <v/>
      </c>
      <c r="H63" s="188">
        <f>'Annual CF'!$J$119</f>
        <v/>
      </c>
      <c r="I63" s="188">
        <f>'Annual CF'!$K$119</f>
        <v/>
      </c>
      <c r="J63" s="188">
        <f>'Annual CF'!$L$119</f>
        <v/>
      </c>
      <c r="K63" s="188">
        <f>'Annual CF'!$M$119</f>
        <v/>
      </c>
      <c r="L63" s="188">
        <f>'Annual CF'!$N$119</f>
        <v/>
      </c>
      <c r="M63" s="188">
        <f>'Annual CF'!$C$119</f>
        <v/>
      </c>
    </row>
    <row r="64" ht="23.75" customHeight="1" s="148">
      <c r="A64" s="99" t="inlineStr">
        <is>
          <t>Refi Debt Origination Fee</t>
        </is>
      </c>
      <c r="B64" s="234">
        <f>'Annual CF'!$D$120</f>
        <v/>
      </c>
      <c r="C64" s="234">
        <f>'Annual CF'!$E$120</f>
        <v/>
      </c>
      <c r="D64" s="234">
        <f>'Annual CF'!$F$120</f>
        <v/>
      </c>
      <c r="E64" s="234">
        <f>'Annual CF'!$G$120</f>
        <v/>
      </c>
      <c r="F64" s="234">
        <f>'Annual CF'!$H$120</f>
        <v/>
      </c>
      <c r="G64" s="234">
        <f>'Annual CF'!$I$120</f>
        <v/>
      </c>
      <c r="H64" s="234">
        <f>'Annual CF'!$J$120</f>
        <v/>
      </c>
      <c r="I64" s="234">
        <f>'Annual CF'!$K$120</f>
        <v/>
      </c>
      <c r="J64" s="234">
        <f>'Annual CF'!$L$120</f>
        <v/>
      </c>
      <c r="K64" s="234">
        <f>'Annual CF'!$M$120</f>
        <v/>
      </c>
      <c r="L64" s="234">
        <f>'Annual CF'!$N$120</f>
        <v/>
      </c>
      <c r="M64" s="234">
        <f>'Annual CF'!$C$120</f>
        <v/>
      </c>
    </row>
    <row r="65" ht="23.75" customHeight="1" s="148">
      <c r="A65" s="99" t="inlineStr">
        <is>
          <t>Refi Debt Exit Fee</t>
        </is>
      </c>
      <c r="B65" s="234">
        <f>'Annual CF'!$D$121</f>
        <v/>
      </c>
      <c r="C65" s="234">
        <f>'Annual CF'!$E$121</f>
        <v/>
      </c>
      <c r="D65" s="234">
        <f>'Annual CF'!$F$121</f>
        <v/>
      </c>
      <c r="E65" s="234">
        <f>'Annual CF'!$G$121</f>
        <v/>
      </c>
      <c r="F65" s="234">
        <f>'Annual CF'!$H$121</f>
        <v/>
      </c>
      <c r="G65" s="234">
        <f>'Annual CF'!$I$121</f>
        <v/>
      </c>
      <c r="H65" s="234">
        <f>'Annual CF'!$J$121</f>
        <v/>
      </c>
      <c r="I65" s="234">
        <f>'Annual CF'!$K$121</f>
        <v/>
      </c>
      <c r="J65" s="234">
        <f>'Annual CF'!$L$121</f>
        <v/>
      </c>
      <c r="K65" s="234">
        <f>'Annual CF'!$M$121</f>
        <v/>
      </c>
      <c r="L65" s="234">
        <f>'Annual CF'!$N$121</f>
        <v/>
      </c>
      <c r="M65" s="234">
        <f>'Annual CF'!$C$121</f>
        <v/>
      </c>
    </row>
    <row r="66" ht="113.5" customHeight="1" s="148">
      <c r="A66" s="99" t="inlineStr">
        <is>
          <t>Refi Debt Interest Expense</t>
        </is>
      </c>
      <c r="B66" s="234">
        <f>'Annual CF'!$D$122</f>
        <v/>
      </c>
      <c r="C66" s="234">
        <f>'Annual CF'!$E$122</f>
        <v/>
      </c>
      <c r="D66" s="234">
        <f>'Annual CF'!$F$122</f>
        <v/>
      </c>
      <c r="E66" s="234">
        <f>'Annual CF'!$G$122</f>
        <v/>
      </c>
      <c r="F66" s="234">
        <f>'Annual CF'!$H$122</f>
        <v/>
      </c>
      <c r="G66" s="234">
        <f>'Annual CF'!$I$122</f>
        <v/>
      </c>
      <c r="H66" s="234">
        <f>'Annual CF'!$J$122</f>
        <v/>
      </c>
      <c r="I66" s="234">
        <f>'Annual CF'!$K$122</f>
        <v/>
      </c>
      <c r="J66" s="234">
        <f>'Annual CF'!$L$122</f>
        <v/>
      </c>
      <c r="K66" s="234">
        <f>'Annual CF'!$M$122</f>
        <v/>
      </c>
      <c r="L66" s="234">
        <f>'Annual CF'!$N$122</f>
        <v/>
      </c>
      <c r="M66" s="234">
        <f>'Annual CF'!$C$122</f>
        <v/>
      </c>
    </row>
    <row r="67" ht="113.5" customHeight="1" s="148">
      <c r="A67" s="99" t="inlineStr">
        <is>
          <t>Refi Debt Principal Paydown</t>
        </is>
      </c>
      <c r="B67" s="234">
        <f>'Annual CF'!$D$123</f>
        <v/>
      </c>
      <c r="C67" s="234">
        <f>'Annual CF'!$E$123</f>
        <v/>
      </c>
      <c r="D67" s="234">
        <f>'Annual CF'!$F$123</f>
        <v/>
      </c>
      <c r="E67" s="234">
        <f>'Annual CF'!$G$123</f>
        <v/>
      </c>
      <c r="F67" s="234">
        <f>'Annual CF'!$H$123</f>
        <v/>
      </c>
      <c r="G67" s="234">
        <f>'Annual CF'!$I$123</f>
        <v/>
      </c>
      <c r="H67" s="234">
        <f>'Annual CF'!$J$123</f>
        <v/>
      </c>
      <c r="I67" s="234">
        <f>'Annual CF'!$K$123</f>
        <v/>
      </c>
      <c r="J67" s="234">
        <f>'Annual CF'!$L$123</f>
        <v/>
      </c>
      <c r="K67" s="234">
        <f>'Annual CF'!$M$123</f>
        <v/>
      </c>
      <c r="L67" s="234">
        <f>'Annual CF'!$N$123</f>
        <v/>
      </c>
      <c r="M67" s="234">
        <f>'Annual CF'!$C$123</f>
        <v/>
      </c>
    </row>
    <row r="68" ht="147" customHeight="1" s="148">
      <c r="A68" s="99" t="inlineStr">
        <is>
          <t>Refi Final Repayment</t>
        </is>
      </c>
      <c r="B68" s="234">
        <f>'Annual CF'!$D$124</f>
        <v/>
      </c>
      <c r="C68" s="234">
        <f>'Annual CF'!$E$124</f>
        <v/>
      </c>
      <c r="D68" s="234">
        <f>'Annual CF'!$F$124</f>
        <v/>
      </c>
      <c r="E68" s="234">
        <f>'Annual CF'!$G$124</f>
        <v/>
      </c>
      <c r="F68" s="234">
        <f>'Annual CF'!$H$124</f>
        <v/>
      </c>
      <c r="G68" s="234">
        <f>'Annual CF'!$I$124</f>
        <v/>
      </c>
      <c r="H68" s="234">
        <f>'Annual CF'!$J$124</f>
        <v/>
      </c>
      <c r="I68" s="234">
        <f>'Annual CF'!$K$124</f>
        <v/>
      </c>
      <c r="J68" s="234">
        <f>'Annual CF'!$L$124</f>
        <v/>
      </c>
      <c r="K68" s="234">
        <f>'Annual CF'!$M$124</f>
        <v/>
      </c>
      <c r="L68" s="234">
        <f>'Annual CF'!$N$124</f>
        <v/>
      </c>
      <c r="M68" s="234">
        <f>'Annual CF'!$C$124</f>
        <v/>
      </c>
    </row>
    <row r="69" ht="23.75" customHeight="1" s="148">
      <c r="A69" s="99" t="inlineStr">
        <is>
          <t>Mezz Origination Fee</t>
        </is>
      </c>
      <c r="B69" s="234">
        <f>'Annual CF'!$D$125</f>
        <v/>
      </c>
      <c r="C69" s="234">
        <f>'Annual CF'!$E$125</f>
        <v/>
      </c>
      <c r="D69" s="234">
        <f>'Annual CF'!$F$125</f>
        <v/>
      </c>
      <c r="E69" s="234">
        <f>'Annual CF'!$G$125</f>
        <v/>
      </c>
      <c r="F69" s="234">
        <f>'Annual CF'!$H$125</f>
        <v/>
      </c>
      <c r="G69" s="234">
        <f>'Annual CF'!$I$125</f>
        <v/>
      </c>
      <c r="H69" s="234">
        <f>'Annual CF'!$J$125</f>
        <v/>
      </c>
      <c r="I69" s="234">
        <f>'Annual CF'!$K$125</f>
        <v/>
      </c>
      <c r="J69" s="234">
        <f>'Annual CF'!$L$125</f>
        <v/>
      </c>
      <c r="K69" s="234">
        <f>'Annual CF'!$M$125</f>
        <v/>
      </c>
      <c r="L69" s="234">
        <f>'Annual CF'!$N$125</f>
        <v/>
      </c>
      <c r="M69" s="234">
        <f>'Annual CF'!$C$125</f>
        <v/>
      </c>
    </row>
    <row r="70" ht="15" customHeight="1" s="148">
      <c r="A70" s="99" t="inlineStr">
        <is>
          <t>Mezz Debt Proceeds</t>
        </is>
      </c>
      <c r="B70" s="188">
        <f>'Annual CF'!$D$126</f>
        <v/>
      </c>
      <c r="C70" s="188">
        <f>'Annual CF'!$E$126</f>
        <v/>
      </c>
      <c r="D70" s="188">
        <f>'Annual CF'!$F$126</f>
        <v/>
      </c>
      <c r="E70" s="188">
        <f>'Annual CF'!$G$126</f>
        <v/>
      </c>
      <c r="F70" s="188">
        <f>'Annual CF'!$H$126</f>
        <v/>
      </c>
      <c r="G70" s="188">
        <f>'Annual CF'!$I$126</f>
        <v/>
      </c>
      <c r="H70" s="188">
        <f>'Annual CF'!$J$126</f>
        <v/>
      </c>
      <c r="I70" s="188">
        <f>'Annual CF'!$K$126</f>
        <v/>
      </c>
      <c r="J70" s="188">
        <f>'Annual CF'!$L$126</f>
        <v/>
      </c>
      <c r="K70" s="188">
        <f>'Annual CF'!$M$126</f>
        <v/>
      </c>
      <c r="L70" s="188">
        <f>'Annual CF'!$N$126</f>
        <v/>
      </c>
      <c r="M70" s="188">
        <f>'Annual CF'!$C$126</f>
        <v/>
      </c>
    </row>
    <row r="71" ht="23.75" customHeight="1" s="148">
      <c r="A71" s="99" t="inlineStr">
        <is>
          <t>Mezz Debt Interest Pay</t>
        </is>
      </c>
      <c r="B71" s="234">
        <f>'Annual CF'!$D$127</f>
        <v/>
      </c>
      <c r="C71" s="234">
        <f>'Annual CF'!$E$127</f>
        <v/>
      </c>
      <c r="D71" s="234">
        <f>'Annual CF'!$F$127</f>
        <v/>
      </c>
      <c r="E71" s="234">
        <f>'Annual CF'!$G$127</f>
        <v/>
      </c>
      <c r="F71" s="234">
        <f>'Annual CF'!$H$127</f>
        <v/>
      </c>
      <c r="G71" s="234">
        <f>'Annual CF'!$I$127</f>
        <v/>
      </c>
      <c r="H71" s="234">
        <f>'Annual CF'!$J$127</f>
        <v/>
      </c>
      <c r="I71" s="234">
        <f>'Annual CF'!$K$127</f>
        <v/>
      </c>
      <c r="J71" s="234">
        <f>'Annual CF'!$L$127</f>
        <v/>
      </c>
      <c r="K71" s="234">
        <f>'Annual CF'!$M$127</f>
        <v/>
      </c>
      <c r="L71" s="234">
        <f>'Annual CF'!$N$127</f>
        <v/>
      </c>
      <c r="M71" s="234">
        <f>'Annual CF'!$C$127</f>
        <v/>
      </c>
    </row>
    <row r="72" ht="23.75" customHeight="1" s="148">
      <c r="A72" s="99" t="inlineStr">
        <is>
          <t>Mezz Debt Principal Repayment</t>
        </is>
      </c>
      <c r="B72" s="234">
        <f>'Annual CF'!$D$128</f>
        <v/>
      </c>
      <c r="C72" s="234">
        <f>'Annual CF'!$E$128</f>
        <v/>
      </c>
      <c r="D72" s="234">
        <f>'Annual CF'!$F$128</f>
        <v/>
      </c>
      <c r="E72" s="234">
        <f>'Annual CF'!$G$128</f>
        <v/>
      </c>
      <c r="F72" s="234">
        <f>'Annual CF'!$H$128</f>
        <v/>
      </c>
      <c r="G72" s="234">
        <f>'Annual CF'!$I$128</f>
        <v/>
      </c>
      <c r="H72" s="234">
        <f>'Annual CF'!$J$128</f>
        <v/>
      </c>
      <c r="I72" s="234">
        <f>'Annual CF'!$K$128</f>
        <v/>
      </c>
      <c r="J72" s="234">
        <f>'Annual CF'!$L$128</f>
        <v/>
      </c>
      <c r="K72" s="234">
        <f>'Annual CF'!$M$128</f>
        <v/>
      </c>
      <c r="L72" s="234">
        <f>'Annual CF'!$N$128</f>
        <v/>
      </c>
      <c r="M72" s="234">
        <f>'Annual CF'!$C$128</f>
        <v/>
      </c>
    </row>
    <row r="73" ht="15" customHeight="1" s="148">
      <c r="A73" s="99" t="inlineStr">
        <is>
          <t>Debt Proceeds</t>
        </is>
      </c>
      <c r="B73" s="188">
        <f>'Annual CF'!$D$129</f>
        <v/>
      </c>
      <c r="C73" s="188">
        <f>'Annual CF'!$E$129</f>
        <v/>
      </c>
      <c r="D73" s="188">
        <f>'Annual CF'!$F$129</f>
        <v/>
      </c>
      <c r="E73" s="188">
        <f>'Annual CF'!$G$129</f>
        <v/>
      </c>
      <c r="F73" s="188">
        <f>'Annual CF'!$H$129</f>
        <v/>
      </c>
      <c r="G73" s="188">
        <f>'Annual CF'!$I$129</f>
        <v/>
      </c>
      <c r="H73" s="188">
        <f>'Annual CF'!$J$129</f>
        <v/>
      </c>
      <c r="I73" s="188">
        <f>'Annual CF'!$K$129</f>
        <v/>
      </c>
      <c r="J73" s="188">
        <f>'Annual CF'!$L$129</f>
        <v/>
      </c>
      <c r="K73" s="188">
        <f>'Annual CF'!$M$129</f>
        <v/>
      </c>
      <c r="L73" s="188">
        <f>'Annual CF'!$N$129</f>
        <v/>
      </c>
      <c r="M73" s="188">
        <f>'Annual CF'!$C$129</f>
        <v/>
      </c>
    </row>
    <row r="74" ht="23.75" customHeight="1" s="148">
      <c r="A74" s="99" t="inlineStr">
        <is>
          <t>Cash Sweep Funding</t>
        </is>
      </c>
      <c r="B74" s="234">
        <f>'Annual CF'!$D$130</f>
        <v/>
      </c>
      <c r="C74" s="234">
        <f>'Annual CF'!$E$130</f>
        <v/>
      </c>
      <c r="D74" s="234">
        <f>'Annual CF'!$F$130</f>
        <v/>
      </c>
      <c r="E74" s="234">
        <f>'Annual CF'!$G$130</f>
        <v/>
      </c>
      <c r="F74" s="234">
        <f>'Annual CF'!$H$130</f>
        <v/>
      </c>
      <c r="G74" s="234">
        <f>'Annual CF'!$I$130</f>
        <v/>
      </c>
      <c r="H74" s="234">
        <f>'Annual CF'!$J$130</f>
        <v/>
      </c>
      <c r="I74" s="234">
        <f>'Annual CF'!$K$130</f>
        <v/>
      </c>
      <c r="J74" s="234">
        <f>'Annual CF'!$L$130</f>
        <v/>
      </c>
      <c r="K74" s="234">
        <f>'Annual CF'!$M$130</f>
        <v/>
      </c>
      <c r="L74" s="234">
        <f>'Annual CF'!$N$130</f>
        <v/>
      </c>
      <c r="M74" s="234">
        <f>'Annual CF'!$C$130</f>
        <v/>
      </c>
    </row>
    <row r="75" ht="15" customHeight="1" s="148">
      <c r="A75" s="99" t="inlineStr">
        <is>
          <t>Cash Sweep Proceeds</t>
        </is>
      </c>
      <c r="B75" s="188">
        <f>'Annual CF'!$D$131</f>
        <v/>
      </c>
      <c r="C75" s="188">
        <f>'Annual CF'!$E$131</f>
        <v/>
      </c>
      <c r="D75" s="188">
        <f>'Annual CF'!$F$131</f>
        <v/>
      </c>
      <c r="E75" s="188">
        <f>'Annual CF'!$G$131</f>
        <v/>
      </c>
      <c r="F75" s="188">
        <f>'Annual CF'!$H$131</f>
        <v/>
      </c>
      <c r="G75" s="188">
        <f>'Annual CF'!$I$131</f>
        <v/>
      </c>
      <c r="H75" s="188">
        <f>'Annual CF'!$J$131</f>
        <v/>
      </c>
      <c r="I75" s="188">
        <f>'Annual CF'!$K$131</f>
        <v/>
      </c>
      <c r="J75" s="188">
        <f>'Annual CF'!$L$131</f>
        <v/>
      </c>
      <c r="K75" s="188">
        <f>'Annual CF'!$M$131</f>
        <v/>
      </c>
      <c r="L75" s="188">
        <f>'Annual CF'!$N$131</f>
        <v/>
      </c>
      <c r="M75" s="188">
        <f>'Annual CF'!$C$131</f>
        <v/>
      </c>
    </row>
    <row r="76" ht="113.5" customHeight="1" s="148">
      <c r="A76" s="99" t="inlineStr">
        <is>
          <t>Levered Cashflow</t>
        </is>
      </c>
      <c r="B76" s="234">
        <f>'Annual CF'!$D$132</f>
        <v/>
      </c>
      <c r="C76" s="234">
        <f>'Annual CF'!$E$132</f>
        <v/>
      </c>
      <c r="D76" s="234">
        <f>'Annual CF'!$F$132</f>
        <v/>
      </c>
      <c r="E76" s="234">
        <f>'Annual CF'!$G$132</f>
        <v/>
      </c>
      <c r="F76" s="234">
        <f>'Annual CF'!$H$132</f>
        <v/>
      </c>
      <c r="G76" s="234">
        <f>'Annual CF'!$I$132</f>
        <v/>
      </c>
      <c r="H76" s="234">
        <f>'Annual CF'!$J$132</f>
        <v/>
      </c>
      <c r="I76" s="234">
        <f>'Annual CF'!$K$132</f>
        <v/>
      </c>
      <c r="J76" s="234">
        <f>'Annual CF'!$L$132</f>
        <v/>
      </c>
      <c r="K76" s="234">
        <f>'Annual CF'!$M$132</f>
        <v/>
      </c>
      <c r="L76" s="234">
        <f>'Annual CF'!$N$132</f>
        <v/>
      </c>
      <c r="M76" s="234">
        <f>'Annual CF'!$C$132</f>
        <v/>
      </c>
    </row>
    <row r="77" ht="68.75" customHeight="1" s="148">
      <c r="A77" s="186" t="inlineStr">
        <is>
          <t>Cash on Cash</t>
        </is>
      </c>
      <c r="B77" s="189" t="n"/>
      <c r="C77" s="189" t="n"/>
      <c r="D77" s="189" t="n"/>
      <c r="E77" s="189" t="n"/>
      <c r="F77" s="189" t="n"/>
      <c r="G77" s="189" t="n"/>
      <c r="H77" s="189">
        <f>IF('Returns Summary'!$C$13&gt;0,(H50+(H60+H61+H66+H67+H71+H72))/'Returns Summary'!$C$13,"")</f>
        <v/>
      </c>
      <c r="I77" s="189">
        <f>IF('Returns Summary'!$C$13&gt;0,(I50+(I60+I61+I66+I67+I71+I72))/'Returns Summary'!$C$13,"")</f>
        <v/>
      </c>
      <c r="J77" s="189">
        <f>IF('Returns Summary'!$C$13&gt;0,(J50+(J60+J61+J66+J67+J71+J72))/'Returns Summary'!$C$13,"")</f>
        <v/>
      </c>
      <c r="K77" s="189">
        <f>IF('Returns Summary'!$C$13&gt;0,(K50+(K60+K61+K66+K67+K71+K72))/'Returns Summary'!$C$13,"")</f>
        <v/>
      </c>
      <c r="L77" s="189">
        <f>IF('Returns Summary'!$C$13&gt;0,(L50+(L60+L61+L66+L67+L71+L72))/'Returns Summary'!$C$13,"")</f>
        <v/>
      </c>
      <c r="M77" s="189" t="n"/>
    </row>
  </sheetData>
  <mergeCells count="44">
    <mergeCell ref="A16:F16"/>
    <mergeCell ref="H22:K22"/>
    <mergeCell ref="I32:K32"/>
    <mergeCell ref="I28:K28"/>
    <mergeCell ref="I37:K37"/>
    <mergeCell ref="A17:F22"/>
    <mergeCell ref="I43:K43"/>
    <mergeCell ref="I12:K12"/>
    <mergeCell ref="I18:K18"/>
    <mergeCell ref="H42:K42"/>
    <mergeCell ref="I33:K33"/>
    <mergeCell ref="I24:K24"/>
    <mergeCell ref="I14:K14"/>
    <mergeCell ref="I23:K23"/>
    <mergeCell ref="A32:F32"/>
    <mergeCell ref="I39:K39"/>
    <mergeCell ref="I8:K8"/>
    <mergeCell ref="I20:K20"/>
    <mergeCell ref="I44:K44"/>
    <mergeCell ref="A46:H46"/>
    <mergeCell ref="I29:K29"/>
    <mergeCell ref="I7:K7"/>
    <mergeCell ref="A8:F14"/>
    <mergeCell ref="I19:K19"/>
    <mergeCell ref="I38:K38"/>
    <mergeCell ref="I13:K13"/>
    <mergeCell ref="I9:K9"/>
    <mergeCell ref="I31:K31"/>
    <mergeCell ref="H6:K6"/>
    <mergeCell ref="I34:K34"/>
    <mergeCell ref="I40:K40"/>
    <mergeCell ref="I30:K30"/>
    <mergeCell ref="I15:K15"/>
    <mergeCell ref="A25:F30"/>
    <mergeCell ref="A24:F24"/>
    <mergeCell ref="H36:K36"/>
    <mergeCell ref="A33:F36"/>
    <mergeCell ref="H17:K17"/>
    <mergeCell ref="I27:K27"/>
    <mergeCell ref="H11:K11"/>
    <mergeCell ref="A6:F6"/>
    <mergeCell ref="I26:K26"/>
    <mergeCell ref="A7:F7"/>
    <mergeCell ref="I25:K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J9" sqref="J9"/>
    </sheetView>
  </sheetViews>
  <sheetFormatPr baseColWidth="10" defaultColWidth="8.6640625" defaultRowHeight="13"/>
  <cols>
    <col width="30" customWidth="1" style="148" min="1" max="1"/>
    <col width="12" customWidth="1" style="148" min="2" max="2"/>
    <col width="10" customWidth="1" style="148" min="3" max="3"/>
    <col width="12" customWidth="1" style="148" min="4" max="4"/>
    <col width="16" customWidth="1" style="148" min="5" max="5"/>
    <col width="10" customWidth="1" style="148" min="6" max="6"/>
    <col width="2" customWidth="1" style="148" min="7" max="7"/>
    <col width="30" customWidth="1" style="148" min="8" max="8"/>
    <col width="14" customWidth="1" style="148" min="9" max="11"/>
  </cols>
  <sheetData>
    <row r="1" ht="15" customHeight="1" s="148">
      <c r="A1" s="100" t="inlineStr">
        <is>
          <t>Project Name</t>
        </is>
      </c>
      <c r="B1" s="101">
        <f>Assumptions!$F$7</f>
        <v/>
      </c>
    </row>
    <row r="2" ht="15" customHeight="1" s="148">
      <c r="A2" s="100" t="inlineStr">
        <is>
          <t>City, State</t>
        </is>
      </c>
      <c r="B2" s="101">
        <f>Assumptions!$F$8</f>
        <v/>
      </c>
    </row>
    <row r="3" ht="15" customHeight="1" s="148"/>
    <row r="4" ht="18" customHeight="1" s="148">
      <c r="A4" s="3" t="inlineStr">
        <is>
          <t>Error Check</t>
        </is>
      </c>
    </row>
    <row r="5" ht="15" customHeight="1" s="148"/>
    <row r="6" ht="18" customHeight="1" s="148">
      <c r="A6" s="169" t="inlineStr">
        <is>
          <t>Annual Cashflow Summary (Model Outputs)</t>
        </is>
      </c>
      <c r="B6" s="155" t="n"/>
      <c r="C6" s="155" t="n"/>
      <c r="D6" s="155" t="n"/>
      <c r="E6" s="158" t="n"/>
      <c r="H6" s="169" t="inlineStr">
        <is>
          <t>Annual Cashflow Summary (Investor Summary)</t>
        </is>
      </c>
      <c r="I6" s="155" t="n"/>
      <c r="J6" s="155" t="n"/>
      <c r="K6" s="158" t="n"/>
    </row>
    <row r="7" ht="15" customHeight="1" s="148">
      <c r="A7" s="199" t="n"/>
      <c r="B7" s="134" t="inlineStr">
        <is>
          <t>Monthly CF</t>
        </is>
      </c>
      <c r="C7" s="134" t="inlineStr">
        <is>
          <t>Annual CF</t>
        </is>
      </c>
      <c r="D7" s="134" t="inlineStr">
        <is>
          <t>Diff</t>
        </is>
      </c>
      <c r="E7" s="134" t="inlineStr">
        <is>
          <t>Status</t>
        </is>
      </c>
      <c r="H7" s="199" t="n"/>
      <c r="I7" s="134" t="inlineStr">
        <is>
          <t>Monthly CF</t>
        </is>
      </c>
      <c r="J7" t="inlineStr">
        <is>
          <t>Annual CF</t>
        </is>
      </c>
      <c r="K7" s="134" t="inlineStr">
        <is>
          <t>Diff</t>
        </is>
      </c>
    </row>
    <row r="8" ht="15" customHeight="1" s="148">
      <c r="A8" s="167" t="inlineStr">
        <is>
          <t>Effective Gross Income</t>
        </is>
      </c>
      <c r="B8" s="90">
        <f>'Monthly CF'!$C$35</f>
        <v/>
      </c>
      <c r="C8" s="90">
        <f>'Annual CF'!$C$35</f>
        <v/>
      </c>
      <c r="D8" s="90">
        <f>B8-C8</f>
        <v/>
      </c>
      <c r="E8" s="172">
        <f>IF(ABS(D8)&lt;1,"OK","CHECK")</f>
        <v/>
      </c>
      <c r="H8" s="167" t="inlineStr">
        <is>
          <t>Effective Gross Income</t>
        </is>
      </c>
      <c r="I8" s="235">
        <f>'Monthly CF'!$C$35</f>
        <v/>
      </c>
      <c r="J8" s="236">
        <f>'Annual CF'!$C$35</f>
        <v/>
      </c>
      <c r="K8" s="90">
        <f>I8-J8</f>
        <v/>
      </c>
    </row>
    <row r="9" ht="15" customHeight="1" s="148">
      <c r="A9" s="167" t="inlineStr">
        <is>
          <t>Total Operating Expenses</t>
        </is>
      </c>
      <c r="B9" s="90">
        <f>'Monthly CF'!$C$54</f>
        <v/>
      </c>
      <c r="C9" s="90">
        <f>'Annual CF'!$C$54</f>
        <v/>
      </c>
      <c r="D9" s="90">
        <f>B9-C9</f>
        <v/>
      </c>
      <c r="E9" s="172">
        <f>IF(ABS(D9)&lt;1,"OK","CHECK")</f>
        <v/>
      </c>
      <c r="H9" s="167" t="inlineStr">
        <is>
          <t>Total Operating Expenses</t>
        </is>
      </c>
      <c r="I9" s="235">
        <f>'Monthly CF'!$C$54</f>
        <v/>
      </c>
      <c r="J9" s="236">
        <f>'Annual CF'!$C$54</f>
        <v/>
      </c>
      <c r="K9" s="90">
        <f>I9-J9</f>
        <v/>
      </c>
    </row>
    <row r="10" ht="15" customHeight="1" s="148">
      <c r="A10" s="167" t="inlineStr">
        <is>
          <t>Net Operating Income</t>
        </is>
      </c>
      <c r="B10" s="90">
        <f>'Monthly CF'!$C$56</f>
        <v/>
      </c>
      <c r="C10" s="90">
        <f>'Annual CF'!$C$56</f>
        <v/>
      </c>
      <c r="D10" s="90">
        <f>B10-C10</f>
        <v/>
      </c>
      <c r="E10" s="172">
        <f>IF(ABS(D10)&lt;1,"OK","CHECK")</f>
        <v/>
      </c>
      <c r="H10" s="167" t="inlineStr">
        <is>
          <t>Net Operating Income</t>
        </is>
      </c>
      <c r="I10" s="235">
        <f>'Monthly CF'!$C$56</f>
        <v/>
      </c>
      <c r="J10" s="236">
        <f>'Annual CF'!$C$56</f>
        <v/>
      </c>
      <c r="K10" s="90">
        <f>I10-J10</f>
        <v/>
      </c>
    </row>
    <row r="11" ht="15" customHeight="1" s="148">
      <c r="A11" s="167" t="inlineStr">
        <is>
          <t>Non-Operating Expenses</t>
        </is>
      </c>
      <c r="B11" s="90">
        <f>'Monthly CF'!$C$61</f>
        <v/>
      </c>
      <c r="C11" s="90">
        <f>'Annual CF'!$C$61</f>
        <v/>
      </c>
      <c r="D11" s="90">
        <f>B11-C11</f>
        <v/>
      </c>
      <c r="E11" s="172">
        <f>IF(ABS(D11)&lt;1,"OK","CHECK")</f>
        <v/>
      </c>
      <c r="H11" s="167" t="inlineStr">
        <is>
          <t>Non-Operating Expenses</t>
        </is>
      </c>
      <c r="I11" s="235">
        <f>'Monthly CF'!$C$61</f>
        <v/>
      </c>
      <c r="J11" s="236">
        <f>'Annual CF'!$C$61</f>
        <v/>
      </c>
      <c r="K11" s="90">
        <f>I11-J11</f>
        <v/>
      </c>
    </row>
    <row r="12" ht="15" customHeight="1" s="148">
      <c r="A12" s="167" t="inlineStr">
        <is>
          <t>CapEx, TI, LC</t>
        </is>
      </c>
      <c r="B12" s="90">
        <f>'Monthly CF'!$C$70</f>
        <v/>
      </c>
      <c r="C12" s="90">
        <f>'Annual CF'!$C$70</f>
        <v/>
      </c>
      <c r="D12" s="90">
        <f>B12-C12</f>
        <v/>
      </c>
      <c r="E12" s="172">
        <f>IF(ABS(D12)&lt;1,"OK","CHECK")</f>
        <v/>
      </c>
      <c r="H12" s="167" t="inlineStr">
        <is>
          <t>CapEx, TI, LC</t>
        </is>
      </c>
      <c r="I12" s="235">
        <f>'Monthly CF'!$C$70</f>
        <v/>
      </c>
      <c r="J12" s="236">
        <f>'Annual CF'!$C$70</f>
        <v/>
      </c>
      <c r="K12" s="90">
        <f>I12-J12</f>
        <v/>
      </c>
    </row>
    <row r="13" ht="15" customHeight="1" s="148">
      <c r="A13" s="167" t="inlineStr">
        <is>
          <t>Acquisition Cost</t>
        </is>
      </c>
      <c r="B13" s="90">
        <f>'Monthly CF'!$C$76</f>
        <v/>
      </c>
      <c r="C13" s="90">
        <f>'Annual CF'!$C$76</f>
        <v/>
      </c>
      <c r="D13" s="90">
        <f>B13-C13</f>
        <v/>
      </c>
      <c r="E13" s="172">
        <f>IF(ABS(D13)&lt;1,"OK","CHECK")</f>
        <v/>
      </c>
      <c r="H13" s="167" t="inlineStr">
        <is>
          <t>Acquisition Cost</t>
        </is>
      </c>
      <c r="I13" s="235">
        <f>'Monthly CF'!$C$76</f>
        <v/>
      </c>
      <c r="J13" s="236">
        <f>'Annual CF'!$C$76</f>
        <v/>
      </c>
      <c r="K13" s="90">
        <f>I13-J13</f>
        <v/>
      </c>
    </row>
    <row r="14" ht="15" customHeight="1" s="148">
      <c r="A14" s="167" t="inlineStr">
        <is>
          <t>Renovation Costs</t>
        </is>
      </c>
      <c r="B14" s="90">
        <f>'Monthly CF'!$C$103</f>
        <v/>
      </c>
      <c r="C14" s="90">
        <f>'Annual CF'!$C$103</f>
        <v/>
      </c>
      <c r="D14" s="90">
        <f>B14-C14</f>
        <v/>
      </c>
      <c r="E14" s="172">
        <f>IF(ABS(D14)&lt;1,"OK","CHECK")</f>
        <v/>
      </c>
      <c r="H14" s="167" t="inlineStr">
        <is>
          <t>Renovation Costs</t>
        </is>
      </c>
      <c r="I14" s="235">
        <f>'Monthly CF'!$C$103</f>
        <v/>
      </c>
      <c r="J14" s="236">
        <f>'Annual CF'!$C$103</f>
        <v/>
      </c>
      <c r="K14" s="90">
        <f>I14-J14</f>
        <v/>
      </c>
    </row>
    <row r="15" ht="15" customHeight="1" s="148">
      <c r="A15" s="167" t="inlineStr">
        <is>
          <t>Exit Proceeds (net)</t>
        </is>
      </c>
      <c r="B15" s="90">
        <f>'Monthly CF'!$C$107</f>
        <v/>
      </c>
      <c r="C15" s="90">
        <f>'Annual CF'!$C$107</f>
        <v/>
      </c>
      <c r="D15" s="90">
        <f>B15-C15</f>
        <v/>
      </c>
      <c r="E15" s="172">
        <f>IF(ABS(D15)&lt;1,"OK","CHECK")</f>
        <v/>
      </c>
      <c r="H15" s="167" t="inlineStr">
        <is>
          <t>Exit Proceeds (net)</t>
        </is>
      </c>
      <c r="I15" s="235">
        <f>'Monthly CF'!$C$107</f>
        <v/>
      </c>
      <c r="J15" s="236">
        <f>'Annual CF'!$C$107</f>
        <v/>
      </c>
      <c r="K15" s="90">
        <f>I15-J15</f>
        <v/>
      </c>
    </row>
    <row r="16" ht="15" customHeight="1" s="148">
      <c r="A16" s="167" t="inlineStr">
        <is>
          <t>Net Cashflow Before Leverage</t>
        </is>
      </c>
      <c r="B16" s="90">
        <f>'Monthly CF'!$C$109</f>
        <v/>
      </c>
      <c r="C16" s="90">
        <f>'Annual CF'!$C$109</f>
        <v/>
      </c>
      <c r="D16" s="90">
        <f>B16-C16</f>
        <v/>
      </c>
      <c r="E16" s="172">
        <f>IF(ABS(D16)&lt;1,"OK","CHECK")</f>
        <v/>
      </c>
      <c r="H16" s="167" t="inlineStr">
        <is>
          <t>Net Cashflow Before Leverage</t>
        </is>
      </c>
      <c r="I16" s="235">
        <f>'Monthly CF'!$C$109</f>
        <v/>
      </c>
      <c r="J16" s="236">
        <f>'Annual CF'!$C$109</f>
        <v/>
      </c>
      <c r="K16" s="90">
        <f>I16-J16</f>
        <v/>
      </c>
    </row>
    <row r="17" ht="15" customHeight="1" s="148">
      <c r="A17" s="167" t="inlineStr">
        <is>
          <t>Acquisition Loan Origination Fee</t>
        </is>
      </c>
      <c r="B17" s="90">
        <f>'Monthly CF'!$C$114</f>
        <v/>
      </c>
      <c r="C17" s="90">
        <f>'Annual CF'!$C$114</f>
        <v/>
      </c>
      <c r="D17" s="90">
        <f>B17-C17</f>
        <v/>
      </c>
      <c r="E17" s="172">
        <f>IF(ABS(D17)&lt;1,"OK","CHECK")</f>
        <v/>
      </c>
      <c r="H17" s="167" t="inlineStr">
        <is>
          <t>Acquisition Loan Origination Fee</t>
        </is>
      </c>
      <c r="I17" s="235">
        <f>'Monthly CF'!$C$114</f>
        <v/>
      </c>
      <c r="J17" s="236">
        <f>'Annual CF'!$C$114</f>
        <v/>
      </c>
      <c r="K17" s="90">
        <f>I17-J17</f>
        <v/>
      </c>
    </row>
    <row r="18" ht="15" customHeight="1" s="148">
      <c r="A18" s="167" t="inlineStr">
        <is>
          <t>Acquisition Loan Exit Fee</t>
        </is>
      </c>
      <c r="B18" s="90">
        <f>'Monthly CF'!$C$115</f>
        <v/>
      </c>
      <c r="C18" s="90">
        <f>'Annual CF'!$C$115</f>
        <v/>
      </c>
      <c r="D18" s="90">
        <f>B18-C18</f>
        <v/>
      </c>
      <c r="E18" s="172">
        <f>IF(ABS(D18)&lt;1,"OK","CHECK")</f>
        <v/>
      </c>
      <c r="H18" s="167" t="inlineStr">
        <is>
          <t>Acquisition Loan Exit Fee</t>
        </is>
      </c>
      <c r="I18" s="235">
        <f>'Monthly CF'!$C$115</f>
        <v/>
      </c>
      <c r="J18" s="236">
        <f>'Annual CF'!$C$115</f>
        <v/>
      </c>
      <c r="K18" s="90">
        <f>I18-J18</f>
        <v/>
      </c>
    </row>
    <row r="19" ht="15" customHeight="1" s="148">
      <c r="A19" s="167" t="inlineStr">
        <is>
          <t>Acquisition Loan Interest Expense</t>
        </is>
      </c>
      <c r="B19" s="90">
        <f>'Monthly CF'!$C$116</f>
        <v/>
      </c>
      <c r="C19" s="90">
        <f>'Annual CF'!$C$116</f>
        <v/>
      </c>
      <c r="D19" s="90">
        <f>B19-C19</f>
        <v/>
      </c>
      <c r="E19" s="172">
        <f>IF(ABS(D19)&lt;1,"OK","CHECK")</f>
        <v/>
      </c>
      <c r="H19" s="167" t="inlineStr">
        <is>
          <t>Acquisition Loan Interest Expense</t>
        </is>
      </c>
      <c r="I19" s="235">
        <f>'Monthly CF'!$C$116</f>
        <v/>
      </c>
      <c r="J19" s="236">
        <f>'Annual CF'!$C$116</f>
        <v/>
      </c>
      <c r="K19" s="90">
        <f>I19-J19</f>
        <v/>
      </c>
    </row>
    <row r="20" ht="18" customHeight="1" s="148">
      <c r="A20" s="167" t="inlineStr">
        <is>
          <t>Acquisition Loan Principal Paydown</t>
        </is>
      </c>
      <c r="B20" s="90">
        <f>'Monthly CF'!$C$117</f>
        <v/>
      </c>
      <c r="C20" s="90">
        <f>'Annual CF'!$C$117</f>
        <v/>
      </c>
      <c r="D20" s="90">
        <f>B20-C20</f>
        <v/>
      </c>
      <c r="E20" s="172">
        <f>IF(ABS(D20)&lt;1,"OK","CHECK")</f>
        <v/>
      </c>
      <c r="H20" s="167" t="inlineStr">
        <is>
          <t>Acquisition Loan Principal Paydown</t>
        </is>
      </c>
      <c r="I20" s="235">
        <f>'Monthly CF'!$C$117</f>
        <v/>
      </c>
      <c r="J20" s="236">
        <f>'Annual CF'!$C$117</f>
        <v/>
      </c>
      <c r="K20" s="90">
        <f>I20-J20</f>
        <v/>
      </c>
    </row>
    <row r="21" ht="15" customHeight="1" s="148">
      <c r="A21" s="167" t="inlineStr">
        <is>
          <t>Acquisition Loan Final Repayment</t>
        </is>
      </c>
      <c r="B21" s="90">
        <f>'Monthly CF'!$C$118</f>
        <v/>
      </c>
      <c r="C21" s="90">
        <f>'Annual CF'!$C$118</f>
        <v/>
      </c>
      <c r="D21" s="90">
        <f>B21-C21</f>
        <v/>
      </c>
      <c r="E21" s="172">
        <f>IF(ABS(D21)&lt;1,"OK","CHECK")</f>
        <v/>
      </c>
      <c r="H21" s="167" t="inlineStr">
        <is>
          <t>Acquisition Loan Final Repayment</t>
        </is>
      </c>
      <c r="I21" s="235">
        <f>'Monthly CF'!$C$118</f>
        <v/>
      </c>
      <c r="J21" s="236">
        <f>'Annual CF'!$C$118</f>
        <v/>
      </c>
      <c r="K21" s="90">
        <f>I21-J21</f>
        <v/>
      </c>
    </row>
    <row r="22" ht="15" customHeight="1" s="148">
      <c r="A22" s="167" t="inlineStr">
        <is>
          <t>Working Capital Release</t>
        </is>
      </c>
      <c r="B22" s="90">
        <f>'Monthly CF'!$C$119</f>
        <v/>
      </c>
      <c r="C22" s="90">
        <f>'Annual CF'!$C$119</f>
        <v/>
      </c>
      <c r="D22" s="90">
        <f>B22-C22</f>
        <v/>
      </c>
      <c r="E22" s="172">
        <f>IF(ABS(D22)&lt;1,"OK","CHECK")</f>
        <v/>
      </c>
      <c r="H22" s="167" t="inlineStr">
        <is>
          <t>Working Capital Release</t>
        </is>
      </c>
      <c r="I22" s="235">
        <f>'Monthly CF'!$C$119</f>
        <v/>
      </c>
      <c r="J22" s="236">
        <f>'Annual CF'!$C$119</f>
        <v/>
      </c>
      <c r="K22" s="90">
        <f>I22-J22</f>
        <v/>
      </c>
    </row>
    <row r="23" ht="15" customHeight="1" s="148">
      <c r="A23" s="167" t="inlineStr">
        <is>
          <t>Refi Debt Origination Fee</t>
        </is>
      </c>
      <c r="B23" s="90">
        <f>'Monthly CF'!$C$120</f>
        <v/>
      </c>
      <c r="C23" s="90">
        <f>'Annual CF'!$C$120</f>
        <v/>
      </c>
      <c r="D23" s="90">
        <f>B23-C23</f>
        <v/>
      </c>
      <c r="E23" s="172">
        <f>IF(ABS(D23)&lt;1,"OK","CHECK")</f>
        <v/>
      </c>
      <c r="H23" s="167" t="inlineStr">
        <is>
          <t>Refi Debt Origination Fee</t>
        </is>
      </c>
      <c r="I23" s="235">
        <f>'Monthly CF'!$C$120</f>
        <v/>
      </c>
      <c r="J23" s="236">
        <f>'Annual CF'!$C$120</f>
        <v/>
      </c>
      <c r="K23" s="90">
        <f>I23-J23</f>
        <v/>
      </c>
    </row>
    <row r="24" ht="30" customHeight="1" s="148">
      <c r="A24" s="167" t="inlineStr">
        <is>
          <t>Refi Debt Exit Fee</t>
        </is>
      </c>
      <c r="B24" s="90">
        <f>'Monthly CF'!$C$121</f>
        <v/>
      </c>
      <c r="C24" s="90">
        <f>'Annual CF'!$C$121</f>
        <v/>
      </c>
      <c r="D24" s="90">
        <f>B24-C24</f>
        <v/>
      </c>
      <c r="E24" s="172">
        <f>IF(ABS(D24)&lt;1,"OK","CHECK")</f>
        <v/>
      </c>
      <c r="H24" s="167" t="inlineStr">
        <is>
          <t>Refi Debt Exit Fee</t>
        </is>
      </c>
      <c r="I24" s="235">
        <f>'Monthly CF'!$C$121</f>
        <v/>
      </c>
      <c r="J24" s="236">
        <f>'Annual CF'!$C$121</f>
        <v/>
      </c>
      <c r="K24" s="90">
        <f>I24-J24</f>
        <v/>
      </c>
    </row>
    <row r="25" ht="15" customHeight="1" s="148">
      <c r="A25" s="167" t="inlineStr">
        <is>
          <t>Refi Debt Interest Expense</t>
        </is>
      </c>
      <c r="B25" s="90">
        <f>'Monthly CF'!$C$122</f>
        <v/>
      </c>
      <c r="C25" s="90">
        <f>'Annual CF'!$C$122</f>
        <v/>
      </c>
      <c r="D25" s="90">
        <f>B25-C25</f>
        <v/>
      </c>
      <c r="E25" s="172">
        <f>IF(ABS(D25)&lt;1,"OK","CHECK")</f>
        <v/>
      </c>
      <c r="H25" s="167" t="inlineStr">
        <is>
          <t>Refi Debt Interest Expense</t>
        </is>
      </c>
      <c r="I25" s="235">
        <f>'Monthly CF'!$C$122</f>
        <v/>
      </c>
      <c r="J25" s="236">
        <f>'Annual CF'!$C$122</f>
        <v/>
      </c>
      <c r="K25" s="90">
        <f>I25-J25</f>
        <v/>
      </c>
    </row>
    <row r="26" ht="15" customHeight="1" s="148">
      <c r="A26" s="167" t="inlineStr">
        <is>
          <t>Refi Debt Principal Paydown</t>
        </is>
      </c>
      <c r="B26" s="90">
        <f>'Monthly CF'!$C$123</f>
        <v/>
      </c>
      <c r="C26" s="90">
        <f>'Annual CF'!$C$123</f>
        <v/>
      </c>
      <c r="D26" s="90">
        <f>B26-C26</f>
        <v/>
      </c>
      <c r="E26" s="172">
        <f>IF(ABS(D26)&lt;1,"OK","CHECK")</f>
        <v/>
      </c>
      <c r="H26" s="167" t="inlineStr">
        <is>
          <t>Refi Debt Principal Paydown</t>
        </is>
      </c>
      <c r="I26" s="235">
        <f>'Monthly CF'!$C$123</f>
        <v/>
      </c>
      <c r="J26" s="236">
        <f>'Annual CF'!$C$123</f>
        <v/>
      </c>
      <c r="K26" s="90">
        <f>I26-J26</f>
        <v/>
      </c>
    </row>
    <row r="27" ht="15" customHeight="1" s="148">
      <c r="A27" s="167" t="inlineStr">
        <is>
          <t>Debt Final Repayment</t>
        </is>
      </c>
      <c r="B27" s="90">
        <f>'Monthly CF'!$C$124</f>
        <v/>
      </c>
      <c r="C27" s="90">
        <f>'Annual CF'!$C$124</f>
        <v/>
      </c>
      <c r="D27" s="90">
        <f>B27-C27</f>
        <v/>
      </c>
      <c r="E27" s="172">
        <f>IF(ABS(D27)&lt;1,"OK","CHECK")</f>
        <v/>
      </c>
      <c r="H27" s="167" t="inlineStr">
        <is>
          <t>Debt Final Repayment</t>
        </is>
      </c>
      <c r="I27" s="235">
        <f>'Monthly CF'!$C$124</f>
        <v/>
      </c>
      <c r="J27" s="236">
        <f>'Annual CF'!$C$124</f>
        <v/>
      </c>
      <c r="K27" s="90">
        <f>I27-J27</f>
        <v/>
      </c>
    </row>
    <row r="28" ht="15" customHeight="1" s="148">
      <c r="A28" s="167" t="inlineStr">
        <is>
          <t>Mezz Origination Fee</t>
        </is>
      </c>
      <c r="B28" s="90">
        <f>'Monthly CF'!$C$125</f>
        <v/>
      </c>
      <c r="C28" s="90">
        <f>'Annual CF'!$C$125</f>
        <v/>
      </c>
      <c r="D28" s="90">
        <f>B28-C28</f>
        <v/>
      </c>
      <c r="E28" s="172">
        <f>IF(ABS(D28)&lt;1,"OK","CHECK")</f>
        <v/>
      </c>
      <c r="H28" s="167" t="inlineStr">
        <is>
          <t>Mezz Origination Fee</t>
        </is>
      </c>
      <c r="I28" s="235">
        <f>'Monthly CF'!$C$125</f>
        <v/>
      </c>
      <c r="J28" s="236">
        <f>'Annual CF'!$C$125</f>
        <v/>
      </c>
      <c r="K28" s="90">
        <f>I28-J28</f>
        <v/>
      </c>
    </row>
    <row r="29" ht="15" customHeight="1" s="148">
      <c r="A29" s="167" t="inlineStr">
        <is>
          <t>Mezz Debt Proceeds</t>
        </is>
      </c>
      <c r="B29" s="90">
        <f>'Monthly CF'!$C$126</f>
        <v/>
      </c>
      <c r="C29" s="90">
        <f>'Annual CF'!$C$126</f>
        <v/>
      </c>
      <c r="D29" s="90">
        <f>B29-C29</f>
        <v/>
      </c>
      <c r="E29" s="172">
        <f>IF(ABS(D29)&lt;1,"OK","CHECK")</f>
        <v/>
      </c>
      <c r="H29" s="167" t="inlineStr">
        <is>
          <t>Mezz Debt Proceeds</t>
        </is>
      </c>
      <c r="I29" s="235">
        <f>'Monthly CF'!$C$126</f>
        <v/>
      </c>
      <c r="J29" s="236">
        <f>'Annual CF'!$C$126</f>
        <v/>
      </c>
      <c r="K29" s="90">
        <f>I29-J29</f>
        <v/>
      </c>
    </row>
    <row r="30" ht="15" customHeight="1" s="148">
      <c r="A30" s="167" t="inlineStr">
        <is>
          <t>Mezz Debt Interest Pay</t>
        </is>
      </c>
      <c r="B30" s="90">
        <f>'Monthly CF'!$C$127</f>
        <v/>
      </c>
      <c r="C30" s="90">
        <f>'Annual CF'!$C$127</f>
        <v/>
      </c>
      <c r="D30" s="90">
        <f>B30-C30</f>
        <v/>
      </c>
      <c r="E30" s="172">
        <f>IF(ABS(D30)&lt;1,"OK","CHECK")</f>
        <v/>
      </c>
      <c r="H30" s="167" t="inlineStr">
        <is>
          <t>Mezz Debt Interest Pay</t>
        </is>
      </c>
      <c r="I30" s="235">
        <f>'Monthly CF'!$C$127</f>
        <v/>
      </c>
      <c r="J30" s="236">
        <f>'Annual CF'!$C$127</f>
        <v/>
      </c>
      <c r="K30" s="90">
        <f>I30-J30</f>
        <v/>
      </c>
    </row>
    <row r="31" ht="15" customHeight="1" s="148">
      <c r="A31" s="167" t="inlineStr">
        <is>
          <t>Mezz Debt Principal Repayment</t>
        </is>
      </c>
      <c r="B31" s="90">
        <f>'Monthly CF'!$C$128</f>
        <v/>
      </c>
      <c r="C31" s="90">
        <f>'Annual CF'!$C$128</f>
        <v/>
      </c>
      <c r="D31" s="90">
        <f>B31-C31</f>
        <v/>
      </c>
      <c r="E31" s="172">
        <f>IF(ABS(D31)&lt;1,"OK","CHECK")</f>
        <v/>
      </c>
      <c r="H31" s="167" t="inlineStr">
        <is>
          <t>Mezz Debt Principal Repayment</t>
        </is>
      </c>
      <c r="I31" s="235">
        <f>'Monthly CF'!$C$128</f>
        <v/>
      </c>
      <c r="J31" s="236">
        <f>'Annual CF'!$C$128</f>
        <v/>
      </c>
      <c r="K31" s="90">
        <f>I31-J31</f>
        <v/>
      </c>
    </row>
    <row r="32" ht="15" customHeight="1" s="148">
      <c r="A32" s="167" t="inlineStr">
        <is>
          <t>Debt Proceeds</t>
        </is>
      </c>
      <c r="B32" s="90">
        <f>'Monthly CF'!$C$129</f>
        <v/>
      </c>
      <c r="C32" s="90">
        <f>'Annual CF'!$C$129</f>
        <v/>
      </c>
      <c r="D32" s="90">
        <f>B32-C32</f>
        <v/>
      </c>
      <c r="E32" s="172">
        <f>IF(ABS(D32)&lt;1,"OK","CHECK")</f>
        <v/>
      </c>
      <c r="H32" s="167" t="inlineStr">
        <is>
          <t>Debt Proceeds</t>
        </is>
      </c>
      <c r="I32" s="235">
        <f>'Monthly CF'!$C$129</f>
        <v/>
      </c>
      <c r="J32" s="236">
        <f>'Annual CF'!$C$129</f>
        <v/>
      </c>
      <c r="K32" s="90">
        <f>I32-J32</f>
        <v/>
      </c>
    </row>
    <row r="33" ht="15" customHeight="1" s="148">
      <c r="A33" s="167" t="inlineStr">
        <is>
          <t>Cash Sweep Funding</t>
        </is>
      </c>
      <c r="B33" s="90">
        <f>'Monthly CF'!$C$130</f>
        <v/>
      </c>
      <c r="C33" s="90">
        <f>'Annual CF'!$C$130</f>
        <v/>
      </c>
      <c r="D33" s="90">
        <f>B33-C33</f>
        <v/>
      </c>
      <c r="E33" s="172">
        <f>IF(ABS(D33)&lt;1,"OK","CHECK")</f>
        <v/>
      </c>
      <c r="H33" s="167" t="inlineStr">
        <is>
          <t>Cash Sweep Funding</t>
        </is>
      </c>
      <c r="I33" s="235">
        <f>'Monthly CF'!$C$130</f>
        <v/>
      </c>
      <c r="J33" s="236">
        <f>'Annual CF'!$C$130</f>
        <v/>
      </c>
      <c r="K33" s="90">
        <f>I33-J33</f>
        <v/>
      </c>
    </row>
    <row r="34" ht="15" customHeight="1" s="148">
      <c r="A34" s="167" t="inlineStr">
        <is>
          <t>Cash Sweep Proceeds</t>
        </is>
      </c>
      <c r="B34" s="90">
        <f>'Monthly CF'!$C$131</f>
        <v/>
      </c>
      <c r="C34" s="90">
        <f>'Annual CF'!$C$131</f>
        <v/>
      </c>
      <c r="D34" s="90">
        <f>B34-C34</f>
        <v/>
      </c>
      <c r="E34" s="172">
        <f>IF(ABS(D34)&lt;1,"OK","CHECK")</f>
        <v/>
      </c>
      <c r="H34" s="167" t="inlineStr">
        <is>
          <t>Cash Sweep Proceeds</t>
        </is>
      </c>
      <c r="I34" s="235">
        <f>'Monthly CF'!$C$131</f>
        <v/>
      </c>
      <c r="J34" s="236">
        <f>'Annual CF'!$C$131</f>
        <v/>
      </c>
      <c r="K34" s="90">
        <f>I34-J34</f>
        <v/>
      </c>
    </row>
    <row r="35" ht="15" customHeight="1" s="148">
      <c r="A35" s="167" t="inlineStr">
        <is>
          <t>Net Cashflow After Leverage</t>
        </is>
      </c>
      <c r="B35" s="90">
        <f>'Monthly CF'!$C$132</f>
        <v/>
      </c>
      <c r="C35" s="90">
        <f>'Annual CF'!$C$132</f>
        <v/>
      </c>
      <c r="D35" s="90">
        <f>B35-C35</f>
        <v/>
      </c>
      <c r="E35" s="172">
        <f>IF(ABS(D35)&lt;1,"OK","CHECK")</f>
        <v/>
      </c>
      <c r="H35" s="167" t="inlineStr">
        <is>
          <t>Net Cashflow After Leverage</t>
        </is>
      </c>
      <c r="I35" s="235">
        <f>'Monthly CF'!$C$132</f>
        <v/>
      </c>
      <c r="J35" s="236">
        <f>'Annual CF'!$C$132</f>
        <v/>
      </c>
      <c r="K35" s="90">
        <f>I35-J35</f>
        <v/>
      </c>
    </row>
    <row r="36" ht="15" customHeight="1" s="148"/>
    <row r="37" ht="15" customHeight="1" s="148"/>
    <row r="38" ht="15" customHeight="1" s="148">
      <c r="H38" s="196" t="inlineStr">
        <is>
          <t>Investor Summary checks will populate once the Investment/Investor Summary pages are built.</t>
        </is>
      </c>
      <c r="I38" s="153" t="n"/>
      <c r="J38" s="153" t="n"/>
      <c r="K38" s="150" t="n"/>
    </row>
    <row r="39" ht="15" customHeight="1" s="148"/>
    <row r="40" ht="15" customHeight="1" s="148"/>
    <row r="41" ht="15" customHeight="1" s="148"/>
    <row r="42" ht="15" customHeight="1" s="148"/>
    <row r="43" ht="15" customHeight="1" s="148"/>
    <row r="44" ht="15" customHeight="1" s="148"/>
    <row r="45" ht="15" customHeight="1" s="148"/>
    <row r="46" ht="15" customHeight="1" s="148"/>
    <row r="47" ht="15" customHeight="1" s="148"/>
    <row r="48" ht="15" customHeight="1" s="148"/>
    <row r="49" ht="15" customHeight="1" s="148"/>
    <row r="50" ht="15" customHeight="1" s="148"/>
    <row r="51" ht="15" customHeight="1" s="148"/>
    <row r="52" ht="15" customHeight="1" s="148"/>
    <row r="53" ht="15" customHeight="1" s="148"/>
    <row r="54" ht="15" customHeight="1" s="148"/>
    <row r="55" ht="15" customHeight="1" s="148"/>
    <row r="56" ht="15" customHeight="1" s="148"/>
    <row r="57" ht="15" customHeight="1" s="148"/>
    <row r="58" ht="15" customHeight="1" s="148"/>
    <row r="59" ht="15" customHeight="1" s="148"/>
    <row r="110">
      <c r="A110" t="inlineStr">
        <is>
          <t>App Check Status</t>
        </is>
      </c>
      <c r="B110">
        <f>IF(B111=0,"OK","FAIL")</f>
        <v/>
      </c>
    </row>
    <row r="111">
      <c r="A111" t="inlineStr">
        <is>
          <t>App Error Count</t>
        </is>
      </c>
      <c r="B111">
        <f>COUNTIF($E$8:$E$35,"CHECK")</f>
        <v/>
      </c>
    </row>
    <row r="112">
      <c r="A112" t="inlineStr">
        <is>
          <t>Sources = Uses Check</t>
        </is>
      </c>
      <c r="B112">
        <f>IF(ABS('Model Outputs'!$E$13-'Model Outputs'!$E$20)&lt;0.01,0,1)</f>
        <v/>
      </c>
    </row>
    <row r="113">
      <c r="A113" t="inlineStr">
        <is>
          <t>Waterfall Ties (N/A V1)</t>
        </is>
      </c>
      <c r="B113" t="n">
        <v>0</v>
      </c>
    </row>
    <row r="114">
      <c r="A114" t="inlineStr">
        <is>
          <t>Monthly vs Annual CF Ties</t>
        </is>
      </c>
      <c r="B114">
        <f>IF(B111=0,0,1)</f>
        <v/>
      </c>
    </row>
  </sheetData>
  <mergeCells count="3">
    <mergeCell ref="A6:E6"/>
    <mergeCell ref="H38:K38"/>
    <mergeCell ref="H6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C13" sqref="C13"/>
    </sheetView>
  </sheetViews>
  <sheetFormatPr baseColWidth="10" defaultColWidth="8.6640625" defaultRowHeight="13"/>
  <cols>
    <col width="30" customWidth="1" style="148" min="1" max="1"/>
    <col width="12" customWidth="1" style="148" min="2" max="2"/>
    <col width="10" customWidth="1" style="148" min="3" max="3"/>
    <col width="12" customWidth="1" style="148" min="4" max="4"/>
    <col width="16" customWidth="1" style="148" min="5" max="5"/>
    <col width="10" customWidth="1" style="148" min="6" max="6"/>
    <col width="2" customWidth="1" style="148" min="7" max="7"/>
    <col width="30" customWidth="1" style="148" min="8" max="8"/>
    <col width="14" customWidth="1" style="148" min="9" max="11"/>
  </cols>
  <sheetData>
    <row r="1" ht="15" customHeight="1" s="148">
      <c r="A1" s="100" t="inlineStr">
        <is>
          <t>Project Name</t>
        </is>
      </c>
      <c r="B1" s="101">
        <f>Assumptions!$F$7</f>
        <v/>
      </c>
    </row>
    <row r="2" ht="15" customHeight="1" s="148">
      <c r="A2" s="100" t="inlineStr">
        <is>
          <t>City, State</t>
        </is>
      </c>
      <c r="B2" s="101">
        <f>Assumptions!$F$8</f>
        <v/>
      </c>
    </row>
    <row r="3" ht="15" customHeight="1" s="148"/>
    <row r="4" ht="18" customHeight="1" s="148">
      <c r="A4" s="3" t="inlineStr">
        <is>
          <t>Returns Summary</t>
        </is>
      </c>
    </row>
    <row r="5" ht="15" customHeight="1" s="148"/>
    <row r="6" ht="18" customHeight="1" s="148">
      <c r="A6" s="169" t="inlineStr">
        <is>
          <t>Returns Summary</t>
        </is>
      </c>
      <c r="B6" s="155" t="n"/>
      <c r="C6" s="155" t="n"/>
      <c r="D6" s="158" t="n"/>
    </row>
    <row r="7" ht="15" customHeight="1" s="148">
      <c r="A7" s="199" t="n"/>
      <c r="B7" s="134" t="inlineStr">
        <is>
          <t>Monthly CF</t>
        </is>
      </c>
      <c r="C7" s="134" t="inlineStr">
        <is>
          <t>Annual CF</t>
        </is>
      </c>
      <c r="D7" s="134" t="inlineStr">
        <is>
          <t>Waterfall</t>
        </is>
      </c>
    </row>
    <row r="8" ht="15" customHeight="1" s="148">
      <c r="A8" s="167" t="inlineStr">
        <is>
          <t>Unlevered IRR</t>
        </is>
      </c>
      <c r="B8" s="97">
        <f>IFERROR(XIRR('Monthly CF'!$D$109:$DT$109,'Monthly CF'!$D$12:$DT$12),"")</f>
        <v/>
      </c>
      <c r="C8" s="203">
        <f>IFERROR(XIRR('Monthly CF'!$D$109:$DT$109,'Monthly CF'!$D$12:$DT$12),"")</f>
        <v/>
      </c>
      <c r="D8" s="135" t="n"/>
    </row>
    <row r="9" ht="15" customHeight="1" s="148">
      <c r="A9" s="167" t="inlineStr">
        <is>
          <t>Unlevered Peak Capital</t>
        </is>
      </c>
      <c r="B9" s="90">
        <f>IF(MIN('Monthly CF'!$D$110:$DT$110)&lt;0,-MIN('Monthly CF'!$D$110:$DT$110),0)</f>
        <v/>
      </c>
      <c r="C9" s="204">
        <f>IF(MIN('Monthly CF'!$D$110:$DT$110)&lt;0,-MIN('Monthly CF'!$D$110:$DT$110),0)</f>
        <v/>
      </c>
      <c r="D9" s="135" t="n"/>
    </row>
    <row r="10" ht="15" customHeight="1" s="148">
      <c r="A10" s="167" t="inlineStr">
        <is>
          <t>Unlevered Net Profit</t>
        </is>
      </c>
      <c r="B10" s="90">
        <f>'Monthly CF'!$C$109</f>
        <v/>
      </c>
      <c r="C10" s="90">
        <f>'Annual CF'!$C$109</f>
        <v/>
      </c>
      <c r="D10" s="135" t="n"/>
    </row>
    <row r="11" ht="15" customHeight="1" s="148">
      <c r="A11" s="167" t="inlineStr">
        <is>
          <t>Unlevered Profit Multiple</t>
        </is>
      </c>
      <c r="B11" s="237">
        <f>IF(B9&gt;0,(B9+B10)/B9,"")</f>
        <v/>
      </c>
      <c r="C11" s="237">
        <f>IF(C9&gt;0,(C9+C10)/C9,"")</f>
        <v/>
      </c>
      <c r="D11" s="135" t="n"/>
    </row>
    <row r="12" ht="15" customHeight="1" s="148">
      <c r="A12" s="167" t="inlineStr">
        <is>
          <t>Levered IRR</t>
        </is>
      </c>
      <c r="B12" s="97">
        <f>IFERROR(XIRR('Monthly CF'!$D$132:$DT$132,'Monthly CF'!$D$12:$DT$12),"")</f>
        <v/>
      </c>
      <c r="C12" s="203">
        <f>IFERROR(XIRR('Monthly CF'!$D$132:$DT$132,'Monthly CF'!$D$12:$DT$12),"")</f>
        <v/>
      </c>
      <c r="D12" s="135" t="n"/>
    </row>
    <row r="13" ht="15" customHeight="1" s="148">
      <c r="A13" s="167" t="inlineStr">
        <is>
          <t>Levered Peak Capital</t>
        </is>
      </c>
      <c r="B13" s="90">
        <f>IF(MIN('Monthly CF'!$D$133:$DT$133)&lt;0,-MIN('Monthly CF'!$D$133:$DT$133),0)</f>
        <v/>
      </c>
      <c r="C13" s="204">
        <f>IF(MIN('Monthly CF'!$D$133:$DT$133)&lt;0,-MIN('Monthly CF'!$D$133:$DT$133),0)</f>
        <v/>
      </c>
      <c r="D13" s="135" t="n"/>
    </row>
    <row r="14" ht="15" customHeight="1" s="148">
      <c r="A14" s="167" t="inlineStr">
        <is>
          <t>Levered Net Profit</t>
        </is>
      </c>
      <c r="B14" s="90">
        <f>'Monthly CF'!$C$132</f>
        <v/>
      </c>
      <c r="C14" s="90">
        <f>'Annual CF'!$C$132</f>
        <v/>
      </c>
      <c r="D14" s="135" t="n"/>
    </row>
    <row r="15" ht="15" customHeight="1" s="148">
      <c r="A15" s="167" t="inlineStr">
        <is>
          <t>Levered Profit Multiple</t>
        </is>
      </c>
      <c r="B15" s="237">
        <f>IF(B13&gt;0,(B13+B14)/B13,"")</f>
        <v/>
      </c>
      <c r="C15" s="237">
        <f>IF(C13&gt;0,(C13+C14)/C13,"")</f>
        <v/>
      </c>
      <c r="D15" s="135" t="n"/>
    </row>
    <row r="16" ht="15" customHeight="1" s="148">
      <c r="A16" s="167" t="inlineStr">
        <is>
          <t>Investor IRR</t>
        </is>
      </c>
      <c r="B16" s="97">
        <f>IFERROR(XIRR('Monthly CF'!$D$134:$DT$134,'Monthly CF'!$D$12:$DT$12),"")</f>
        <v/>
      </c>
      <c r="C16" s="97" t="n"/>
      <c r="D16" s="135" t="n"/>
    </row>
    <row r="17" ht="15" customHeight="1" s="148">
      <c r="A17" s="167" t="inlineStr">
        <is>
          <t>Investor Peak Capital</t>
        </is>
      </c>
      <c r="B17" s="90">
        <f>IF(MIN('Monthly CF'!$D$135:$DT$135)&lt;0,-MIN('Monthly CF'!$D$135:$DT$135),0)</f>
        <v/>
      </c>
      <c r="C17" s="90" t="n"/>
      <c r="D17" s="135" t="n"/>
    </row>
    <row r="18" ht="15" customHeight="1" s="148">
      <c r="A18" s="167" t="inlineStr">
        <is>
          <t>Investor Net Profit</t>
        </is>
      </c>
      <c r="B18" s="90">
        <f>'Monthly CF'!$C$134</f>
        <v/>
      </c>
      <c r="C18" s="90" t="n"/>
      <c r="D18" s="135" t="n"/>
    </row>
    <row r="19" ht="15" customHeight="1" s="148">
      <c r="A19" s="167" t="inlineStr">
        <is>
          <t>Investor Profit Multiple</t>
        </is>
      </c>
      <c r="B19" s="237">
        <f>IF(B17&gt;0,(B17+B18)/B17,"")</f>
        <v/>
      </c>
      <c r="C19" s="237" t="n"/>
      <c r="D19" s="135" t="n"/>
    </row>
    <row r="20" ht="18" customHeight="1" s="148">
      <c r="A20" s="169" t="inlineStr">
        <is>
          <t>Waterfall</t>
        </is>
      </c>
      <c r="B20" s="155" t="n"/>
      <c r="C20" s="155" t="n"/>
      <c r="D20" s="155" t="n"/>
      <c r="E20" s="155" t="n"/>
      <c r="F20" s="155" t="n"/>
      <c r="G20" s="158" t="n"/>
    </row>
    <row r="21" ht="15" customHeight="1" s="148">
      <c r="A21" s="134" t="inlineStr">
        <is>
          <t>Hurdle</t>
        </is>
      </c>
      <c r="B21" s="134" t="inlineStr">
        <is>
          <t>Excess CF</t>
        </is>
      </c>
      <c r="C21" s="134" t="inlineStr">
        <is>
          <t>LP</t>
        </is>
      </c>
      <c r="D21" s="134" t="inlineStr">
        <is>
          <t>GP</t>
        </is>
      </c>
      <c r="E21" s="134" t="inlineStr">
        <is>
          <t>Promote</t>
        </is>
      </c>
    </row>
    <row r="22" ht="15" customHeight="1" s="148">
      <c r="A22" s="167" t="inlineStr">
        <is>
          <t>Distributable CF</t>
        </is>
      </c>
      <c r="B22" s="90" t="n"/>
      <c r="C22" s="90" t="n"/>
      <c r="D22" s="90" t="n"/>
      <c r="E22" s="90" t="n"/>
    </row>
    <row r="23" ht="15" customHeight="1" s="148">
      <c r="A23" s="167" t="inlineStr">
        <is>
          <t>First Hurdle</t>
        </is>
      </c>
      <c r="B23" s="90" t="n"/>
      <c r="C23" s="90" t="n"/>
      <c r="D23" s="90" t="n"/>
      <c r="E23" s="90" t="n"/>
    </row>
    <row r="24" ht="30" customHeight="1" s="148">
      <c r="A24" s="167" t="inlineStr">
        <is>
          <t>Second Hurdle</t>
        </is>
      </c>
      <c r="B24" s="90" t="n"/>
      <c r="C24" s="90" t="n"/>
      <c r="D24" s="90" t="n"/>
      <c r="E24" s="90" t="n"/>
    </row>
    <row r="25" ht="15" customHeight="1" s="148">
      <c r="A25" s="167" t="inlineStr">
        <is>
          <t>Third Hurdle</t>
        </is>
      </c>
      <c r="B25" s="90" t="n"/>
      <c r="C25" s="90" t="n"/>
      <c r="D25" s="90" t="n"/>
      <c r="E25" s="90" t="n"/>
    </row>
    <row r="26" ht="15" customHeight="1" s="148">
      <c r="A26" s="167" t="inlineStr">
        <is>
          <t>Final Tier</t>
        </is>
      </c>
      <c r="B26" s="90" t="n"/>
      <c r="C26" s="90" t="n"/>
      <c r="D26" s="90" t="n"/>
      <c r="E26" s="90" t="n"/>
    </row>
    <row r="27" ht="15" customHeight="1" s="148"/>
    <row r="28" ht="15" customHeight="1" s="148"/>
    <row r="29" ht="15" customHeight="1" s="148"/>
    <row r="30" ht="15" customHeight="1" s="148">
      <c r="A30" s="169" t="inlineStr">
        <is>
          <t>Internal Checks</t>
        </is>
      </c>
      <c r="B30" s="155" t="n"/>
      <c r="C30" s="155" t="n"/>
      <c r="D30" s="158" t="n"/>
    </row>
    <row r="31" ht="15" customHeight="1" s="148">
      <c r="A31" s="199" t="n"/>
      <c r="B31" s="134" t="inlineStr">
        <is>
          <t>Error</t>
        </is>
      </c>
      <c r="C31" s="134" t="inlineStr">
        <is>
          <t>Help</t>
        </is>
      </c>
      <c r="D31" s="134" t="inlineStr">
        <is>
          <t>Override?</t>
        </is>
      </c>
    </row>
    <row r="32" ht="15" customHeight="1" s="148">
      <c r="A32" s="167" t="inlineStr">
        <is>
          <t>Occupancy</t>
        </is>
      </c>
      <c r="B32" s="172">
        <f>IF(MAX('Monthly CF'!$D$16:$DT$16)&lt;=1,"OK","ERROR")</f>
        <v/>
      </c>
      <c r="C32" s="197" t="n"/>
      <c r="D32" s="197" t="n"/>
    </row>
    <row r="33" ht="15" customHeight="1" s="148">
      <c r="A33" s="167" t="inlineStr">
        <is>
          <t>Large Levered IRR?</t>
        </is>
      </c>
      <c r="B33" s="172">
        <f>IF($B$12&gt;0.5,"CHECK","OK")</f>
        <v/>
      </c>
      <c r="C33" s="197" t="n"/>
      <c r="D33" s="197" t="n"/>
    </row>
    <row r="34" ht="15" customHeight="1" s="148">
      <c r="A34" s="167" t="inlineStr">
        <is>
          <t>Small Levered IRR?</t>
        </is>
      </c>
      <c r="B34" s="172">
        <f>IF($B$12&lt;0,"CHECK","OK")</f>
        <v/>
      </c>
      <c r="C34" s="197" t="n"/>
      <c r="D34" s="197" t="n"/>
    </row>
    <row r="35" ht="15" customHeight="1" s="148">
      <c r="A35" s="167" t="inlineStr">
        <is>
          <t>Unlevered Peak Equity</t>
        </is>
      </c>
      <c r="B35" s="172">
        <f>IF($B$9&gt;0,"OK","CHECK")</f>
        <v/>
      </c>
      <c r="C35" s="197" t="n"/>
      <c r="D35" s="197" t="n"/>
    </row>
    <row r="36" ht="15" customHeight="1" s="148">
      <c r="A36" s="167" t="inlineStr">
        <is>
          <t>Revenues vs. Expenses</t>
        </is>
      </c>
      <c r="B36" s="172">
        <f>IF(ABS('Annual CF'!$C$56-('Annual CF'!$C$35+'Annual CF'!$C$54))&lt;1,"OK","CHECK")</f>
        <v/>
      </c>
      <c r="C36" s="197" t="n"/>
      <c r="D36" s="197" t="n"/>
    </row>
    <row r="37" ht="15" customHeight="1" s="148">
      <c r="A37" s="167" t="inlineStr">
        <is>
          <t>Investor IRR Check</t>
        </is>
      </c>
      <c r="B37" s="172" t="n"/>
      <c r="C37" s="197" t="n"/>
      <c r="D37" s="197" t="n"/>
    </row>
    <row r="38" ht="15" customHeight="1" s="148">
      <c r="A38" s="167" t="inlineStr">
        <is>
          <t>Sources tie to Uses?</t>
        </is>
      </c>
      <c r="B38" s="172">
        <f>IF(ABS('Model Outputs'!$E$13-'Model Outputs'!$E$20)&lt;1,"OK","CHECK")</f>
        <v/>
      </c>
      <c r="C38" s="197" t="n"/>
      <c r="D38" s="197" t="n"/>
    </row>
    <row r="39" ht="15" customHeight="1" s="148">
      <c r="A39" s="167" t="inlineStr">
        <is>
          <t>Total Project Cashflow</t>
        </is>
      </c>
      <c r="B39" s="172">
        <f>IF(ABS('Monthly CF'!$C$132-SUM('Monthly CF'!$C$113:$C$131))&lt;1,"OK","CHECK")</f>
        <v/>
      </c>
      <c r="C39" s="197" t="n"/>
      <c r="D39" s="197" t="n"/>
    </row>
    <row r="40" ht="15" customHeight="1" s="148">
      <c r="A40" s="167" t="inlineStr">
        <is>
          <t>Total Contribution Check</t>
        </is>
      </c>
      <c r="B40" s="172" t="n"/>
      <c r="C40" s="197" t="n"/>
      <c r="D40" s="197" t="n"/>
    </row>
    <row r="41" ht="15" customHeight="1" s="148">
      <c r="A41" s="167" t="inlineStr">
        <is>
          <t>Total Distribution Check</t>
        </is>
      </c>
      <c r="B41" s="172" t="n"/>
      <c r="C41" s="197" t="n"/>
      <c r="D41" s="197" t="n"/>
    </row>
    <row r="42" ht="15" customHeight="1" s="148">
      <c r="A42" s="167" t="inlineStr">
        <is>
          <t>LP Net Cashflow Check</t>
        </is>
      </c>
      <c r="B42" s="172" t="n"/>
      <c r="C42" s="197" t="n"/>
      <c r="D42" s="197" t="n"/>
    </row>
    <row r="43" ht="15" customHeight="1" s="148">
      <c r="A43" s="167" t="inlineStr">
        <is>
          <t>GP Net Cashflow Check</t>
        </is>
      </c>
      <c r="B43" s="172" t="n"/>
      <c r="C43" s="197" t="n"/>
      <c r="D43" s="197" t="n"/>
    </row>
    <row r="44" ht="15" customHeight="1" s="148">
      <c r="A44" s="167" t="inlineStr">
        <is>
          <t>Waterfall Cashflows match Deal Cashflows?</t>
        </is>
      </c>
      <c r="B44" s="172" t="n"/>
      <c r="C44" s="197" t="n"/>
      <c r="D44" s="197" t="n"/>
    </row>
    <row r="45" ht="15" customHeight="1" s="148">
      <c r="A45" s="167" t="inlineStr">
        <is>
          <t>Waterfall Equity ties to Project Equity?</t>
        </is>
      </c>
      <c r="B45" s="172" t="n"/>
      <c r="C45" s="197" t="n"/>
      <c r="D45" s="197" t="n"/>
    </row>
    <row r="46" ht="15" customHeight="1" s="148">
      <c r="A46" s="167" t="inlineStr">
        <is>
          <t>Construction Budget</t>
        </is>
      </c>
      <c r="B46" s="172">
        <f>IF(ABS('Monthly CF'!$C$103+ 'Renovation Budget'!$C$34)&lt;1,"OK","CHECK")</f>
        <v/>
      </c>
      <c r="C46" s="197" t="n"/>
      <c r="D46" s="197" t="n"/>
    </row>
    <row r="47" ht="15" customHeight="1" s="148">
      <c r="A47" s="167" t="inlineStr">
        <is>
          <t>Purchase Price</t>
        </is>
      </c>
      <c r="B47" s="172">
        <f>IF(ABS(Assumptions!$F$24-('Monthly CF'!$C$76*-1))&lt;1,"OK","CHECK")</f>
        <v/>
      </c>
      <c r="C47" s="197" t="n"/>
      <c r="D47" s="197" t="n"/>
    </row>
    <row r="48" ht="15" customHeight="1" s="148">
      <c r="A48" s="167" t="inlineStr">
        <is>
          <t>Soft Costs</t>
        </is>
      </c>
      <c r="B48" s="172" t="n"/>
      <c r="C48" s="197" t="n"/>
      <c r="D48" s="197" t="n"/>
    </row>
    <row r="49" ht="15" customHeight="1" s="148">
      <c r="A49" s="167" t="inlineStr">
        <is>
          <t>Soft Costs Start Date</t>
        </is>
      </c>
      <c r="B49" s="172" t="n"/>
      <c r="C49" s="197" t="n"/>
      <c r="D49" s="197" t="n"/>
    </row>
    <row r="50" ht="15" customHeight="1" s="148">
      <c r="A50" s="167" t="inlineStr">
        <is>
          <t>Soft Costs End Date</t>
        </is>
      </c>
      <c r="B50" s="172" t="n"/>
      <c r="C50" s="197" t="n"/>
      <c r="D50" s="197" t="n"/>
    </row>
    <row r="51" ht="15" customHeight="1" s="148">
      <c r="A51" s="167" t="inlineStr">
        <is>
          <t>Hard Costs</t>
        </is>
      </c>
      <c r="B51" s="172" t="n"/>
      <c r="C51" s="197" t="n"/>
      <c r="D51" s="197" t="n"/>
    </row>
    <row r="52" ht="15" customHeight="1" s="148">
      <c r="A52" s="167" t="inlineStr">
        <is>
          <t>Hard Cost Start Date</t>
        </is>
      </c>
      <c r="B52" s="172" t="n"/>
      <c r="C52" s="197" t="n"/>
      <c r="D52" s="197" t="n"/>
    </row>
    <row r="53" ht="15" customHeight="1" s="148">
      <c r="A53" s="167" t="inlineStr">
        <is>
          <t>Hard Cost End Date</t>
        </is>
      </c>
      <c r="B53" s="172" t="n"/>
      <c r="C53" s="197" t="n"/>
      <c r="D53" s="197" t="n"/>
    </row>
    <row r="54" ht="15" customHeight="1" s="148"/>
    <row r="55" ht="15" customHeight="1" s="148"/>
    <row r="56" ht="15" customHeight="1" s="148"/>
    <row r="57" ht="15" customHeight="1" s="148"/>
    <row r="58" ht="15" customHeight="1" s="148"/>
    <row r="59" ht="15" customHeight="1" s="148"/>
  </sheetData>
  <mergeCells count="3">
    <mergeCell ref="A20:G20"/>
    <mergeCell ref="A30:D30"/>
    <mergeCell ref="A6:D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selection activeCell="A1" sqref="A1"/>
    </sheetView>
  </sheetViews>
  <sheetFormatPr baseColWidth="10" defaultColWidth="8.6640625" defaultRowHeight="13"/>
  <cols>
    <col width="30" customWidth="1" style="148" min="1" max="1"/>
    <col width="12" customWidth="1" style="148" min="2" max="2"/>
    <col width="10" customWidth="1" style="148" min="3" max="3"/>
    <col width="12" customWidth="1" style="148" min="4" max="4"/>
    <col width="16" customWidth="1" style="148" min="5" max="5"/>
    <col width="10" customWidth="1" style="148" min="6" max="6"/>
    <col width="2" customWidth="1" style="148" min="7" max="7"/>
    <col width="30" customWidth="1" style="148" min="8" max="8"/>
    <col width="14" customWidth="1" style="148" min="9" max="11"/>
    <col width="2" customWidth="1" style="148" min="12" max="13"/>
  </cols>
  <sheetData>
    <row r="1" ht="15" customHeight="1" s="148">
      <c r="A1" s="100" t="inlineStr">
        <is>
          <t>Project Name</t>
        </is>
      </c>
      <c r="B1" s="101">
        <f>Assumptions!$F$7</f>
        <v/>
      </c>
    </row>
    <row r="2" ht="15" customHeight="1" s="148">
      <c r="A2" s="100" t="inlineStr">
        <is>
          <t>City, State</t>
        </is>
      </c>
      <c r="B2" s="101">
        <f>Assumptions!$F$8</f>
        <v/>
      </c>
    </row>
    <row r="3" ht="15" customHeight="1" s="148"/>
    <row r="4" ht="18" customHeight="1" s="148">
      <c r="A4" s="3" t="inlineStr">
        <is>
          <t>Model Outputs</t>
        </is>
      </c>
    </row>
    <row r="5" ht="15" customHeight="1" s="148"/>
    <row r="6" ht="18" customHeight="1" s="148">
      <c r="A6" s="169" t="inlineStr">
        <is>
          <t>Sources and Uses of Cash @ Investment Level</t>
        </is>
      </c>
      <c r="B6" s="155" t="n"/>
      <c r="C6" s="155" t="n"/>
      <c r="D6" s="155" t="n"/>
      <c r="E6" s="155" t="n"/>
      <c r="F6" s="158" t="n"/>
      <c r="H6" s="169" t="inlineStr">
        <is>
          <t>Return Metrics</t>
        </is>
      </c>
      <c r="I6" s="155" t="n"/>
      <c r="J6" s="155" t="n"/>
      <c r="K6" s="158" t="n"/>
    </row>
    <row r="7" ht="15" customHeight="1" s="148">
      <c r="A7" s="199" t="inlineStr">
        <is>
          <t>Sources</t>
        </is>
      </c>
      <c r="B7" s="153" t="n"/>
      <c r="C7" s="153" t="n"/>
      <c r="D7" s="150" t="n"/>
      <c r="E7" s="137" t="inlineStr">
        <is>
          <t>Amount</t>
        </is>
      </c>
      <c r="F7" s="137" t="inlineStr">
        <is>
          <t>%</t>
        </is>
      </c>
      <c r="H7" s="198" t="inlineStr">
        <is>
          <t>Exit Yield (Exit Price / Exit Basis)</t>
        </is>
      </c>
      <c r="I7" s="153" t="n"/>
      <c r="J7" s="150" t="n"/>
      <c r="K7" s="139">
        <f>IFERROR(Assumptions!$F$34/$K$14,0)</f>
        <v/>
      </c>
    </row>
    <row r="8" ht="15" customHeight="1" s="148">
      <c r="A8" s="197" t="inlineStr">
        <is>
          <t>Acquisition Debt</t>
        </is>
      </c>
      <c r="B8" s="153" t="n"/>
      <c r="C8" s="153" t="n"/>
      <c r="D8" s="150" t="n"/>
      <c r="E8" s="90">
        <f>Assumptions!$AA$16</f>
        <v/>
      </c>
      <c r="F8" s="139">
        <f>IFERROR(E8/$E$13,0)</f>
        <v/>
      </c>
    </row>
    <row r="9" ht="15" customHeight="1" s="148">
      <c r="A9" s="197" t="inlineStr">
        <is>
          <t>Limited Partner Equity</t>
        </is>
      </c>
      <c r="B9" s="153" t="n"/>
      <c r="C9" s="153" t="n"/>
      <c r="D9" s="150" t="n"/>
      <c r="E9" s="90">
        <f>'Model Outputs'!$E$14*Assumptions!$P$43</f>
        <v/>
      </c>
      <c r="F9" s="139">
        <f>IFERROR(E9/$E$13,0)</f>
        <v/>
      </c>
      <c r="H9" s="137" t="n"/>
      <c r="I9" s="137" t="inlineStr">
        <is>
          <t>Going-In</t>
        </is>
      </c>
      <c r="J9" s="137" t="inlineStr">
        <is>
          <t>Stabilized</t>
        </is>
      </c>
      <c r="K9" s="137" t="inlineStr">
        <is>
          <t>Trended (Exit)</t>
        </is>
      </c>
    </row>
    <row r="10" ht="15" customHeight="1" s="148">
      <c r="A10" s="197" t="inlineStr">
        <is>
          <t>General Partner Equity</t>
        </is>
      </c>
      <c r="B10" s="153" t="n"/>
      <c r="C10" s="153" t="n"/>
      <c r="D10" s="150" t="n"/>
      <c r="E10" s="90">
        <f>'Model Outputs'!$E$14*Assumptions!$P$44</f>
        <v/>
      </c>
      <c r="F10" s="139">
        <f>IFERROR(E10/$E$13,0)</f>
        <v/>
      </c>
      <c r="H10" s="167" t="inlineStr">
        <is>
          <t>NOI</t>
        </is>
      </c>
      <c r="I10" s="90">
        <f>'Annual CF'!$E$56</f>
        <v/>
      </c>
      <c r="J10" s="90">
        <f>Assumptions!$AA$40</f>
        <v/>
      </c>
      <c r="K10" s="90">
        <f>Assumptions!$F$30</f>
        <v/>
      </c>
    </row>
    <row r="11" ht="15" customHeight="1" s="148">
      <c r="A11" s="197" t="inlineStr">
        <is>
          <t>Mezz Debt</t>
        </is>
      </c>
      <c r="B11" s="153" t="n"/>
      <c r="C11" s="153" t="n"/>
      <c r="D11" s="150" t="n"/>
      <c r="E11" s="90">
        <f>'Renovation Budget'!$B$43</f>
        <v/>
      </c>
      <c r="F11" s="139">
        <f>IFERROR(E11/$E$13,0)</f>
        <v/>
      </c>
      <c r="H11" s="167" t="inlineStr">
        <is>
          <t>Market Return on Cost</t>
        </is>
      </c>
      <c r="I11" s="139">
        <f>I10/$K$14</f>
        <v/>
      </c>
      <c r="J11" s="139">
        <f>J10/$K$14</f>
        <v/>
      </c>
      <c r="K11" s="139">
        <f>K10/$K$14</f>
        <v/>
      </c>
    </row>
    <row r="12" ht="15" customHeight="1" s="148">
      <c r="A12" s="197" t="inlineStr">
        <is>
          <t>NOI Offset</t>
        </is>
      </c>
      <c r="B12" s="153" t="n"/>
      <c r="C12" s="153" t="n"/>
      <c r="D12" s="150" t="n"/>
      <c r="E12" s="90">
        <f>'Renovation Budget'!$G$38-'Model Outputs'!$E$14</f>
        <v/>
      </c>
      <c r="F12" s="139">
        <f>IFERROR(E12/$E$13,0)</f>
        <v/>
      </c>
      <c r="H12" s="167" t="inlineStr">
        <is>
          <t>Debt Yield</t>
        </is>
      </c>
      <c r="I12" s="139">
        <f>IFERROR(I10/'Monthly CF'!$D$186,0)</f>
        <v/>
      </c>
      <c r="J12" s="139">
        <f>IFERROR(J10/'Monthly CF'!$AN$194,0)</f>
        <v/>
      </c>
      <c r="K12" s="139">
        <f>IFERROR(K10/(INDEX('Monthly CF'!$D$186:$DT$186,1,MATCH(Assumptions!$E$28,'Monthly CF'!$D$11:$DT$11,0))+INDEX('Monthly CF'!$D$194:$DT$194,1,MATCH(Assumptions!$E$28,'Monthly CF'!$D$11:$DT$11,0))),0)</f>
        <v/>
      </c>
    </row>
    <row r="13" ht="15" customHeight="1" s="148">
      <c r="A13" s="197" t="inlineStr">
        <is>
          <t>Total Sources</t>
        </is>
      </c>
      <c r="B13" s="153" t="n"/>
      <c r="C13" s="153" t="n"/>
      <c r="D13" s="150" t="n"/>
      <c r="E13" s="90">
        <f>'Renovation Budget'!$B$44</f>
        <v/>
      </c>
      <c r="F13" s="139">
        <f>IFERROR(E13/$E$13,0)</f>
        <v/>
      </c>
      <c r="H13" s="167" t="inlineStr">
        <is>
          <t>DSCR</t>
        </is>
      </c>
      <c r="I13" s="238">
        <f>'Annual CF'!$E$57</f>
        <v/>
      </c>
      <c r="J13" s="238">
        <f>'Annual CF'!$H$57</f>
        <v/>
      </c>
      <c r="K13" s="238">
        <f>IFERROR(INDEX('Annual CF'!$D$57:$O$57,1,MATCH(IF(Assumptions!$E$28=0,0,INT((Assumptions!$E$28-1)/12)+1),'Annual CF'!$D$9:$O$9,0)),0)</f>
        <v/>
      </c>
    </row>
    <row r="14" ht="15" customHeight="1" s="148">
      <c r="A14" s="200" t="inlineStr">
        <is>
          <t>Peak Equity Required</t>
        </is>
      </c>
      <c r="B14" s="153" t="n"/>
      <c r="C14" s="153" t="n"/>
      <c r="D14" s="150" t="n"/>
      <c r="E14" s="90">
        <f>IF(COUNT('Monthly CF'!$D$133:$DT$133)=0,'Renovation Budget'!$G$38,-MIN(0,MIN('Monthly CF'!$D$133:$DT$133)))</f>
        <v/>
      </c>
      <c r="F14" s="139">
        <f>IFERROR(E14/$E$13,0)</f>
        <v/>
      </c>
      <c r="H14" s="198" t="inlineStr">
        <is>
          <t>Exit Basis</t>
        </is>
      </c>
      <c r="I14" s="153" t="n"/>
      <c r="J14" s="150" t="n"/>
      <c r="K14" s="90">
        <f>Assumptions!$F$24+'Renovation Budget'!$C$34+Assumptions!$P$59+Assumptions!$AA$21</f>
        <v/>
      </c>
    </row>
    <row r="15" ht="15" customHeight="1" s="148">
      <c r="A15" s="199" t="inlineStr">
        <is>
          <t>Uses</t>
        </is>
      </c>
      <c r="B15" s="153" t="n"/>
      <c r="C15" s="153" t="n"/>
      <c r="D15" s="150" t="n"/>
      <c r="E15" s="137" t="inlineStr">
        <is>
          <t>Amount</t>
        </is>
      </c>
      <c r="F15" s="137" t="inlineStr">
        <is>
          <t>%</t>
        </is>
      </c>
    </row>
    <row r="16" ht="15" customHeight="1" s="148">
      <c r="A16" s="197" t="inlineStr">
        <is>
          <t>Building Acquisition Cost</t>
        </is>
      </c>
      <c r="B16" s="153" t="n"/>
      <c r="C16" s="153" t="n"/>
      <c r="D16" s="150" t="n"/>
      <c r="E16" s="90">
        <f>Assumptions!$F$24</f>
        <v/>
      </c>
      <c r="F16" s="139">
        <f>IFERROR(E16/$E$20,0)</f>
        <v/>
      </c>
    </row>
    <row r="17" ht="15" customHeight="1" s="148">
      <c r="A17" s="197" t="inlineStr">
        <is>
          <t>Renovation Costs</t>
        </is>
      </c>
      <c r="B17" s="153" t="n"/>
      <c r="C17" s="153" t="n"/>
      <c r="D17" s="150" t="n"/>
      <c r="E17" s="90">
        <f>'Renovation Budget'!$C$34</f>
        <v/>
      </c>
      <c r="F17" s="139">
        <f>IFERROR(E17/$E$20,0)</f>
        <v/>
      </c>
    </row>
    <row r="18" ht="15" customHeight="1" s="148">
      <c r="A18" s="197" t="inlineStr">
        <is>
          <t>Placement Fees</t>
        </is>
      </c>
      <c r="B18" s="153" t="n"/>
      <c r="C18" s="153" t="n"/>
      <c r="D18" s="150" t="n"/>
      <c r="E18" s="90">
        <f>Assumptions!$AA$21</f>
        <v/>
      </c>
      <c r="F18" s="139">
        <f>IFERROR(E18/$E$20,0)</f>
        <v/>
      </c>
    </row>
    <row r="19" ht="15" customHeight="1" s="148">
      <c r="A19" s="197" t="inlineStr">
        <is>
          <t>CapEx, TI, LC</t>
        </is>
      </c>
      <c r="B19" s="153" t="n"/>
      <c r="C19" s="153" t="n"/>
      <c r="D19" s="150" t="n"/>
      <c r="E19" s="90">
        <f>SUM('Renovation Budget'!$B$40:$B$42)</f>
        <v/>
      </c>
      <c r="F19" s="139">
        <f>IFERROR(E19/$E$20,0)</f>
        <v/>
      </c>
    </row>
    <row r="20" ht="18" customHeight="1" s="148">
      <c r="A20" s="197" t="inlineStr">
        <is>
          <t>Total Uses</t>
        </is>
      </c>
      <c r="B20" s="153" t="n"/>
      <c r="C20" s="153" t="n"/>
      <c r="D20" s="150" t="n"/>
      <c r="E20" s="90">
        <f>'Renovation Budget'!$B$44</f>
        <v/>
      </c>
      <c r="F20" s="139">
        <f>IFERROR(E20/$E$20,0)</f>
        <v/>
      </c>
    </row>
    <row r="21" ht="15" customHeight="1" s="148"/>
    <row r="22" ht="15" customHeight="1" s="148"/>
    <row r="23" ht="15" customHeight="1" s="148">
      <c r="A23" s="169" t="inlineStr">
        <is>
          <t>Rent Roll - In-Place/ Initial Lease Up</t>
        </is>
      </c>
      <c r="B23" s="155" t="n"/>
      <c r="C23" s="155" t="n"/>
      <c r="D23" s="155" t="n"/>
      <c r="E23" s="155" t="n"/>
      <c r="F23" s="158" t="n"/>
    </row>
    <row r="24" ht="30" customHeight="1" s="148">
      <c r="A24" s="137" t="inlineStr">
        <is>
          <t>Tenant Name</t>
        </is>
      </c>
      <c r="B24" s="137" t="inlineStr">
        <is>
          <t>Sq Ft</t>
        </is>
      </c>
      <c r="C24" s="137" t="inlineStr">
        <is>
          <t>% Total</t>
        </is>
      </c>
      <c r="D24" s="137" t="inlineStr">
        <is>
          <t>Lease Start</t>
        </is>
      </c>
      <c r="E24" s="137" t="inlineStr">
        <is>
          <t>Current Annual Rent PSF</t>
        </is>
      </c>
      <c r="F24" s="137" t="inlineStr">
        <is>
          <t>Expiration</t>
        </is>
      </c>
    </row>
    <row r="25" ht="15" customHeight="1" s="148">
      <c r="A25" s="141">
        <f>'Rent Roll'!A9</f>
        <v/>
      </c>
      <c r="B25" s="142">
        <f>'Rent Roll'!B9</f>
        <v/>
      </c>
      <c r="C25" s="143">
        <f>'Rent Roll'!C9</f>
        <v/>
      </c>
      <c r="D25" s="144">
        <f>'Rent Roll'!G9</f>
        <v/>
      </c>
      <c r="E25" s="239">
        <f>'Rent Roll'!D9</f>
        <v/>
      </c>
      <c r="F25" s="144">
        <f>'Rent Roll'!H9</f>
        <v/>
      </c>
    </row>
    <row r="26" ht="15" customHeight="1" s="148">
      <c r="A26" s="141">
        <f>'Rent Roll'!A10</f>
        <v/>
      </c>
      <c r="B26" s="142">
        <f>'Rent Roll'!B10</f>
        <v/>
      </c>
      <c r="C26" s="143">
        <f>'Rent Roll'!C10</f>
        <v/>
      </c>
      <c r="D26" s="144">
        <f>'Rent Roll'!G10</f>
        <v/>
      </c>
      <c r="E26" s="239">
        <f>'Rent Roll'!D10</f>
        <v/>
      </c>
      <c r="F26" s="144">
        <f>'Rent Roll'!H10</f>
        <v/>
      </c>
    </row>
    <row r="27" ht="15" customHeight="1" s="148">
      <c r="A27" s="141">
        <f>'Rent Roll'!A11</f>
        <v/>
      </c>
      <c r="B27" s="142">
        <f>'Rent Roll'!B11</f>
        <v/>
      </c>
      <c r="C27" s="143">
        <f>'Rent Roll'!C11</f>
        <v/>
      </c>
      <c r="D27" s="144">
        <f>'Rent Roll'!G11</f>
        <v/>
      </c>
      <c r="E27" s="239">
        <f>'Rent Roll'!D11</f>
        <v/>
      </c>
      <c r="F27" s="144">
        <f>'Rent Roll'!H11</f>
        <v/>
      </c>
    </row>
    <row r="28" ht="15" customHeight="1" s="148">
      <c r="A28" s="141">
        <f>'Rent Roll'!A12</f>
        <v/>
      </c>
      <c r="B28" s="142">
        <f>'Rent Roll'!B12</f>
        <v/>
      </c>
      <c r="C28" s="143">
        <f>'Rent Roll'!C12</f>
        <v/>
      </c>
      <c r="D28" s="144">
        <f>'Rent Roll'!G12</f>
        <v/>
      </c>
      <c r="E28" s="239">
        <f>'Rent Roll'!D12</f>
        <v/>
      </c>
      <c r="F28" s="144">
        <f>'Rent Roll'!H12</f>
        <v/>
      </c>
    </row>
    <row r="29" ht="15" customHeight="1" s="148">
      <c r="A29" s="141">
        <f>'Rent Roll'!A13</f>
        <v/>
      </c>
      <c r="B29" s="142">
        <f>'Rent Roll'!B13</f>
        <v/>
      </c>
      <c r="C29" s="143">
        <f>'Rent Roll'!C13</f>
        <v/>
      </c>
      <c r="D29" s="144">
        <f>'Rent Roll'!G13</f>
        <v/>
      </c>
      <c r="E29" s="239">
        <f>'Rent Roll'!D13</f>
        <v/>
      </c>
      <c r="F29" s="144">
        <f>'Rent Roll'!H13</f>
        <v/>
      </c>
    </row>
    <row r="30" ht="15" customHeight="1" s="148">
      <c r="A30" s="141" t="n"/>
      <c r="B30" s="142" t="n"/>
      <c r="C30" s="143" t="n"/>
      <c r="D30" s="144" t="n"/>
      <c r="E30" s="239" t="n"/>
      <c r="F30" s="144" t="n"/>
    </row>
    <row r="31" ht="15" customHeight="1" s="148">
      <c r="A31" s="141" t="n"/>
      <c r="B31" s="142" t="n"/>
      <c r="C31" s="143" t="n"/>
      <c r="D31" s="144" t="n"/>
      <c r="E31" s="239" t="n"/>
      <c r="F31" s="144" t="n"/>
    </row>
    <row r="32" ht="15" customHeight="1" s="148">
      <c r="A32" s="141" t="n"/>
      <c r="B32" s="142" t="n"/>
      <c r="C32" s="143" t="n"/>
      <c r="D32" s="144" t="n"/>
      <c r="E32" s="239" t="n"/>
      <c r="F32" s="144" t="n"/>
    </row>
    <row r="33" ht="15" customHeight="1" s="148">
      <c r="A33" s="141" t="n"/>
      <c r="B33" s="142" t="n"/>
      <c r="C33" s="143" t="n"/>
      <c r="D33" s="144" t="n"/>
      <c r="E33" s="239" t="n"/>
      <c r="F33" s="144" t="n"/>
    </row>
    <row r="34" ht="15" customHeight="1" s="148">
      <c r="A34" s="141" t="n"/>
      <c r="B34" s="142" t="n"/>
      <c r="C34" s="143" t="n"/>
      <c r="D34" s="144" t="n"/>
      <c r="E34" s="239" t="n"/>
      <c r="F34" s="144" t="n"/>
    </row>
    <row r="35" ht="15" customHeight="1" s="148">
      <c r="A35" s="141" t="n"/>
      <c r="B35" s="142" t="n"/>
      <c r="C35" s="143" t="n"/>
      <c r="D35" s="144" t="n"/>
      <c r="E35" s="239" t="n"/>
      <c r="F35" s="144" t="n"/>
    </row>
    <row r="36" ht="15" customHeight="1" s="148">
      <c r="A36" s="141" t="n"/>
      <c r="B36" s="142" t="n"/>
      <c r="C36" s="143" t="n"/>
      <c r="D36" s="144" t="n"/>
      <c r="E36" s="239" t="n"/>
      <c r="F36" s="144" t="n"/>
    </row>
    <row r="37" ht="15" customHeight="1" s="148">
      <c r="A37" s="141" t="n"/>
      <c r="B37" s="142" t="n"/>
      <c r="C37" s="143" t="n"/>
      <c r="D37" s="144" t="n"/>
      <c r="E37" s="239" t="n"/>
      <c r="F37" s="144" t="n"/>
    </row>
    <row r="38" ht="15" customHeight="1" s="148">
      <c r="A38" s="141" t="n"/>
      <c r="B38" s="142" t="n"/>
      <c r="C38" s="143" t="n"/>
      <c r="D38" s="144" t="n"/>
      <c r="E38" s="239" t="n"/>
      <c r="F38" s="144" t="n"/>
    </row>
    <row r="39" ht="15" customHeight="1" s="148">
      <c r="A39" s="141" t="n"/>
      <c r="B39" s="142" t="n"/>
      <c r="C39" s="143" t="n"/>
      <c r="D39" s="144" t="n"/>
      <c r="E39" s="239" t="n"/>
      <c r="F39" s="144" t="n"/>
    </row>
    <row r="40" ht="15" customHeight="1" s="148">
      <c r="A40" s="141" t="n"/>
      <c r="B40" s="142" t="n"/>
      <c r="C40" s="143" t="n"/>
      <c r="D40" s="144" t="n"/>
      <c r="E40" s="239" t="n"/>
      <c r="F40" s="144" t="n"/>
    </row>
    <row r="41" ht="15" customHeight="1" s="148">
      <c r="A41" s="141" t="n"/>
      <c r="B41" s="142" t="n"/>
      <c r="C41" s="143" t="n"/>
      <c r="D41" s="144" t="n"/>
      <c r="E41" s="239" t="n"/>
      <c r="F41" s="144" t="n"/>
    </row>
    <row r="42" ht="15" customHeight="1" s="148">
      <c r="A42" s="141" t="n"/>
      <c r="B42" s="142" t="n"/>
      <c r="C42" s="143" t="n"/>
      <c r="D42" s="144" t="n"/>
      <c r="E42" s="239" t="n"/>
      <c r="F42" s="144" t="n"/>
    </row>
    <row r="43" ht="15" customHeight="1" s="148">
      <c r="A43" s="141" t="n"/>
      <c r="B43" s="142" t="n"/>
      <c r="C43" s="143" t="n"/>
      <c r="D43" s="144" t="n"/>
      <c r="E43" s="239" t="n"/>
      <c r="F43" s="144" t="n"/>
    </row>
    <row r="44" ht="15" customHeight="1" s="148">
      <c r="A44" s="141" t="n"/>
      <c r="B44" s="142" t="n"/>
      <c r="C44" s="143" t="n"/>
      <c r="D44" s="144" t="n"/>
      <c r="E44" s="239" t="n"/>
      <c r="F44" s="144" t="n"/>
    </row>
    <row r="45" ht="15" customHeight="1" s="148">
      <c r="A45" s="198" t="inlineStr">
        <is>
          <t>Total</t>
        </is>
      </c>
      <c r="B45" s="146">
        <f>'Rent Roll'!B30</f>
        <v/>
      </c>
      <c r="C45" s="139">
        <f>1</f>
        <v/>
      </c>
      <c r="D45" s="197" t="n"/>
      <c r="E45" s="197" t="n"/>
      <c r="F45" s="197" t="n"/>
    </row>
    <row r="46" ht="15" customHeight="1" s="148">
      <c r="A46" s="198" t="inlineStr">
        <is>
          <t>Average</t>
        </is>
      </c>
      <c r="B46" s="146">
        <f>IFERROR('Rent Roll'!B30/'Rent Roll'!B31,0)</f>
        <v/>
      </c>
      <c r="C46" s="197" t="n"/>
      <c r="D46" s="144">
        <f>'Rent Roll'!G31</f>
        <v/>
      </c>
      <c r="E46" s="239">
        <f>'Rent Roll'!D31</f>
        <v/>
      </c>
      <c r="F46" s="144">
        <f>'Rent Roll'!H31</f>
        <v/>
      </c>
    </row>
    <row r="47" ht="15" customHeight="1" s="148"/>
    <row r="48" ht="15" customHeight="1" s="148"/>
    <row r="49" ht="15" customHeight="1" s="148"/>
    <row r="50" ht="15" customHeight="1" s="148"/>
    <row r="51" ht="15" customHeight="1" s="148"/>
    <row r="52" ht="15" customHeight="1" s="148"/>
    <row r="53" ht="15" customHeight="1" s="148"/>
    <row r="54" ht="15" customHeight="1" s="148"/>
    <row r="55" ht="15" customHeight="1" s="148"/>
    <row r="56" ht="15" customHeight="1" s="148"/>
    <row r="57" ht="15" customHeight="1" s="148"/>
    <row r="58" ht="15" customHeight="1" s="148"/>
    <row r="59" ht="15" customHeight="1" s="148"/>
  </sheetData>
  <mergeCells count="19">
    <mergeCell ref="A17:D17"/>
    <mergeCell ref="A8:D8"/>
    <mergeCell ref="A20:D20"/>
    <mergeCell ref="A19:D19"/>
    <mergeCell ref="A10:D10"/>
    <mergeCell ref="H7:J7"/>
    <mergeCell ref="A13:D13"/>
    <mergeCell ref="A9:D9"/>
    <mergeCell ref="A23:F23"/>
    <mergeCell ref="A15:D15"/>
    <mergeCell ref="A11:D11"/>
    <mergeCell ref="H14:J14"/>
    <mergeCell ref="H6:K6"/>
    <mergeCell ref="A7:D7"/>
    <mergeCell ref="A16:D16"/>
    <mergeCell ref="A18:D18"/>
    <mergeCell ref="A12:D12"/>
    <mergeCell ref="A6:F6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2025-12-21T17:24:07Z</dcterms:created>
  <dcterms:modified xmlns:dcterms="http://purl.org/dc/terms/" xmlns:xsi="http://www.w3.org/2001/XMLSchema-instance" xsi:type="dcterms:W3CDTF">2025-12-21T21:38:18Z</dcterms:modified>
  <cp:lastModifiedBy>Blake Gallagher</cp:lastModifiedBy>
</cp:coreProperties>
</file>